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VGC Golf Shop\Jordan Kruck\Round Tracking\Round Tracking Totals\"/>
    </mc:Choice>
  </mc:AlternateContent>
  <xr:revisionPtr revIDLastSave="0" documentId="13_ncr:1_{30EAF3BE-148E-4498-A499-4FE381B64E02}" xr6:coauthVersionLast="47" xr6:coauthVersionMax="47" xr10:uidLastSave="{00000000-0000-0000-0000-000000000000}"/>
  <bookViews>
    <workbookView xWindow="28680" yWindow="-120" windowWidth="29040" windowHeight="15990" firstSheet="1" activeTab="5" xr2:uid="{AFF0EBC3-4C9F-4A1D-85DA-6AACFFF41100}"/>
  </bookViews>
  <sheets>
    <sheet name="Yearly Total To Date" sheetId="1" r:id="rId1"/>
    <sheet name="Occupancy Report" sheetId="8" r:id="rId2"/>
    <sheet name="Occupancy Report Summarised" sheetId="9" r:id="rId3"/>
    <sheet name="Day by Day Totals" sheetId="2" r:id="rId4"/>
    <sheet name="Day Trends" sheetId="12" r:id="rId5"/>
    <sheet name="Monthly Averages" sheetId="11" r:id="rId6"/>
    <sheet name="Monthly Totals" sheetId="10" r:id="rId7"/>
    <sheet name="Pivot Table" sheetId="5" r:id="rId8"/>
  </sheets>
  <calcPr calcId="191028"/>
  <pivotCaches>
    <pivotCache cacheId="10" r:id="rId9"/>
    <pivotCache cacheId="11" r:id="rId10"/>
    <pivotCache cacheId="12" r:id="rId11"/>
    <pivotCache cacheId="13" r:id="rId12"/>
    <pivotCache cacheId="14" r:id="rId13"/>
    <pivotCache cacheId="15" r:id="rId14"/>
    <pivotCache cacheId="16" r:id="rId15"/>
    <pivotCache cacheId="17" r:id="rId16"/>
    <pivotCache cacheId="18" r:id="rId17"/>
    <pivotCache cacheId="19" r:id="rId18"/>
    <pivotCache cacheId="20" r:id="rId19"/>
    <pivotCache cacheId="2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1" l="1"/>
  <c r="D40" i="11"/>
  <c r="C11" i="2" l="1"/>
  <c r="C9" i="2"/>
  <c r="C8" i="2"/>
  <c r="C7" i="2"/>
  <c r="C5" i="10"/>
  <c r="C6" i="10"/>
  <c r="C7" i="10"/>
  <c r="C8" i="10"/>
  <c r="C6" i="2"/>
  <c r="C9" i="10" l="1"/>
  <c r="W39" i="12"/>
  <c r="W38" i="12"/>
  <c r="W37" i="12"/>
  <c r="W36" i="12"/>
  <c r="W35" i="12"/>
  <c r="W34" i="12"/>
  <c r="W33" i="12"/>
  <c r="Q39" i="12"/>
  <c r="Q38" i="12"/>
  <c r="Q37" i="12"/>
  <c r="Q36" i="12"/>
  <c r="Q35" i="12"/>
  <c r="Q34" i="12"/>
  <c r="Q33" i="12"/>
  <c r="K39" i="12"/>
  <c r="K38" i="12"/>
  <c r="K37" i="12"/>
  <c r="K36" i="12"/>
  <c r="K35" i="12"/>
  <c r="K34" i="12"/>
  <c r="K33" i="12"/>
  <c r="E39" i="12"/>
  <c r="E38" i="12"/>
  <c r="E37" i="12"/>
  <c r="E36" i="12"/>
  <c r="E35" i="12"/>
  <c r="E34" i="12"/>
  <c r="E33" i="12"/>
  <c r="W25" i="12"/>
  <c r="W24" i="12"/>
  <c r="W23" i="12"/>
  <c r="W22" i="12"/>
  <c r="W21" i="12"/>
  <c r="W20" i="12"/>
  <c r="W19" i="12"/>
  <c r="Q25" i="12"/>
  <c r="Q24" i="12"/>
  <c r="Q23" i="12"/>
  <c r="Q22" i="12"/>
  <c r="Q21" i="12"/>
  <c r="Q20" i="12"/>
  <c r="Q19" i="12"/>
  <c r="K25" i="12"/>
  <c r="K24" i="12"/>
  <c r="K23" i="12"/>
  <c r="K22" i="12"/>
  <c r="K21" i="12"/>
  <c r="K20" i="12"/>
  <c r="K19" i="12"/>
  <c r="E25" i="12"/>
  <c r="E24" i="12"/>
  <c r="E23" i="12"/>
  <c r="E22" i="12"/>
  <c r="E21" i="12"/>
  <c r="E20" i="12"/>
  <c r="E19" i="12"/>
  <c r="W12" i="12"/>
  <c r="W11" i="12"/>
  <c r="W10" i="12"/>
  <c r="W9" i="12"/>
  <c r="W8" i="12"/>
  <c r="W7" i="12"/>
  <c r="W6" i="12"/>
  <c r="Q12" i="12"/>
  <c r="Q11" i="12"/>
  <c r="Q10" i="12"/>
  <c r="Q9" i="12"/>
  <c r="Q8" i="12"/>
  <c r="Q7" i="12"/>
  <c r="Q6" i="12"/>
  <c r="K12" i="12"/>
  <c r="K11" i="12"/>
  <c r="K10" i="12"/>
  <c r="K9" i="12"/>
  <c r="K8" i="12"/>
  <c r="K7" i="12"/>
  <c r="K6" i="12"/>
  <c r="E10" i="12"/>
  <c r="E11" i="12"/>
  <c r="E12" i="12"/>
  <c r="E9" i="12"/>
  <c r="E8" i="12"/>
  <c r="E7" i="12"/>
  <c r="E6" i="12"/>
  <c r="C10" i="10"/>
  <c r="C18" i="10"/>
  <c r="C11" i="10"/>
  <c r="C19" i="10"/>
  <c r="C12" i="10"/>
  <c r="C20" i="10"/>
  <c r="C22" i="10"/>
  <c r="C13" i="10"/>
  <c r="C21" i="10"/>
  <c r="C14" i="10"/>
  <c r="C17" i="10"/>
  <c r="C15" i="10"/>
  <c r="C16" i="10"/>
  <c r="C47" i="12"/>
  <c r="C48" i="12"/>
  <c r="C46" i="12"/>
  <c r="C44" i="12"/>
  <c r="C50" i="12"/>
  <c r="C45" i="12"/>
  <c r="C49" i="12"/>
  <c r="C51" i="12" l="1"/>
  <c r="D48" i="12" s="1"/>
  <c r="H62" i="11"/>
  <c r="R18" i="10"/>
  <c r="H40" i="11"/>
  <c r="H18" i="11"/>
  <c r="C40" i="11"/>
  <c r="M18" i="11"/>
  <c r="R40" i="11"/>
  <c r="R18" i="11"/>
  <c r="M40" i="11"/>
  <c r="C62" i="11"/>
  <c r="R62" i="11"/>
  <c r="R40" i="10"/>
  <c r="M62" i="11"/>
  <c r="C53" i="2"/>
  <c r="O40" i="10"/>
  <c r="C48" i="2"/>
  <c r="C51" i="2"/>
  <c r="C49" i="2"/>
  <c r="C54" i="2"/>
  <c r="C50" i="2"/>
  <c r="C52" i="2"/>
  <c r="O62" i="11" l="1"/>
  <c r="N62" i="11"/>
  <c r="E62" i="11"/>
  <c r="D62" i="11"/>
  <c r="J62" i="11"/>
  <c r="I62" i="11"/>
  <c r="S62" i="11"/>
  <c r="T62" i="11"/>
  <c r="D49" i="12"/>
  <c r="D44" i="12"/>
  <c r="C55" i="2"/>
  <c r="D54" i="2" s="1"/>
  <c r="D46" i="12"/>
  <c r="D45" i="12"/>
  <c r="D50" i="12"/>
  <c r="D47" i="12"/>
  <c r="L40" i="10"/>
  <c r="F40" i="10"/>
  <c r="C40" i="10"/>
  <c r="I40" i="10"/>
  <c r="D51" i="12" l="1"/>
  <c r="D50" i="2"/>
  <c r="D49" i="2"/>
  <c r="D52" i="2"/>
  <c r="D51" i="2"/>
  <c r="D53" i="2"/>
  <c r="D48" i="2"/>
  <c r="O18" i="10"/>
  <c r="I18" i="10"/>
  <c r="L18" i="10"/>
  <c r="D55" i="2" l="1"/>
  <c r="F18" i="10"/>
  <c r="C19" i="1" l="1"/>
  <c r="O19" i="1" s="1"/>
  <c r="G19" i="1" l="1"/>
  <c r="K19" i="1"/>
  <c r="T18" i="11"/>
  <c r="S18" i="11"/>
  <c r="O18" i="11"/>
  <c r="N18" i="11"/>
  <c r="J18" i="11"/>
  <c r="I18" i="11"/>
  <c r="C7" i="11"/>
  <c r="C16" i="11"/>
  <c r="C15" i="11"/>
  <c r="C18" i="11"/>
  <c r="C10" i="11"/>
  <c r="C6" i="11"/>
  <c r="C11" i="11"/>
  <c r="C12" i="11"/>
  <c r="C21" i="11"/>
  <c r="C17" i="11"/>
  <c r="C20" i="11"/>
  <c r="C14" i="11"/>
  <c r="C19" i="11"/>
  <c r="C5" i="11"/>
  <c r="C8" i="11"/>
  <c r="C13" i="11"/>
  <c r="C22" i="11"/>
  <c r="D18" i="11" l="1"/>
  <c r="E18" i="11"/>
  <c r="C9" i="11"/>
  <c r="M49" i="9" l="1"/>
  <c r="M48" i="9"/>
  <c r="S122" i="8"/>
  <c r="S121" i="8"/>
  <c r="S118" i="8"/>
  <c r="S119" i="8" s="1"/>
  <c r="S117" i="8"/>
  <c r="S114" i="8"/>
  <c r="S113" i="8"/>
  <c r="S110" i="8"/>
  <c r="S109" i="8"/>
  <c r="S106" i="8"/>
  <c r="S105" i="8"/>
  <c r="S102" i="8"/>
  <c r="S101" i="8"/>
  <c r="S98" i="8"/>
  <c r="S97" i="8"/>
  <c r="S115" i="8" l="1"/>
  <c r="R42" i="10"/>
  <c r="R63" i="11"/>
  <c r="R41" i="10"/>
  <c r="R58" i="11"/>
  <c r="R29" i="10"/>
  <c r="R50" i="11"/>
  <c r="R59" i="11"/>
  <c r="R43" i="10"/>
  <c r="L48" i="9"/>
  <c r="R39" i="10"/>
  <c r="R64" i="11"/>
  <c r="R121" i="8"/>
  <c r="R113" i="8"/>
  <c r="R65" i="11"/>
  <c r="R34" i="10"/>
  <c r="R60" i="11"/>
  <c r="R98" i="8"/>
  <c r="R51" i="11"/>
  <c r="R56" i="11"/>
  <c r="R102" i="8"/>
  <c r="R35" i="10"/>
  <c r="R114" i="8"/>
  <c r="R101" i="8"/>
  <c r="R38" i="10"/>
  <c r="R106" i="8"/>
  <c r="R27" i="10"/>
  <c r="R57" i="11"/>
  <c r="R55" i="11"/>
  <c r="R30" i="10"/>
  <c r="R54" i="11"/>
  <c r="R36" i="10"/>
  <c r="R97" i="8"/>
  <c r="R110" i="8"/>
  <c r="L49" i="9"/>
  <c r="R32" i="10"/>
  <c r="R37" i="10"/>
  <c r="R118" i="8"/>
  <c r="R44" i="10"/>
  <c r="R109" i="8"/>
  <c r="R49" i="11"/>
  <c r="R28" i="10"/>
  <c r="R33" i="10"/>
  <c r="R117" i="8"/>
  <c r="R105" i="8"/>
  <c r="R122" i="8"/>
  <c r="R52" i="11"/>
  <c r="R61" i="11"/>
  <c r="R66" i="11"/>
  <c r="R31" i="10" l="1"/>
  <c r="R53" i="11"/>
  <c r="M45" i="9" l="1"/>
  <c r="M44" i="9"/>
  <c r="L118" i="8"/>
  <c r="L117" i="8"/>
  <c r="L122" i="8"/>
  <c r="L123" i="8"/>
  <c r="L121" i="8"/>
  <c r="L114" i="8"/>
  <c r="L113" i="8"/>
  <c r="L110" i="8"/>
  <c r="L109" i="8"/>
  <c r="L106" i="8"/>
  <c r="L105" i="8"/>
  <c r="L102" i="8"/>
  <c r="L101" i="8"/>
  <c r="L98" i="8"/>
  <c r="L97" i="8"/>
  <c r="M51" i="11"/>
  <c r="L44" i="9"/>
  <c r="M58" i="11"/>
  <c r="K97" i="8"/>
  <c r="M65" i="11"/>
  <c r="M55" i="11"/>
  <c r="M63" i="11"/>
  <c r="M61" i="11"/>
  <c r="M59" i="11"/>
  <c r="L45" i="9"/>
  <c r="M66" i="11"/>
  <c r="M52" i="11"/>
  <c r="M54" i="11"/>
  <c r="M60" i="11"/>
  <c r="M56" i="11"/>
  <c r="M57" i="11"/>
  <c r="M49" i="11"/>
  <c r="M64" i="11"/>
  <c r="M50" i="11"/>
  <c r="M53" i="11" l="1"/>
  <c r="M40" i="9"/>
  <c r="M41" i="9"/>
  <c r="E122" i="8"/>
  <c r="E121" i="8"/>
  <c r="E118" i="8"/>
  <c r="E117" i="8"/>
  <c r="E114" i="8"/>
  <c r="E113" i="8"/>
  <c r="E110" i="8"/>
  <c r="E109" i="8"/>
  <c r="E106" i="8"/>
  <c r="E105" i="8"/>
  <c r="E102" i="8"/>
  <c r="E98" i="8"/>
  <c r="E97" i="8"/>
  <c r="E101" i="8"/>
  <c r="L40" i="9"/>
  <c r="L41" i="9"/>
  <c r="K98" i="8"/>
  <c r="K117" i="8"/>
  <c r="O29" i="10"/>
  <c r="O30" i="10"/>
  <c r="K101" i="8"/>
  <c r="O34" i="10"/>
  <c r="O43" i="10"/>
  <c r="O36" i="10"/>
  <c r="O44" i="10"/>
  <c r="O32" i="10"/>
  <c r="K102" i="8"/>
  <c r="O27" i="10"/>
  <c r="O39" i="10"/>
  <c r="K106" i="8"/>
  <c r="K113" i="8"/>
  <c r="O33" i="10"/>
  <c r="K122" i="8"/>
  <c r="K109" i="8"/>
  <c r="K105" i="8"/>
  <c r="O28" i="10"/>
  <c r="K118" i="8"/>
  <c r="O42" i="10"/>
  <c r="K114" i="8"/>
  <c r="O38" i="10"/>
  <c r="K121" i="8"/>
  <c r="K110" i="8"/>
  <c r="O37" i="10"/>
  <c r="O35" i="10"/>
  <c r="O41" i="10"/>
  <c r="O31" i="10" l="1"/>
  <c r="M37" i="9"/>
  <c r="M36" i="9"/>
  <c r="S91" i="8"/>
  <c r="S92" i="8" s="1"/>
  <c r="S90" i="8"/>
  <c r="S87" i="8"/>
  <c r="S86" i="8"/>
  <c r="S83" i="8"/>
  <c r="S84" i="8" s="1"/>
  <c r="S82" i="8"/>
  <c r="S79" i="8"/>
  <c r="S78" i="8"/>
  <c r="S75" i="8"/>
  <c r="S74" i="8"/>
  <c r="S76" i="8" s="1"/>
  <c r="S71" i="8"/>
  <c r="S70" i="8"/>
  <c r="S72" i="8" s="1"/>
  <c r="S67" i="8"/>
  <c r="S68" i="8" s="1"/>
  <c r="S66" i="8"/>
  <c r="E68" i="8"/>
  <c r="E72" i="8"/>
  <c r="E76" i="8"/>
  <c r="E80" i="8"/>
  <c r="E84" i="8"/>
  <c r="E88" i="8"/>
  <c r="E92" i="8"/>
  <c r="L92" i="8"/>
  <c r="L88" i="8"/>
  <c r="L84" i="8"/>
  <c r="L80" i="8"/>
  <c r="L76" i="8"/>
  <c r="L72" i="8"/>
  <c r="L68" i="8"/>
  <c r="D101" i="8"/>
  <c r="D106" i="8"/>
  <c r="H57" i="11"/>
  <c r="H64" i="11"/>
  <c r="L37" i="10"/>
  <c r="L35" i="10"/>
  <c r="H56" i="11"/>
  <c r="D98" i="8"/>
  <c r="D114" i="8"/>
  <c r="H58" i="11"/>
  <c r="H60" i="11"/>
  <c r="L36" i="10"/>
  <c r="L43" i="10"/>
  <c r="H54" i="11"/>
  <c r="D97" i="8"/>
  <c r="D121" i="8"/>
  <c r="H66" i="11"/>
  <c r="H59" i="11"/>
  <c r="L30" i="10"/>
  <c r="L42" i="10"/>
  <c r="L27" i="10"/>
  <c r="L39" i="10"/>
  <c r="D105" i="8"/>
  <c r="D117" i="8"/>
  <c r="H63" i="11"/>
  <c r="H49" i="11"/>
  <c r="L44" i="10"/>
  <c r="D102" i="8"/>
  <c r="D118" i="8"/>
  <c r="H65" i="11"/>
  <c r="H52" i="11"/>
  <c r="L28" i="10"/>
  <c r="L33" i="10"/>
  <c r="D122" i="8"/>
  <c r="L41" i="10"/>
  <c r="D110" i="8"/>
  <c r="H50" i="11"/>
  <c r="H61" i="11"/>
  <c r="L38" i="10"/>
  <c r="D113" i="8"/>
  <c r="D109" i="8"/>
  <c r="H55" i="11"/>
  <c r="H51" i="11"/>
  <c r="L29" i="10"/>
  <c r="L32" i="10"/>
  <c r="L34" i="10"/>
  <c r="L31" i="10" l="1"/>
  <c r="J58" i="11"/>
  <c r="J52" i="11"/>
  <c r="H53" i="11"/>
  <c r="J53" i="11" s="1"/>
  <c r="J49" i="11"/>
  <c r="J56" i="11"/>
  <c r="J63" i="11"/>
  <c r="J50" i="11"/>
  <c r="J57" i="11"/>
  <c r="J64" i="11"/>
  <c r="J51" i="11"/>
  <c r="J65" i="11"/>
  <c r="J66" i="11"/>
  <c r="J54" i="11"/>
  <c r="J60" i="11"/>
  <c r="J55" i="11"/>
  <c r="J61" i="11"/>
  <c r="J59" i="11"/>
  <c r="S88" i="8"/>
  <c r="S80" i="8"/>
  <c r="M44" i="11"/>
  <c r="I30" i="10"/>
  <c r="I42" i="10"/>
  <c r="I43" i="10"/>
  <c r="I29" i="10"/>
  <c r="C63" i="11"/>
  <c r="I33" i="10"/>
  <c r="R75" i="8"/>
  <c r="I36" i="10"/>
  <c r="I28" i="10"/>
  <c r="C65" i="11"/>
  <c r="I27" i="10"/>
  <c r="I37" i="10"/>
  <c r="I35" i="10"/>
  <c r="I32" i="10"/>
  <c r="R71" i="8"/>
  <c r="R78" i="8"/>
  <c r="R82" i="8"/>
  <c r="C52" i="11"/>
  <c r="C58" i="11"/>
  <c r="C59" i="11"/>
  <c r="R79" i="8"/>
  <c r="C50" i="11"/>
  <c r="L36" i="9"/>
  <c r="I44" i="10"/>
  <c r="C64" i="11"/>
  <c r="C49" i="11"/>
  <c r="R90" i="8"/>
  <c r="I41" i="10"/>
  <c r="R91" i="8"/>
  <c r="R70" i="8"/>
  <c r="R87" i="8"/>
  <c r="C55" i="11"/>
  <c r="C57" i="11"/>
  <c r="C61" i="11"/>
  <c r="C66" i="11"/>
  <c r="C54" i="11"/>
  <c r="C51" i="11"/>
  <c r="C56" i="11"/>
  <c r="R86" i="8"/>
  <c r="L37" i="9"/>
  <c r="R67" i="8"/>
  <c r="R83" i="8"/>
  <c r="R66" i="8"/>
  <c r="I34" i="10"/>
  <c r="R74" i="8"/>
  <c r="C60" i="11"/>
  <c r="I39" i="10"/>
  <c r="I38" i="10"/>
  <c r="E65" i="11" l="1"/>
  <c r="E52" i="11"/>
  <c r="E54" i="11"/>
  <c r="E59" i="11"/>
  <c r="E51" i="11"/>
  <c r="E57" i="11"/>
  <c r="E55" i="11"/>
  <c r="E63" i="11"/>
  <c r="E50" i="11"/>
  <c r="E66" i="11"/>
  <c r="E61" i="11"/>
  <c r="E60" i="11"/>
  <c r="E49" i="11"/>
  <c r="E64" i="11"/>
  <c r="E56" i="11"/>
  <c r="E58" i="11"/>
  <c r="I31" i="10"/>
  <c r="C53" i="11"/>
  <c r="M25" i="9"/>
  <c r="M24" i="9"/>
  <c r="H32" i="11"/>
  <c r="L25" i="9"/>
  <c r="L24" i="9"/>
  <c r="D53" i="11" l="1"/>
  <c r="E53" i="11"/>
  <c r="S35" i="8"/>
  <c r="S36" i="8"/>
  <c r="S39" i="8"/>
  <c r="S40" i="8"/>
  <c r="S43" i="8"/>
  <c r="S44" i="8"/>
  <c r="S47" i="8"/>
  <c r="S48" i="8"/>
  <c r="S51" i="8"/>
  <c r="S52" i="8"/>
  <c r="S55" i="8"/>
  <c r="S56" i="8"/>
  <c r="S59" i="8"/>
  <c r="S60" i="8"/>
  <c r="S49" i="8"/>
  <c r="S45" i="8"/>
  <c r="S41" i="8"/>
  <c r="S37" i="8"/>
  <c r="E60" i="8"/>
  <c r="L60" i="8"/>
  <c r="M21" i="9"/>
  <c r="M20" i="9"/>
  <c r="L59" i="8"/>
  <c r="L56" i="8"/>
  <c r="L55" i="8"/>
  <c r="L52" i="8"/>
  <c r="L51" i="8"/>
  <c r="L48" i="8"/>
  <c r="L47" i="8"/>
  <c r="L44" i="8"/>
  <c r="L43" i="8"/>
  <c r="L40" i="8"/>
  <c r="L39" i="8"/>
  <c r="L36" i="8"/>
  <c r="L35" i="8"/>
  <c r="R48" i="8"/>
  <c r="R39" i="8"/>
  <c r="H42" i="11"/>
  <c r="H27" i="11"/>
  <c r="R19" i="10"/>
  <c r="R8" i="10"/>
  <c r="H28" i="11"/>
  <c r="R10" i="10"/>
  <c r="R56" i="8"/>
  <c r="R60" i="8"/>
  <c r="H39" i="11"/>
  <c r="H43" i="11"/>
  <c r="R20" i="10"/>
  <c r="R7" i="10"/>
  <c r="R14" i="10"/>
  <c r="R5" i="10"/>
  <c r="R6" i="10"/>
  <c r="R16" i="10"/>
  <c r="H34" i="11"/>
  <c r="R52" i="8"/>
  <c r="R59" i="8"/>
  <c r="H44" i="11"/>
  <c r="R17" i="10"/>
  <c r="R40" i="8"/>
  <c r="H37" i="11"/>
  <c r="R35" i="8"/>
  <c r="H36" i="11"/>
  <c r="H30" i="11"/>
  <c r="R21" i="10"/>
  <c r="R11" i="10"/>
  <c r="R12" i="10"/>
  <c r="R22" i="10"/>
  <c r="R44" i="8"/>
  <c r="R51" i="8"/>
  <c r="R47" i="8"/>
  <c r="H33" i="11"/>
  <c r="H29" i="11"/>
  <c r="R15" i="10"/>
  <c r="R36" i="8"/>
  <c r="R55" i="8"/>
  <c r="R43" i="8"/>
  <c r="H41" i="11"/>
  <c r="H35" i="11"/>
  <c r="R13" i="10"/>
  <c r="H38" i="11"/>
  <c r="K51" i="8"/>
  <c r="K55" i="8"/>
  <c r="C32" i="11"/>
  <c r="O12" i="10"/>
  <c r="O8" i="10"/>
  <c r="C37" i="11"/>
  <c r="C41" i="11"/>
  <c r="O15" i="10"/>
  <c r="O7" i="10"/>
  <c r="L20" i="9"/>
  <c r="K59" i="8"/>
  <c r="C30" i="11"/>
  <c r="C38" i="11"/>
  <c r="C39" i="11"/>
  <c r="O22" i="10"/>
  <c r="C43" i="11"/>
  <c r="K36" i="8"/>
  <c r="O6" i="10"/>
  <c r="K48" i="8"/>
  <c r="K40" i="8"/>
  <c r="C35" i="11"/>
  <c r="O17" i="10"/>
  <c r="O16" i="10"/>
  <c r="O14" i="10"/>
  <c r="C44" i="11"/>
  <c r="C36" i="11"/>
  <c r="O20" i="10"/>
  <c r="K56" i="8"/>
  <c r="K39" i="8"/>
  <c r="C28" i="11"/>
  <c r="C29" i="11"/>
  <c r="O11" i="10"/>
  <c r="O5" i="10"/>
  <c r="K60" i="8"/>
  <c r="K52" i="8"/>
  <c r="K47" i="8"/>
  <c r="K43" i="8"/>
  <c r="K35" i="8"/>
  <c r="C42" i="11"/>
  <c r="C33" i="11"/>
  <c r="C34" i="11"/>
  <c r="C27" i="11"/>
  <c r="O10" i="10"/>
  <c r="O13" i="10"/>
  <c r="O19" i="10"/>
  <c r="L21" i="9"/>
  <c r="K44" i="8"/>
  <c r="O21" i="10"/>
  <c r="H31" i="11" l="1"/>
  <c r="C31" i="11"/>
  <c r="R9" i="10"/>
  <c r="O9" i="10"/>
  <c r="R61" i="8"/>
  <c r="T59" i="8"/>
  <c r="T56" i="8"/>
  <c r="R57" i="8"/>
  <c r="T55" i="8"/>
  <c r="T52" i="8"/>
  <c r="R53" i="8"/>
  <c r="T53" i="8" s="1"/>
  <c r="T51" i="8"/>
  <c r="T48" i="8"/>
  <c r="R49" i="8"/>
  <c r="T49" i="8" s="1"/>
  <c r="T47" i="8"/>
  <c r="T44" i="8"/>
  <c r="R45" i="8"/>
  <c r="T45" i="8" s="1"/>
  <c r="T43" i="8"/>
  <c r="T40" i="8"/>
  <c r="T39" i="8"/>
  <c r="R41" i="8"/>
  <c r="T41" i="8" s="1"/>
  <c r="T36" i="8"/>
  <c r="R37" i="8"/>
  <c r="T37" i="8" s="1"/>
  <c r="T35" i="8"/>
  <c r="S53" i="8"/>
  <c r="S57" i="8"/>
  <c r="S61" i="8"/>
  <c r="T60" i="8"/>
  <c r="L61" i="8"/>
  <c r="T57" i="8" l="1"/>
  <c r="T61" i="8"/>
  <c r="M17" i="9"/>
  <c r="M16" i="9"/>
  <c r="E59" i="8"/>
  <c r="E56" i="8"/>
  <c r="E55" i="8"/>
  <c r="E52" i="8"/>
  <c r="E51" i="8"/>
  <c r="E48" i="8"/>
  <c r="E47" i="8"/>
  <c r="E44" i="8"/>
  <c r="E43" i="8"/>
  <c r="E40" i="8"/>
  <c r="E39" i="8"/>
  <c r="E36" i="8"/>
  <c r="E35" i="8"/>
  <c r="R37" i="11"/>
  <c r="R38" i="11"/>
  <c r="D35" i="8"/>
  <c r="D48" i="8"/>
  <c r="L20" i="10"/>
  <c r="L11" i="10"/>
  <c r="L21" i="10"/>
  <c r="L22" i="10"/>
  <c r="R21" i="11"/>
  <c r="D56" i="8"/>
  <c r="D36" i="8"/>
  <c r="R10" i="11"/>
  <c r="R5" i="11"/>
  <c r="R20" i="11"/>
  <c r="L14" i="10"/>
  <c r="L15" i="10"/>
  <c r="D47" i="8"/>
  <c r="D40" i="8"/>
  <c r="R16" i="11"/>
  <c r="R14" i="11"/>
  <c r="L7" i="10"/>
  <c r="L19" i="10"/>
  <c r="L17" i="10"/>
  <c r="L10" i="10"/>
  <c r="D51" i="8"/>
  <c r="D39" i="8"/>
  <c r="D55" i="8"/>
  <c r="R7" i="11"/>
  <c r="R19" i="11"/>
  <c r="L16" i="10"/>
  <c r="D52" i="8"/>
  <c r="L17" i="9"/>
  <c r="D60" i="8"/>
  <c r="R17" i="11"/>
  <c r="R12" i="11"/>
  <c r="L13" i="10"/>
  <c r="R8" i="11"/>
  <c r="D44" i="8"/>
  <c r="L16" i="9"/>
  <c r="R15" i="11"/>
  <c r="R13" i="11"/>
  <c r="L8" i="10"/>
  <c r="L6" i="10"/>
  <c r="R11" i="11"/>
  <c r="R6" i="11"/>
  <c r="L12" i="10"/>
  <c r="D43" i="8"/>
  <c r="D59" i="8"/>
  <c r="R22" i="11"/>
  <c r="L5" i="10"/>
  <c r="M37" i="11"/>
  <c r="M38" i="11"/>
  <c r="R9" i="11" l="1"/>
  <c r="L9" i="10"/>
  <c r="T37" i="11"/>
  <c r="S37" i="11"/>
  <c r="T38" i="11"/>
  <c r="S38" i="11"/>
  <c r="O38" i="11"/>
  <c r="N38" i="11"/>
  <c r="N37" i="11"/>
  <c r="O37" i="11"/>
  <c r="E57" i="8"/>
  <c r="T66" i="11" l="1"/>
  <c r="S66" i="11"/>
  <c r="O66" i="11"/>
  <c r="N66" i="11"/>
  <c r="T65" i="11"/>
  <c r="S65" i="11"/>
  <c r="O65" i="11"/>
  <c r="N65" i="11"/>
  <c r="T64" i="11"/>
  <c r="S64" i="11"/>
  <c r="O64" i="11"/>
  <c r="N64" i="11"/>
  <c r="T63" i="11"/>
  <c r="S63" i="11"/>
  <c r="O63" i="11"/>
  <c r="N63" i="11"/>
  <c r="T61" i="11"/>
  <c r="S61" i="11"/>
  <c r="O61" i="11"/>
  <c r="N61" i="11"/>
  <c r="T60" i="11"/>
  <c r="S60" i="11"/>
  <c r="O60" i="11"/>
  <c r="N60" i="11"/>
  <c r="T59" i="11"/>
  <c r="S59" i="11"/>
  <c r="O59" i="11"/>
  <c r="N59" i="11"/>
  <c r="T58" i="11"/>
  <c r="S58" i="11"/>
  <c r="O58" i="11"/>
  <c r="N58" i="11"/>
  <c r="T57" i="11"/>
  <c r="S57" i="11"/>
  <c r="O57" i="11"/>
  <c r="N57" i="11"/>
  <c r="T56" i="11"/>
  <c r="S56" i="11"/>
  <c r="O56" i="11"/>
  <c r="N56" i="11"/>
  <c r="T55" i="11"/>
  <c r="S55" i="11"/>
  <c r="O55" i="11"/>
  <c r="N55" i="11"/>
  <c r="T54" i="11"/>
  <c r="S54" i="11"/>
  <c r="O54" i="11"/>
  <c r="N54" i="11"/>
  <c r="T53" i="11"/>
  <c r="S53" i="11"/>
  <c r="O53" i="11"/>
  <c r="N53" i="11"/>
  <c r="T52" i="11"/>
  <c r="S52" i="11"/>
  <c r="O52" i="11"/>
  <c r="N52" i="11"/>
  <c r="T51" i="11"/>
  <c r="S51" i="11"/>
  <c r="O51" i="11"/>
  <c r="N51" i="11"/>
  <c r="T50" i="11"/>
  <c r="S50" i="11"/>
  <c r="O50" i="11"/>
  <c r="N50" i="11"/>
  <c r="T49" i="11"/>
  <c r="S49" i="11"/>
  <c r="O49" i="11"/>
  <c r="N49" i="11"/>
  <c r="I66" i="11"/>
  <c r="D66" i="11"/>
  <c r="I65" i="11"/>
  <c r="D65" i="11"/>
  <c r="I64" i="11"/>
  <c r="D64" i="11"/>
  <c r="I63" i="11"/>
  <c r="D63" i="11"/>
  <c r="I61" i="11"/>
  <c r="D61" i="11"/>
  <c r="I60" i="11"/>
  <c r="D60" i="11"/>
  <c r="I59" i="11"/>
  <c r="D59" i="11"/>
  <c r="I58" i="11"/>
  <c r="D58" i="11"/>
  <c r="I57" i="11"/>
  <c r="D57" i="11"/>
  <c r="I56" i="11"/>
  <c r="D56" i="11"/>
  <c r="I55" i="11"/>
  <c r="D55" i="11"/>
  <c r="I54" i="11"/>
  <c r="D54" i="11"/>
  <c r="I53" i="11"/>
  <c r="I52" i="11"/>
  <c r="D52" i="11"/>
  <c r="I51" i="11"/>
  <c r="D51" i="11"/>
  <c r="I50" i="11"/>
  <c r="D50" i="11"/>
  <c r="I49" i="11"/>
  <c r="D49" i="11"/>
  <c r="J44" i="11"/>
  <c r="I44" i="11"/>
  <c r="E44" i="11"/>
  <c r="D44" i="11"/>
  <c r="J43" i="11"/>
  <c r="I43" i="11"/>
  <c r="E43" i="11"/>
  <c r="D43" i="11"/>
  <c r="J42" i="11"/>
  <c r="I42" i="11"/>
  <c r="E42" i="11"/>
  <c r="D42" i="11"/>
  <c r="J41" i="11"/>
  <c r="I41" i="11"/>
  <c r="E41" i="11"/>
  <c r="D41" i="11"/>
  <c r="J39" i="11"/>
  <c r="I39" i="11"/>
  <c r="E39" i="11"/>
  <c r="D39" i="11"/>
  <c r="J38" i="11"/>
  <c r="I38" i="11"/>
  <c r="E38" i="11"/>
  <c r="D38" i="11"/>
  <c r="J37" i="11"/>
  <c r="I37" i="11"/>
  <c r="E37" i="11"/>
  <c r="D37" i="11"/>
  <c r="J36" i="11"/>
  <c r="I36" i="11"/>
  <c r="E36" i="11"/>
  <c r="D36" i="11"/>
  <c r="J35" i="11"/>
  <c r="I35" i="11"/>
  <c r="E35" i="11"/>
  <c r="D35" i="11"/>
  <c r="J34" i="11"/>
  <c r="I34" i="11"/>
  <c r="E34" i="11"/>
  <c r="D34" i="11"/>
  <c r="J33" i="11"/>
  <c r="I33" i="11"/>
  <c r="E33" i="11"/>
  <c r="D33" i="11"/>
  <c r="J32" i="11"/>
  <c r="I32" i="11"/>
  <c r="E32" i="11"/>
  <c r="D32" i="11"/>
  <c r="J31" i="11"/>
  <c r="I31" i="11"/>
  <c r="E31" i="11"/>
  <c r="D31" i="11"/>
  <c r="J30" i="11"/>
  <c r="I30" i="11"/>
  <c r="E30" i="11"/>
  <c r="D30" i="11"/>
  <c r="J29" i="11"/>
  <c r="I29" i="11"/>
  <c r="E29" i="11"/>
  <c r="D29" i="11"/>
  <c r="J28" i="11"/>
  <c r="I28" i="11"/>
  <c r="E28" i="11"/>
  <c r="D28" i="11"/>
  <c r="J27" i="11"/>
  <c r="I27" i="11"/>
  <c r="E27" i="11"/>
  <c r="D27" i="11"/>
  <c r="H15" i="11"/>
  <c r="H16" i="11"/>
  <c r="M15" i="11"/>
  <c r="M16" i="11"/>
  <c r="R32" i="11"/>
  <c r="R35" i="11"/>
  <c r="R39" i="11"/>
  <c r="R43" i="11"/>
  <c r="R36" i="11"/>
  <c r="R33" i="11"/>
  <c r="R27" i="11"/>
  <c r="R30" i="11"/>
  <c r="R42" i="11"/>
  <c r="R34" i="11"/>
  <c r="R41" i="11"/>
  <c r="R28" i="11"/>
  <c r="R44" i="11"/>
  <c r="M30" i="11"/>
  <c r="M33" i="11"/>
  <c r="M32" i="11"/>
  <c r="M43" i="11"/>
  <c r="M39" i="11"/>
  <c r="M29" i="11"/>
  <c r="M42" i="11"/>
  <c r="M41" i="11"/>
  <c r="M36" i="11"/>
  <c r="M35" i="11"/>
  <c r="M27" i="11"/>
  <c r="M34" i="11"/>
  <c r="M28" i="11"/>
  <c r="U13" i="2"/>
  <c r="R7" i="2"/>
  <c r="O16" i="2"/>
  <c r="I11" i="2"/>
  <c r="L6" i="2"/>
  <c r="U6" i="2"/>
  <c r="R11" i="2"/>
  <c r="I6" i="2"/>
  <c r="U21" i="2"/>
  <c r="R16" i="2"/>
  <c r="R22" i="2"/>
  <c r="L12" i="2"/>
  <c r="U15" i="2"/>
  <c r="I22" i="2"/>
  <c r="O7" i="2"/>
  <c r="U19" i="2"/>
  <c r="F15" i="2"/>
  <c r="L19" i="2"/>
  <c r="F22" i="2"/>
  <c r="O6" i="2"/>
  <c r="R17" i="2"/>
  <c r="I9" i="2"/>
  <c r="L13" i="2"/>
  <c r="U12" i="2"/>
  <c r="L18" i="2"/>
  <c r="O9" i="2"/>
  <c r="R12" i="2"/>
  <c r="I14" i="2"/>
  <c r="R13" i="2"/>
  <c r="L20" i="2"/>
  <c r="F17" i="2"/>
  <c r="L15" i="2"/>
  <c r="I21" i="2"/>
  <c r="I17" i="2"/>
  <c r="F13" i="2"/>
  <c r="O15" i="2"/>
  <c r="O18" i="2"/>
  <c r="L14" i="2"/>
  <c r="L7" i="2"/>
  <c r="U20" i="2"/>
  <c r="O14" i="2"/>
  <c r="U7" i="2"/>
  <c r="R19" i="2"/>
  <c r="F16" i="2"/>
  <c r="I13" i="2"/>
  <c r="L8" i="2"/>
  <c r="O13" i="2"/>
  <c r="I8" i="2"/>
  <c r="L11" i="2"/>
  <c r="F12" i="2"/>
  <c r="U16" i="2"/>
  <c r="F19" i="2"/>
  <c r="U18" i="2"/>
  <c r="R6" i="2"/>
  <c r="O20" i="2"/>
  <c r="R20" i="2"/>
  <c r="U22" i="2"/>
  <c r="U8" i="2"/>
  <c r="L21" i="2"/>
  <c r="R14" i="2"/>
  <c r="U17" i="2"/>
  <c r="O11" i="2"/>
  <c r="F18" i="2"/>
  <c r="O21" i="2"/>
  <c r="F14" i="2"/>
  <c r="R15" i="2"/>
  <c r="L17" i="2"/>
  <c r="F20" i="2"/>
  <c r="I19" i="2"/>
  <c r="I16" i="2"/>
  <c r="O8" i="2"/>
  <c r="I12" i="2"/>
  <c r="U14" i="2"/>
  <c r="L9" i="2"/>
  <c r="L22" i="2"/>
  <c r="U11" i="2"/>
  <c r="I15" i="2"/>
  <c r="U9" i="2"/>
  <c r="I7" i="2"/>
  <c r="I20" i="2"/>
  <c r="R9" i="2"/>
  <c r="I18" i="2"/>
  <c r="R8" i="2"/>
  <c r="R18" i="2"/>
  <c r="O22" i="2"/>
  <c r="O17" i="2"/>
  <c r="L16" i="2"/>
  <c r="F21" i="2"/>
  <c r="O12" i="2"/>
  <c r="O19" i="2"/>
  <c r="R21" i="2"/>
  <c r="M31" i="11" l="1"/>
  <c r="R34" i="2"/>
  <c r="L37" i="2"/>
  <c r="U31" i="2"/>
  <c r="L36" i="2"/>
  <c r="F43" i="2"/>
  <c r="U42" i="2"/>
  <c r="L31" i="2"/>
  <c r="R36" i="2"/>
  <c r="U43" i="2"/>
  <c r="L41" i="2"/>
  <c r="U39" i="2"/>
  <c r="U41" i="2"/>
  <c r="O34" i="2"/>
  <c r="O32" i="2"/>
  <c r="U32" i="2"/>
  <c r="F41" i="2"/>
  <c r="O31" i="2"/>
  <c r="F37" i="2"/>
  <c r="U29" i="2"/>
  <c r="L32" i="2"/>
  <c r="U44" i="2"/>
  <c r="I44" i="2"/>
  <c r="L30" i="2"/>
  <c r="U38" i="2"/>
  <c r="F39" i="2"/>
  <c r="R35" i="2"/>
  <c r="I29" i="2"/>
  <c r="O42" i="2"/>
  <c r="F38" i="2"/>
  <c r="O40" i="2"/>
  <c r="U30" i="2"/>
  <c r="F42" i="2"/>
  <c r="O29" i="2"/>
  <c r="R37" i="2"/>
  <c r="O38" i="2"/>
  <c r="F44" i="2"/>
  <c r="L45" i="2"/>
  <c r="L38" i="2"/>
  <c r="R42" i="2"/>
  <c r="I38" i="2"/>
  <c r="I32" i="2"/>
  <c r="R38" i="2"/>
  <c r="O36" i="2"/>
  <c r="I39" i="2"/>
  <c r="F35" i="2"/>
  <c r="R39" i="2"/>
  <c r="R32" i="2"/>
  <c r="R29" i="2"/>
  <c r="O45" i="2"/>
  <c r="O43" i="2"/>
  <c r="I43" i="2"/>
  <c r="R41" i="2"/>
  <c r="F40" i="2"/>
  <c r="R45" i="2"/>
  <c r="F45" i="2"/>
  <c r="O30" i="2"/>
  <c r="R30" i="2"/>
  <c r="U45" i="2"/>
  <c r="U34" i="2"/>
  <c r="L44" i="2"/>
  <c r="R43" i="2"/>
  <c r="I30" i="2"/>
  <c r="O37" i="2"/>
  <c r="O39" i="2"/>
  <c r="I42" i="2"/>
  <c r="O41" i="2"/>
  <c r="I34" i="2"/>
  <c r="R44" i="2"/>
  <c r="I31" i="2"/>
  <c r="I40" i="2"/>
  <c r="O44" i="2"/>
  <c r="U40" i="2"/>
  <c r="U37" i="2"/>
  <c r="I36" i="2"/>
  <c r="L40" i="2"/>
  <c r="R31" i="2"/>
  <c r="I37" i="2"/>
  <c r="L42" i="2"/>
  <c r="L35" i="2"/>
  <c r="I41" i="2"/>
  <c r="F36" i="2"/>
  <c r="O35" i="2"/>
  <c r="L29" i="2"/>
  <c r="I45" i="2"/>
  <c r="R40" i="2"/>
  <c r="U36" i="2"/>
  <c r="L43" i="2"/>
  <c r="U35" i="2"/>
  <c r="I35" i="2"/>
  <c r="L34" i="2"/>
  <c r="L39" i="2"/>
  <c r="O16" i="11"/>
  <c r="N16" i="11"/>
  <c r="O15" i="11"/>
  <c r="N15" i="11"/>
  <c r="I16" i="11"/>
  <c r="J16" i="11"/>
  <c r="I15" i="11"/>
  <c r="J15" i="11"/>
  <c r="D15" i="11"/>
  <c r="E15" i="11"/>
  <c r="E16" i="11"/>
  <c r="D16" i="11"/>
  <c r="U10" i="2"/>
  <c r="O28" i="11"/>
  <c r="N28" i="11"/>
  <c r="O30" i="11"/>
  <c r="N30" i="11"/>
  <c r="T27" i="11"/>
  <c r="S27" i="11"/>
  <c r="R29" i="11"/>
  <c r="R31" i="11" s="1"/>
  <c r="T30" i="11"/>
  <c r="S30" i="11"/>
  <c r="N32" i="11"/>
  <c r="O32" i="11"/>
  <c r="N33" i="11"/>
  <c r="O33" i="11"/>
  <c r="N34" i="11"/>
  <c r="O34" i="11"/>
  <c r="N35" i="11"/>
  <c r="O35" i="11"/>
  <c r="N36" i="11"/>
  <c r="O36" i="11"/>
  <c r="O39" i="11"/>
  <c r="N39" i="11"/>
  <c r="N41" i="11"/>
  <c r="O41" i="11"/>
  <c r="N42" i="11"/>
  <c r="O42" i="11"/>
  <c r="N43" i="11"/>
  <c r="O43" i="11"/>
  <c r="N44" i="11"/>
  <c r="O44" i="11"/>
  <c r="O27" i="11"/>
  <c r="N27" i="11"/>
  <c r="S32" i="11"/>
  <c r="T32" i="11"/>
  <c r="S33" i="11"/>
  <c r="T33" i="11"/>
  <c r="S34" i="11"/>
  <c r="T34" i="11"/>
  <c r="S35" i="11"/>
  <c r="T35" i="11"/>
  <c r="S36" i="11"/>
  <c r="T36" i="11"/>
  <c r="S39" i="11"/>
  <c r="T39" i="11"/>
  <c r="S41" i="11"/>
  <c r="T41" i="11"/>
  <c r="S42" i="11"/>
  <c r="T42" i="11"/>
  <c r="T43" i="11"/>
  <c r="S43" i="11"/>
  <c r="S44" i="11"/>
  <c r="T44" i="11"/>
  <c r="O29" i="11"/>
  <c r="N29" i="11"/>
  <c r="T28" i="11"/>
  <c r="S28" i="11"/>
  <c r="F11" i="2"/>
  <c r="U33" i="2" l="1"/>
  <c r="R33" i="2"/>
  <c r="L33" i="2"/>
  <c r="T31" i="11"/>
  <c r="S31" i="11"/>
  <c r="O31" i="11"/>
  <c r="N31" i="11"/>
  <c r="I33" i="2"/>
  <c r="F34" i="2"/>
  <c r="O33" i="2"/>
  <c r="T29" i="11"/>
  <c r="S29" i="11"/>
  <c r="R10" i="2"/>
  <c r="O10" i="2"/>
  <c r="L10" i="2"/>
  <c r="I10" i="2"/>
  <c r="M13" i="9"/>
  <c r="M12" i="9"/>
  <c r="E4" i="9"/>
  <c r="S4" i="8"/>
  <c r="S6" i="8" s="1"/>
  <c r="S5" i="8"/>
  <c r="L6" i="8"/>
  <c r="S8" i="8"/>
  <c r="S9" i="8"/>
  <c r="S12" i="8"/>
  <c r="S13" i="8"/>
  <c r="S16" i="8"/>
  <c r="S17" i="8"/>
  <c r="S20" i="8"/>
  <c r="S21" i="8"/>
  <c r="S24" i="8"/>
  <c r="S25" i="8"/>
  <c r="S28" i="8"/>
  <c r="S29" i="8"/>
  <c r="F16" i="10"/>
  <c r="F15" i="10"/>
  <c r="M14" i="11"/>
  <c r="M21" i="11"/>
  <c r="L13" i="9"/>
  <c r="I7" i="10"/>
  <c r="I15" i="10"/>
  <c r="R13" i="8"/>
  <c r="R5" i="8"/>
  <c r="R21" i="8"/>
  <c r="M7" i="11"/>
  <c r="M22" i="11"/>
  <c r="I19" i="10"/>
  <c r="I11" i="10"/>
  <c r="R24" i="8"/>
  <c r="M20" i="11"/>
  <c r="I17" i="10"/>
  <c r="R20" i="8"/>
  <c r="M13" i="11"/>
  <c r="I12" i="10"/>
  <c r="I20" i="10"/>
  <c r="R4" i="8"/>
  <c r="M12" i="11"/>
  <c r="R28" i="8"/>
  <c r="I5" i="10"/>
  <c r="M19" i="11"/>
  <c r="I8" i="10"/>
  <c r="M5" i="11"/>
  <c r="R12" i="8"/>
  <c r="R17" i="8"/>
  <c r="M8" i="11"/>
  <c r="I10" i="10"/>
  <c r="I21" i="10"/>
  <c r="I13" i="10"/>
  <c r="R16" i="8"/>
  <c r="I22" i="10"/>
  <c r="L12" i="9"/>
  <c r="M11" i="11"/>
  <c r="I14" i="10"/>
  <c r="R9" i="8"/>
  <c r="M17" i="11"/>
  <c r="I6" i="10"/>
  <c r="I16" i="10"/>
  <c r="M10" i="11"/>
  <c r="R25" i="8"/>
  <c r="R29" i="8"/>
  <c r="M6" i="11"/>
  <c r="R8" i="8"/>
  <c r="F37" i="10"/>
  <c r="F38" i="10"/>
  <c r="C37" i="10"/>
  <c r="C38" i="10"/>
  <c r="F8" i="2"/>
  <c r="C15" i="2"/>
  <c r="F6" i="2"/>
  <c r="C12" i="2"/>
  <c r="C19" i="2"/>
  <c r="C22" i="2"/>
  <c r="C13" i="2"/>
  <c r="F9" i="2"/>
  <c r="C17" i="2"/>
  <c r="F7" i="2"/>
  <c r="C16" i="2"/>
  <c r="C21" i="2"/>
  <c r="C18" i="2"/>
  <c r="C20" i="2"/>
  <c r="C14" i="2"/>
  <c r="M9" i="11" l="1"/>
  <c r="I9" i="10"/>
  <c r="F32" i="2"/>
  <c r="C35" i="2"/>
  <c r="C40" i="2"/>
  <c r="C45" i="2"/>
  <c r="C41" i="2"/>
  <c r="C39" i="2"/>
  <c r="C32" i="2"/>
  <c r="C30" i="2"/>
  <c r="F31" i="2"/>
  <c r="C43" i="2"/>
  <c r="C38" i="2"/>
  <c r="C34" i="2"/>
  <c r="C31" i="2"/>
  <c r="F30" i="2"/>
  <c r="C29" i="2"/>
  <c r="C42" i="2"/>
  <c r="C37" i="2"/>
  <c r="C44" i="2"/>
  <c r="F29" i="2"/>
  <c r="C36" i="2"/>
  <c r="F10" i="2"/>
  <c r="T4" i="8"/>
  <c r="T5" i="8"/>
  <c r="C10" i="2"/>
  <c r="S14" i="8"/>
  <c r="S18" i="8"/>
  <c r="F33" i="2" l="1"/>
  <c r="C33" i="2"/>
  <c r="E29" i="9"/>
  <c r="E28" i="9"/>
  <c r="E25" i="9"/>
  <c r="E24" i="9"/>
  <c r="E21" i="9"/>
  <c r="E20" i="9"/>
  <c r="E17" i="9"/>
  <c r="E16" i="9"/>
  <c r="E13" i="9"/>
  <c r="E12" i="9"/>
  <c r="E9" i="9"/>
  <c r="E8" i="9"/>
  <c r="M9" i="9"/>
  <c r="M8" i="9"/>
  <c r="L29" i="8"/>
  <c r="L28" i="8"/>
  <c r="L25" i="8"/>
  <c r="L24" i="8"/>
  <c r="L21" i="8"/>
  <c r="L20" i="8"/>
  <c r="L17" i="8"/>
  <c r="L16" i="8"/>
  <c r="L13" i="8"/>
  <c r="L12" i="8"/>
  <c r="L9" i="8"/>
  <c r="L8" i="8"/>
  <c r="L5" i="8"/>
  <c r="L4" i="8"/>
  <c r="L22" i="8" l="1"/>
  <c r="L14" i="8" l="1"/>
  <c r="E5" i="9" l="1"/>
  <c r="M29" i="9" l="1"/>
  <c r="T8" i="1" s="1"/>
  <c r="M28" i="9"/>
  <c r="T7" i="1" s="1"/>
  <c r="E91" i="8"/>
  <c r="E90" i="8"/>
  <c r="E87" i="8"/>
  <c r="E86" i="8"/>
  <c r="E83" i="8"/>
  <c r="E82" i="8"/>
  <c r="E79" i="8"/>
  <c r="E78" i="8"/>
  <c r="E75" i="8"/>
  <c r="E74" i="8"/>
  <c r="E71" i="8"/>
  <c r="E70" i="8"/>
  <c r="E67" i="8"/>
  <c r="E66" i="8"/>
  <c r="K24" i="8"/>
  <c r="K16" i="8"/>
  <c r="K21" i="8"/>
  <c r="H20" i="11"/>
  <c r="H8" i="11"/>
  <c r="F10" i="10"/>
  <c r="H11" i="11"/>
  <c r="K9" i="8"/>
  <c r="K8" i="8"/>
  <c r="H5" i="11"/>
  <c r="K17" i="8"/>
  <c r="K28" i="8"/>
  <c r="H6" i="11"/>
  <c r="H21" i="11"/>
  <c r="F13" i="10"/>
  <c r="F14" i="10"/>
  <c r="F7" i="10"/>
  <c r="H13" i="11"/>
  <c r="H10" i="11"/>
  <c r="F20" i="10"/>
  <c r="K20" i="8"/>
  <c r="K25" i="8"/>
  <c r="H19" i="11"/>
  <c r="F17" i="10"/>
  <c r="K4" i="8"/>
  <c r="K13" i="8"/>
  <c r="H22" i="11"/>
  <c r="F21" i="10"/>
  <c r="H17" i="11"/>
  <c r="K12" i="8"/>
  <c r="H14" i="11"/>
  <c r="H12" i="11"/>
  <c r="F8" i="10"/>
  <c r="F11" i="10"/>
  <c r="F22" i="10"/>
  <c r="K5" i="8"/>
  <c r="K29" i="8"/>
  <c r="H7" i="11"/>
  <c r="F19" i="10"/>
  <c r="F12" i="10"/>
  <c r="F5" i="10"/>
  <c r="F6" i="10"/>
  <c r="H9" i="11" l="1"/>
  <c r="F9" i="10"/>
  <c r="T9" i="1"/>
  <c r="L8" i="9"/>
  <c r="L9" i="9"/>
  <c r="M5" i="9" l="1"/>
  <c r="M4" i="9"/>
  <c r="E29" i="8"/>
  <c r="E28" i="8"/>
  <c r="E25" i="8"/>
  <c r="E24" i="8"/>
  <c r="E21" i="8"/>
  <c r="E20" i="8"/>
  <c r="E22" i="8" s="1"/>
  <c r="E17" i="8"/>
  <c r="E16" i="8"/>
  <c r="E13" i="8"/>
  <c r="E12" i="8"/>
  <c r="E9" i="8"/>
  <c r="E8" i="8"/>
  <c r="E5" i="8"/>
  <c r="E4" i="8"/>
  <c r="D28" i="8"/>
  <c r="D13" i="8"/>
  <c r="D5" i="8"/>
  <c r="D8" i="8"/>
  <c r="D24" i="8"/>
  <c r="D16" i="8"/>
  <c r="D21" i="8"/>
  <c r="D4" i="8"/>
  <c r="D17" i="8"/>
  <c r="D29" i="8"/>
  <c r="D9" i="8"/>
  <c r="D12" i="8"/>
  <c r="D25" i="8"/>
  <c r="D20" i="8"/>
  <c r="L4" i="9" l="1"/>
  <c r="L5" i="9"/>
  <c r="E10" i="8"/>
  <c r="S6" i="11" l="1"/>
  <c r="S7" i="11"/>
  <c r="S8" i="11"/>
  <c r="S9" i="11"/>
  <c r="S10" i="11"/>
  <c r="S11" i="11"/>
  <c r="S12" i="11"/>
  <c r="S13" i="11"/>
  <c r="S14" i="11"/>
  <c r="S15" i="11"/>
  <c r="S16" i="11"/>
  <c r="S17" i="11"/>
  <c r="S19" i="11"/>
  <c r="S20" i="11"/>
  <c r="S21" i="11"/>
  <c r="S22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9" i="11"/>
  <c r="T20" i="11"/>
  <c r="T21" i="11"/>
  <c r="T22" i="11"/>
  <c r="T5" i="11"/>
  <c r="N6" i="11"/>
  <c r="N7" i="11"/>
  <c r="N8" i="11"/>
  <c r="N9" i="11"/>
  <c r="N10" i="11"/>
  <c r="N11" i="11"/>
  <c r="N12" i="11"/>
  <c r="N13" i="11"/>
  <c r="N14" i="11"/>
  <c r="N17" i="11"/>
  <c r="N19" i="11"/>
  <c r="N20" i="11"/>
  <c r="N21" i="11"/>
  <c r="N22" i="11"/>
  <c r="O6" i="11"/>
  <c r="O7" i="11"/>
  <c r="O8" i="11"/>
  <c r="O9" i="11"/>
  <c r="O10" i="11"/>
  <c r="O11" i="11"/>
  <c r="O12" i="11"/>
  <c r="O13" i="11"/>
  <c r="O14" i="11"/>
  <c r="O17" i="11"/>
  <c r="O19" i="11"/>
  <c r="O20" i="11"/>
  <c r="O21" i="11"/>
  <c r="O22" i="11"/>
  <c r="O5" i="11"/>
  <c r="I6" i="11"/>
  <c r="I7" i="11"/>
  <c r="I8" i="11"/>
  <c r="I9" i="11"/>
  <c r="I10" i="11"/>
  <c r="I11" i="11"/>
  <c r="I12" i="11"/>
  <c r="I13" i="11"/>
  <c r="I14" i="11"/>
  <c r="I17" i="11"/>
  <c r="I19" i="11"/>
  <c r="I20" i="11"/>
  <c r="I21" i="11"/>
  <c r="I22" i="11"/>
  <c r="J6" i="11"/>
  <c r="J7" i="11"/>
  <c r="J8" i="11"/>
  <c r="J9" i="11"/>
  <c r="J10" i="11"/>
  <c r="J11" i="11"/>
  <c r="J12" i="11"/>
  <c r="J13" i="11"/>
  <c r="J14" i="11"/>
  <c r="J17" i="11"/>
  <c r="J19" i="11"/>
  <c r="J20" i="11"/>
  <c r="J21" i="11"/>
  <c r="J22" i="11"/>
  <c r="J5" i="11"/>
  <c r="E6" i="11"/>
  <c r="E7" i="11"/>
  <c r="E8" i="11"/>
  <c r="E9" i="11"/>
  <c r="E10" i="11"/>
  <c r="E11" i="11"/>
  <c r="E12" i="11"/>
  <c r="E13" i="11"/>
  <c r="E14" i="11"/>
  <c r="E17" i="11"/>
  <c r="E19" i="11"/>
  <c r="E20" i="11"/>
  <c r="E21" i="11"/>
  <c r="E22" i="11"/>
  <c r="E5" i="11"/>
  <c r="S5" i="11"/>
  <c r="N5" i="11"/>
  <c r="I5" i="11"/>
  <c r="D6" i="11"/>
  <c r="D7" i="11"/>
  <c r="D8" i="11"/>
  <c r="D9" i="11"/>
  <c r="D10" i="11"/>
  <c r="D11" i="11"/>
  <c r="D12" i="11"/>
  <c r="D13" i="11"/>
  <c r="D14" i="11"/>
  <c r="D17" i="11"/>
  <c r="D19" i="11"/>
  <c r="D20" i="11"/>
  <c r="D21" i="11"/>
  <c r="D22" i="11"/>
  <c r="D5" i="11"/>
  <c r="M33" i="9"/>
  <c r="M32" i="9"/>
  <c r="M34" i="9" s="1"/>
  <c r="M50" i="9"/>
  <c r="L50" i="9"/>
  <c r="N49" i="9"/>
  <c r="N48" i="9"/>
  <c r="M46" i="9"/>
  <c r="L46" i="9"/>
  <c r="N45" i="9"/>
  <c r="N44" i="9"/>
  <c r="M42" i="9"/>
  <c r="L42" i="9"/>
  <c r="N41" i="9"/>
  <c r="N40" i="9"/>
  <c r="M38" i="9"/>
  <c r="L38" i="9"/>
  <c r="N38" i="9" s="1"/>
  <c r="N37" i="9"/>
  <c r="N36" i="9"/>
  <c r="M6" i="9"/>
  <c r="L6" i="9"/>
  <c r="N5" i="9"/>
  <c r="N4" i="9"/>
  <c r="M30" i="9"/>
  <c r="M26" i="9"/>
  <c r="L26" i="9"/>
  <c r="N25" i="9"/>
  <c r="N24" i="9"/>
  <c r="M22" i="9"/>
  <c r="L22" i="9"/>
  <c r="N21" i="9"/>
  <c r="N20" i="9"/>
  <c r="M18" i="9"/>
  <c r="L18" i="9"/>
  <c r="N17" i="9"/>
  <c r="N16" i="9"/>
  <c r="M14" i="9"/>
  <c r="L14" i="9"/>
  <c r="N13" i="9"/>
  <c r="N12" i="9"/>
  <c r="M10" i="9"/>
  <c r="L10" i="9"/>
  <c r="N9" i="9"/>
  <c r="N8" i="9"/>
  <c r="L71" i="8"/>
  <c r="L70" i="8"/>
  <c r="L86" i="8"/>
  <c r="F44" i="10"/>
  <c r="D67" i="8"/>
  <c r="C35" i="10"/>
  <c r="D75" i="8"/>
  <c r="C30" i="10"/>
  <c r="D91" i="8"/>
  <c r="D74" i="8"/>
  <c r="D79" i="8"/>
  <c r="D87" i="8"/>
  <c r="C39" i="10"/>
  <c r="D70" i="8"/>
  <c r="C33" i="10"/>
  <c r="D82" i="8"/>
  <c r="C42" i="10"/>
  <c r="D71" i="8"/>
  <c r="C29" i="10"/>
  <c r="C44" i="10"/>
  <c r="C27" i="10"/>
  <c r="C41" i="10"/>
  <c r="D90" i="8"/>
  <c r="C43" i="10"/>
  <c r="D78" i="8"/>
  <c r="D83" i="8"/>
  <c r="C34" i="10"/>
  <c r="D86" i="8"/>
  <c r="D66" i="8"/>
  <c r="C32" i="10"/>
  <c r="C28" i="10"/>
  <c r="C36" i="10"/>
  <c r="C31" i="10" l="1"/>
  <c r="N50" i="9"/>
  <c r="N46" i="9"/>
  <c r="N42" i="9"/>
  <c r="L28" i="9"/>
  <c r="L29" i="9"/>
  <c r="N26" i="9"/>
  <c r="N22" i="9"/>
  <c r="N18" i="9"/>
  <c r="N14" i="9"/>
  <c r="N10" i="9"/>
  <c r="N6" i="9"/>
  <c r="C23" i="1"/>
  <c r="L91" i="8"/>
  <c r="L90" i="8"/>
  <c r="L87" i="8"/>
  <c r="L83" i="8"/>
  <c r="L82" i="8"/>
  <c r="L79" i="8"/>
  <c r="L78" i="8"/>
  <c r="L75" i="8"/>
  <c r="L74" i="8"/>
  <c r="L67" i="8"/>
  <c r="L66" i="8"/>
  <c r="K67" i="8"/>
  <c r="K79" i="8"/>
  <c r="F41" i="10"/>
  <c r="K71" i="8"/>
  <c r="K90" i="8"/>
  <c r="F35" i="10"/>
  <c r="K66" i="8"/>
  <c r="K75" i="8"/>
  <c r="F43" i="10"/>
  <c r="K86" i="8"/>
  <c r="F30" i="10"/>
  <c r="K91" i="8"/>
  <c r="F34" i="10"/>
  <c r="F28" i="10"/>
  <c r="K83" i="8"/>
  <c r="K78" i="8"/>
  <c r="F42" i="10"/>
  <c r="F39" i="10"/>
  <c r="K74" i="8"/>
  <c r="K87" i="8"/>
  <c r="F32" i="10"/>
  <c r="F33" i="10"/>
  <c r="K82" i="8"/>
  <c r="K70" i="8"/>
  <c r="F36" i="10"/>
  <c r="F27" i="10"/>
  <c r="D8" i="9" l="1"/>
  <c r="D20" i="9"/>
  <c r="D25" i="9"/>
  <c r="D12" i="9"/>
  <c r="D16" i="9"/>
  <c r="D21" i="9"/>
  <c r="D29" i="9"/>
  <c r="D24" i="9"/>
  <c r="D13" i="9"/>
  <c r="D4" i="9"/>
  <c r="D28" i="9"/>
  <c r="D9" i="9"/>
  <c r="D17" i="9"/>
  <c r="D5" i="9"/>
  <c r="G23" i="1"/>
  <c r="O23" i="1"/>
  <c r="K23" i="1"/>
  <c r="N29" i="9"/>
  <c r="L30" i="9"/>
  <c r="N30" i="9" s="1"/>
  <c r="N28" i="9"/>
  <c r="L32" i="9"/>
  <c r="S7" i="1" s="1"/>
  <c r="L33" i="9"/>
  <c r="N33" i="9" s="1"/>
  <c r="C6" i="1"/>
  <c r="C7" i="1"/>
  <c r="C9" i="1"/>
  <c r="C11" i="1"/>
  <c r="C12" i="1"/>
  <c r="C13" i="1"/>
  <c r="C14" i="1"/>
  <c r="C15" i="1"/>
  <c r="C16" i="1"/>
  <c r="C17" i="1"/>
  <c r="C18" i="1"/>
  <c r="C20" i="1"/>
  <c r="C21" i="1"/>
  <c r="C22" i="1"/>
  <c r="F29" i="10"/>
  <c r="C8" i="1" s="1"/>
  <c r="S123" i="8"/>
  <c r="R123" i="8"/>
  <c r="T122" i="8"/>
  <c r="T121" i="8"/>
  <c r="R119" i="8"/>
  <c r="T118" i="8"/>
  <c r="T117" i="8"/>
  <c r="R115" i="8"/>
  <c r="T114" i="8"/>
  <c r="T113" i="8"/>
  <c r="S111" i="8"/>
  <c r="R111" i="8"/>
  <c r="T110" i="8"/>
  <c r="T109" i="8"/>
  <c r="S107" i="8"/>
  <c r="R107" i="8"/>
  <c r="T106" i="8"/>
  <c r="T105" i="8"/>
  <c r="S103" i="8"/>
  <c r="R103" i="8"/>
  <c r="T102" i="8"/>
  <c r="T101" i="8"/>
  <c r="S99" i="8"/>
  <c r="R99" i="8"/>
  <c r="T98" i="8"/>
  <c r="T97" i="8"/>
  <c r="R92" i="8"/>
  <c r="T91" i="8"/>
  <c r="T90" i="8"/>
  <c r="R88" i="8"/>
  <c r="T87" i="8"/>
  <c r="T86" i="8"/>
  <c r="R84" i="8"/>
  <c r="T84" i="8" s="1"/>
  <c r="T83" i="8"/>
  <c r="T82" i="8"/>
  <c r="R80" i="8"/>
  <c r="T79" i="8"/>
  <c r="T78" i="8"/>
  <c r="R76" i="8"/>
  <c r="T75" i="8"/>
  <c r="T74" i="8"/>
  <c r="R72" i="8"/>
  <c r="T71" i="8"/>
  <c r="T70" i="8"/>
  <c r="R68" i="8"/>
  <c r="T67" i="8"/>
  <c r="T66" i="8"/>
  <c r="S30" i="8"/>
  <c r="R30" i="8"/>
  <c r="T29" i="8"/>
  <c r="T28" i="8"/>
  <c r="S26" i="8"/>
  <c r="R26" i="8"/>
  <c r="T25" i="8"/>
  <c r="T24" i="8"/>
  <c r="S22" i="8"/>
  <c r="R22" i="8"/>
  <c r="T21" i="8"/>
  <c r="T20" i="8"/>
  <c r="R18" i="8"/>
  <c r="T17" i="8"/>
  <c r="T16" i="8"/>
  <c r="R14" i="8"/>
  <c r="T14" i="8" s="1"/>
  <c r="T13" i="8"/>
  <c r="T12" i="8"/>
  <c r="S10" i="8"/>
  <c r="R10" i="8"/>
  <c r="T9" i="8"/>
  <c r="T8" i="8"/>
  <c r="R6" i="8"/>
  <c r="T6" i="8" s="1"/>
  <c r="D10" i="9" l="1"/>
  <c r="D30" i="9"/>
  <c r="D6" i="9"/>
  <c r="D22" i="9"/>
  <c r="D26" i="9"/>
  <c r="D18" i="9"/>
  <c r="D14" i="9"/>
  <c r="O8" i="1"/>
  <c r="K8" i="1"/>
  <c r="G8" i="1"/>
  <c r="F31" i="10"/>
  <c r="T99" i="8"/>
  <c r="T119" i="8"/>
  <c r="T115" i="8"/>
  <c r="T107" i="8"/>
  <c r="T103" i="8"/>
  <c r="T123" i="8"/>
  <c r="T111" i="8"/>
  <c r="K22" i="1"/>
  <c r="O22" i="1"/>
  <c r="G22" i="1"/>
  <c r="O21" i="1"/>
  <c r="K21" i="1"/>
  <c r="G21" i="1"/>
  <c r="G20" i="1"/>
  <c r="O20" i="1"/>
  <c r="K20" i="1"/>
  <c r="O18" i="1"/>
  <c r="G18" i="1"/>
  <c r="K18" i="1"/>
  <c r="K17" i="1"/>
  <c r="O17" i="1"/>
  <c r="G17" i="1"/>
  <c r="G16" i="1"/>
  <c r="O16" i="1"/>
  <c r="K16" i="1"/>
  <c r="O15" i="1"/>
  <c r="K15" i="1"/>
  <c r="G15" i="1"/>
  <c r="K14" i="1"/>
  <c r="O14" i="1"/>
  <c r="G14" i="1"/>
  <c r="G13" i="1"/>
  <c r="K13" i="1"/>
  <c r="O13" i="1"/>
  <c r="O12" i="1"/>
  <c r="G12" i="1"/>
  <c r="K12" i="1"/>
  <c r="O11" i="1"/>
  <c r="K11" i="1"/>
  <c r="G11" i="1"/>
  <c r="O9" i="1"/>
  <c r="K9" i="1"/>
  <c r="G9" i="1"/>
  <c r="O7" i="1"/>
  <c r="G7" i="1"/>
  <c r="K7" i="1"/>
  <c r="K6" i="1"/>
  <c r="G6" i="1"/>
  <c r="O6" i="1"/>
  <c r="T92" i="8"/>
  <c r="T88" i="8"/>
  <c r="T76" i="8"/>
  <c r="T72" i="8"/>
  <c r="T68" i="8"/>
  <c r="C10" i="1"/>
  <c r="T80" i="8"/>
  <c r="S8" i="1"/>
  <c r="U8" i="1" s="1"/>
  <c r="U7" i="1"/>
  <c r="T18" i="8"/>
  <c r="T30" i="8"/>
  <c r="T22" i="8"/>
  <c r="L34" i="9"/>
  <c r="N34" i="9" s="1"/>
  <c r="N32" i="9"/>
  <c r="T10" i="8"/>
  <c r="T26" i="8"/>
  <c r="K123" i="8"/>
  <c r="M122" i="8"/>
  <c r="M121" i="8"/>
  <c r="L119" i="8"/>
  <c r="K119" i="8"/>
  <c r="M118" i="8"/>
  <c r="M117" i="8"/>
  <c r="L115" i="8"/>
  <c r="K115" i="8"/>
  <c r="M114" i="8"/>
  <c r="M113" i="8"/>
  <c r="L111" i="8"/>
  <c r="K111" i="8"/>
  <c r="M110" i="8"/>
  <c r="M109" i="8"/>
  <c r="L107" i="8"/>
  <c r="K107" i="8"/>
  <c r="M106" i="8"/>
  <c r="M105" i="8"/>
  <c r="L103" i="8"/>
  <c r="K103" i="8"/>
  <c r="M102" i="8"/>
  <c r="M101" i="8"/>
  <c r="L99" i="8"/>
  <c r="K99" i="8"/>
  <c r="M98" i="8"/>
  <c r="M97" i="8"/>
  <c r="E123" i="8"/>
  <c r="D123" i="8"/>
  <c r="F122" i="8"/>
  <c r="F121" i="8"/>
  <c r="E119" i="8"/>
  <c r="D119" i="8"/>
  <c r="F118" i="8"/>
  <c r="F117" i="8"/>
  <c r="E115" i="8"/>
  <c r="D115" i="8"/>
  <c r="F114" i="8"/>
  <c r="F113" i="8"/>
  <c r="E111" i="8"/>
  <c r="D111" i="8"/>
  <c r="F110" i="8"/>
  <c r="F109" i="8"/>
  <c r="E107" i="8"/>
  <c r="D107" i="8"/>
  <c r="F106" i="8"/>
  <c r="F105" i="8"/>
  <c r="E103" i="8"/>
  <c r="D103" i="8"/>
  <c r="F102" i="8"/>
  <c r="F101" i="8"/>
  <c r="E99" i="8"/>
  <c r="D99" i="8"/>
  <c r="F98" i="8"/>
  <c r="F97" i="8"/>
  <c r="K92" i="8"/>
  <c r="M91" i="8"/>
  <c r="M90" i="8"/>
  <c r="K88" i="8"/>
  <c r="M87" i="8"/>
  <c r="M86" i="8"/>
  <c r="K84" i="8"/>
  <c r="M83" i="8"/>
  <c r="M82" i="8"/>
  <c r="K80" i="8"/>
  <c r="M79" i="8"/>
  <c r="M78" i="8"/>
  <c r="K76" i="8"/>
  <c r="M75" i="8"/>
  <c r="M74" i="8"/>
  <c r="K72" i="8"/>
  <c r="M71" i="8"/>
  <c r="M70" i="8"/>
  <c r="K68" i="8"/>
  <c r="M67" i="8"/>
  <c r="M66" i="8"/>
  <c r="D92" i="8"/>
  <c r="F91" i="8"/>
  <c r="F90" i="8"/>
  <c r="D88" i="8"/>
  <c r="F87" i="8"/>
  <c r="F86" i="8"/>
  <c r="D84" i="8"/>
  <c r="F83" i="8"/>
  <c r="F82" i="8"/>
  <c r="D80" i="8"/>
  <c r="F79" i="8"/>
  <c r="F78" i="8"/>
  <c r="D76" i="8"/>
  <c r="F75" i="8"/>
  <c r="F74" i="8"/>
  <c r="D72" i="8"/>
  <c r="F71" i="8"/>
  <c r="F70" i="8"/>
  <c r="D68" i="8"/>
  <c r="F67" i="8"/>
  <c r="F66" i="8"/>
  <c r="K61" i="8"/>
  <c r="M60" i="8"/>
  <c r="M59" i="8"/>
  <c r="L57" i="8"/>
  <c r="K57" i="8"/>
  <c r="M56" i="8"/>
  <c r="M55" i="8"/>
  <c r="L53" i="8"/>
  <c r="K53" i="8"/>
  <c r="M52" i="8"/>
  <c r="M51" i="8"/>
  <c r="L49" i="8"/>
  <c r="K49" i="8"/>
  <c r="M48" i="8"/>
  <c r="M47" i="8"/>
  <c r="L45" i="8"/>
  <c r="K45" i="8"/>
  <c r="M44" i="8"/>
  <c r="M43" i="8"/>
  <c r="L41" i="8"/>
  <c r="K41" i="8"/>
  <c r="M40" i="8"/>
  <c r="M39" i="8"/>
  <c r="L37" i="8"/>
  <c r="K37" i="8"/>
  <c r="M36" i="8"/>
  <c r="M35" i="8"/>
  <c r="E61" i="8"/>
  <c r="D61" i="8"/>
  <c r="F60" i="8"/>
  <c r="F59" i="8"/>
  <c r="D57" i="8"/>
  <c r="F56" i="8"/>
  <c r="F55" i="8"/>
  <c r="E53" i="8"/>
  <c r="D53" i="8"/>
  <c r="F52" i="8"/>
  <c r="F51" i="8"/>
  <c r="E49" i="8"/>
  <c r="D49" i="8"/>
  <c r="F48" i="8"/>
  <c r="F47" i="8"/>
  <c r="E45" i="8"/>
  <c r="D45" i="8"/>
  <c r="F44" i="8"/>
  <c r="F43" i="8"/>
  <c r="E41" i="8"/>
  <c r="D41" i="8"/>
  <c r="F40" i="8"/>
  <c r="F39" i="8"/>
  <c r="E37" i="8"/>
  <c r="D37" i="8"/>
  <c r="F36" i="8"/>
  <c r="F35" i="8"/>
  <c r="L30" i="8"/>
  <c r="K30" i="8"/>
  <c r="M29" i="8"/>
  <c r="M28" i="8"/>
  <c r="L26" i="8"/>
  <c r="K26" i="8"/>
  <c r="M25" i="8"/>
  <c r="M24" i="8"/>
  <c r="K22" i="8"/>
  <c r="M21" i="8"/>
  <c r="M20" i="8"/>
  <c r="L18" i="8"/>
  <c r="K18" i="8"/>
  <c r="M17" i="8"/>
  <c r="M16" i="8"/>
  <c r="K14" i="8"/>
  <c r="M13" i="8"/>
  <c r="M12" i="8"/>
  <c r="L10" i="8"/>
  <c r="K10" i="8"/>
  <c r="M9" i="8"/>
  <c r="M8" i="8"/>
  <c r="K6" i="8"/>
  <c r="M5" i="8"/>
  <c r="M4" i="8"/>
  <c r="S9" i="1" l="1"/>
  <c r="U9" i="1" s="1"/>
  <c r="M119" i="8"/>
  <c r="M107" i="8"/>
  <c r="M103" i="8"/>
  <c r="M99" i="8"/>
  <c r="M123" i="8"/>
  <c r="M115" i="8"/>
  <c r="F99" i="8"/>
  <c r="F123" i="8"/>
  <c r="F119" i="8"/>
  <c r="F107" i="8"/>
  <c r="F115" i="8"/>
  <c r="F53" i="8"/>
  <c r="M14" i="8"/>
  <c r="M26" i="8"/>
  <c r="F111" i="8"/>
  <c r="F103" i="8"/>
  <c r="M111" i="8"/>
  <c r="F37" i="8"/>
  <c r="F61" i="8"/>
  <c r="M45" i="8"/>
  <c r="M57" i="8"/>
  <c r="F72" i="8"/>
  <c r="F84" i="8"/>
  <c r="M68" i="8"/>
  <c r="M92" i="8"/>
  <c r="M6" i="8"/>
  <c r="M30" i="8"/>
  <c r="F45" i="8"/>
  <c r="M61" i="8"/>
  <c r="F76" i="8"/>
  <c r="M22" i="8"/>
  <c r="F57" i="8"/>
  <c r="M41" i="8"/>
  <c r="M53" i="8"/>
  <c r="F68" i="8"/>
  <c r="M88" i="8"/>
  <c r="M49" i="8"/>
  <c r="M84" i="8"/>
  <c r="F88" i="8"/>
  <c r="M72" i="8"/>
  <c r="F49" i="8"/>
  <c r="M18" i="8"/>
  <c r="F41" i="8"/>
  <c r="M80" i="8"/>
  <c r="M10" i="8"/>
  <c r="M37" i="8"/>
  <c r="F80" i="8"/>
  <c r="F92" i="8"/>
  <c r="M76" i="8"/>
  <c r="F13" i="9" l="1"/>
  <c r="F25" i="9"/>
  <c r="F16" i="9"/>
  <c r="F28" i="9"/>
  <c r="F21" i="9"/>
  <c r="F5" i="9"/>
  <c r="F29" i="9"/>
  <c r="F24" i="9"/>
  <c r="E30" i="9"/>
  <c r="E18" i="9"/>
  <c r="F9" i="9"/>
  <c r="E10" i="9"/>
  <c r="F8" i="9"/>
  <c r="E6" i="9"/>
  <c r="F4" i="9"/>
  <c r="E14" i="9"/>
  <c r="E22" i="9"/>
  <c r="E26" i="9"/>
  <c r="D30" i="8"/>
  <c r="D26" i="8"/>
  <c r="D22" i="8"/>
  <c r="D18" i="8"/>
  <c r="D14" i="8"/>
  <c r="D10" i="8"/>
  <c r="E6" i="8"/>
  <c r="D6" i="8"/>
  <c r="F26" i="9" l="1"/>
  <c r="F18" i="9"/>
  <c r="F22" i="9"/>
  <c r="F6" i="9"/>
  <c r="F30" i="9"/>
  <c r="F12" i="9"/>
  <c r="F17" i="9"/>
  <c r="F14" i="9"/>
  <c r="F20" i="9"/>
  <c r="F10" i="9"/>
  <c r="F6" i="8"/>
  <c r="E26" i="8" l="1"/>
  <c r="F26" i="8" s="1"/>
  <c r="F22" i="8"/>
  <c r="E30" i="8" l="1"/>
  <c r="F30" i="8" s="1"/>
  <c r="F17" i="8"/>
  <c r="F20" i="8"/>
  <c r="F21" i="8"/>
  <c r="F24" i="8"/>
  <c r="F25" i="8"/>
  <c r="F28" i="8"/>
  <c r="F29" i="8"/>
  <c r="F13" i="8"/>
  <c r="F9" i="8"/>
  <c r="F5" i="8"/>
  <c r="F4" i="8"/>
  <c r="F8" i="8" l="1"/>
  <c r="F10" i="8"/>
  <c r="F12" i="8"/>
  <c r="E14" i="8"/>
  <c r="F14" i="8" s="1"/>
  <c r="F16" i="8"/>
  <c r="E18" i="8"/>
  <c r="F18" i="8" s="1"/>
</calcChain>
</file>

<file path=xl/sharedStrings.xml><?xml version="1.0" encoding="utf-8"?>
<sst xmlns="http://schemas.openxmlformats.org/spreadsheetml/2006/main" count="1775" uniqueCount="117">
  <si>
    <t>Yearly Total</t>
  </si>
  <si>
    <t>AM Field</t>
  </si>
  <si>
    <t>PM Field</t>
  </si>
  <si>
    <t>Total Field</t>
  </si>
  <si>
    <t>Member Play</t>
  </si>
  <si>
    <t>Member Intro</t>
  </si>
  <si>
    <t>Corporate</t>
  </si>
  <si>
    <t>Reciprocal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</si>
  <si>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</si>
  <si>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</si>
  <si>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</si>
  <si>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</si>
  <si>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</si>
  <si>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</si>
  <si>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</si>
  <si>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</si>
  <si>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</si>
  <si>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</si>
  <si>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Bookings</t>
  </si>
  <si>
    <t>Spots Available</t>
  </si>
  <si>
    <t>Occupancy</t>
  </si>
  <si>
    <t>Notes</t>
  </si>
  <si>
    <t>Monday</t>
  </si>
  <si>
    <t>AM</t>
  </si>
  <si>
    <t>PM</t>
  </si>
  <si>
    <t>Total Occupancy</t>
  </si>
  <si>
    <t>Total Monday Occupancy</t>
  </si>
  <si>
    <t>Tuesday</t>
  </si>
  <si>
    <t>Total Tuesday Occupancy</t>
  </si>
  <si>
    <t>Wednesday</t>
  </si>
  <si>
    <t>Total Wednesday Occupancy</t>
  </si>
  <si>
    <t>Thursday</t>
  </si>
  <si>
    <t>Total Thursday Occupancy</t>
  </si>
  <si>
    <t>Friday</t>
  </si>
  <si>
    <t>Total Friday Occupancy</t>
  </si>
  <si>
    <t>Saturday</t>
  </si>
  <si>
    <t>Total Saturday Occupancy</t>
  </si>
  <si>
    <t>Sunday</t>
  </si>
  <si>
    <t>Total Sunday Occupancy</t>
  </si>
  <si>
    <t>Day by Totals</t>
  </si>
  <si>
    <t>JANUARY</t>
  </si>
  <si>
    <t>Row Labels</t>
  </si>
  <si>
    <t>Sum of AM FIELD</t>
  </si>
  <si>
    <t>Sum of PM FIELD</t>
  </si>
  <si>
    <t>Sum of TOTAL FIELD</t>
  </si>
  <si>
    <t>Sum of No. GUESTS</t>
  </si>
  <si>
    <t>Sum of MEMBER</t>
  </si>
  <si>
    <t>Sum of MANAGER INTRO</t>
  </si>
  <si>
    <t>Sum of CORPORATE</t>
  </si>
  <si>
    <t>Sum of VOUCHER</t>
  </si>
  <si>
    <t>Sum of RECIP</t>
  </si>
  <si>
    <t>Sum of COMP</t>
  </si>
  <si>
    <t>Mon</t>
  </si>
  <si>
    <t>Tue</t>
  </si>
  <si>
    <t>Wed</t>
  </si>
  <si>
    <t>Thu</t>
  </si>
  <si>
    <t>Fri</t>
  </si>
  <si>
    <t>Sat</t>
  </si>
  <si>
    <t>Sun</t>
  </si>
  <si>
    <t>Grand Total</t>
  </si>
  <si>
    <t>MARCH</t>
  </si>
  <si>
    <t>APRIL</t>
  </si>
  <si>
    <t>MAY</t>
  </si>
  <si>
    <t>JUNE</t>
  </si>
  <si>
    <t>Sum of MEMB GUEST MICLUB</t>
  </si>
  <si>
    <t>JULY</t>
  </si>
  <si>
    <t>November</t>
  </si>
  <si>
    <t>Sum of INTERSTATE</t>
  </si>
  <si>
    <t>Sum of INTERNATIONAL</t>
  </si>
  <si>
    <t>Sum of INDUSTRY GUEST</t>
  </si>
  <si>
    <t>Sum of MEMB GUEST UNACCOMPANIED</t>
  </si>
  <si>
    <t>Sum of NON-PLAYING</t>
  </si>
  <si>
    <t>FEBRUARY</t>
  </si>
  <si>
    <t>AUGUST</t>
  </si>
  <si>
    <t>Member / Guest Ratio</t>
  </si>
  <si>
    <t>Interstate</t>
  </si>
  <si>
    <t>International</t>
  </si>
  <si>
    <t>Industry Guest</t>
  </si>
  <si>
    <t>Member Guest Unaccompanied</t>
  </si>
  <si>
    <t>Voucher</t>
  </si>
  <si>
    <t>Competition</t>
  </si>
  <si>
    <t>February</t>
  </si>
  <si>
    <t>Guests</t>
  </si>
  <si>
    <t>Manger Intro</t>
  </si>
  <si>
    <t>Non Playing</t>
  </si>
  <si>
    <t>Total Average (Month)</t>
  </si>
  <si>
    <t>Total Average (Week)</t>
  </si>
  <si>
    <t>Total February Occupancy</t>
  </si>
  <si>
    <t>Total March Occupancy</t>
  </si>
  <si>
    <t>2024 Totals (By Day)</t>
  </si>
  <si>
    <t>2024 Totals (By Month)</t>
  </si>
  <si>
    <t xml:space="preserve">Occupancy </t>
  </si>
  <si>
    <t>Total April Occupancy</t>
  </si>
  <si>
    <t>Total May Occupancy</t>
  </si>
  <si>
    <t>Total June Occupancy</t>
  </si>
  <si>
    <t>Total July Occupancy</t>
  </si>
  <si>
    <t>Total August Occupancy</t>
  </si>
  <si>
    <t>Total September Occupancy</t>
  </si>
  <si>
    <t>Total October Occupancy</t>
  </si>
  <si>
    <t>Total November Occupancy</t>
  </si>
  <si>
    <t>Total December Occupancy</t>
  </si>
  <si>
    <t>Daily</t>
  </si>
  <si>
    <t>Weekly</t>
  </si>
  <si>
    <t>Averages (Day)</t>
  </si>
  <si>
    <t>Total Average (Day)</t>
  </si>
  <si>
    <t>-</t>
  </si>
  <si>
    <t>Total January Occupancy</t>
  </si>
  <si>
    <t>SEPTEMBER</t>
  </si>
  <si>
    <t>OCTOBER</t>
  </si>
  <si>
    <t>NOVEMBER</t>
  </si>
  <si>
    <t>DECEMBER</t>
  </si>
  <si>
    <t>2024 Occupancy Totals</t>
  </si>
  <si>
    <t>Time</t>
  </si>
  <si>
    <t>Total</t>
  </si>
  <si>
    <t>Event</t>
  </si>
  <si>
    <t>Sum of EVENT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</si>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</sst>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0.0"/>
    <numFmt numFmtId="166" formatCode="_-* #,##0_-;\-* #,##0_-;_-* &quot;-&quot;??_-;_-@_-"/>
    <numFmt numFmtId="167" formatCode="[$-F800]dddd\,\ mmmm\ dd\,\ 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Open Sans"/>
      <family val="2"/>
    </font>
    <font>
      <b/>
      <sz val="14"/>
      <color theme="1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sz val="14"/>
      <color theme="1"/>
      <name val="Open Sans"/>
      <family val="2"/>
    </font>
    <font>
      <sz val="12"/>
      <color theme="1"/>
      <name val="Open Sans"/>
      <family val="2"/>
    </font>
    <font>
      <sz val="8"/>
      <name val="Aptos Narrow"/>
      <family val="2"/>
      <scheme val="minor"/>
    </font>
    <font>
      <sz val="10"/>
      <color theme="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256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9" fontId="4" fillId="0" borderId="4" xfId="1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9" fontId="4" fillId="0" borderId="11" xfId="1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9" fontId="5" fillId="0" borderId="9" xfId="1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9" fontId="4" fillId="0" borderId="0" xfId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9" fontId="5" fillId="0" borderId="6" xfId="1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9" fontId="4" fillId="0" borderId="0" xfId="1" applyFont="1" applyBorder="1" applyAlignment="1">
      <alignment horizontal="center" wrapText="1"/>
    </xf>
    <xf numFmtId="0" fontId="4" fillId="0" borderId="0" xfId="0" applyFont="1"/>
    <xf numFmtId="0" fontId="2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9" fontId="5" fillId="0" borderId="0" xfId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164" fontId="4" fillId="0" borderId="4" xfId="1" applyNumberFormat="1" applyFont="1" applyBorder="1" applyAlignment="1">
      <alignment horizontal="center" wrapText="1"/>
    </xf>
    <xf numFmtId="164" fontId="4" fillId="0" borderId="1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 wrapText="1"/>
    </xf>
    <xf numFmtId="164" fontId="4" fillId="0" borderId="0" xfId="0" applyNumberFormat="1" applyFont="1"/>
    <xf numFmtId="164" fontId="4" fillId="0" borderId="0" xfId="1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 wrapText="1"/>
    </xf>
    <xf numFmtId="9" fontId="4" fillId="0" borderId="0" xfId="1" applyFon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9" fontId="4" fillId="0" borderId="0" xfId="1" applyFont="1" applyBorder="1" applyAlignment="1">
      <alignment horizontal="center" vertical="center" wrapText="1"/>
    </xf>
    <xf numFmtId="9" fontId="5" fillId="0" borderId="0" xfId="1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5" fillId="0" borderId="1" xfId="3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3" fillId="0" borderId="0" xfId="2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66" fontId="6" fillId="0" borderId="0" xfId="0" applyNumberFormat="1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pivotButton="1" applyFont="1"/>
    <xf numFmtId="166" fontId="4" fillId="0" borderId="1" xfId="3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6">
    <dxf>
      <font>
        <name val="Open Sans"/>
        <scheme val="none"/>
      </font>
    </dxf>
    <dxf>
      <font>
        <name val="Open Sans"/>
        <scheme val="none"/>
      </font>
    </dxf>
    <dxf>
      <font>
        <name val="Open Sans"/>
        <scheme val="none"/>
      </font>
    </dxf>
    <dxf>
      <font>
        <name val="Open Sans"/>
        <scheme val="none"/>
      </font>
    </dxf>
    <dxf>
      <font>
        <name val="Open Sans"/>
        <scheme val="none"/>
      </font>
    </dxf>
    <dxf>
      <font>
        <name val="Open Sans"/>
        <scheme val="none"/>
      </font>
    </dxf>
  </dxfs>
  <tableStyles count="0" defaultTableStyle="TableStyleMedium2" defaultPivotStyle="PivotStyleLight16"/>
  <colors>
    <mruColors>
      <color rgb="FFFC62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pivotCacheDefinition" Target="pivotCache/pivotCacheDefinition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February%20Round%20Tracking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June%20Round%20Tracking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April%20Round%20Tracking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August%20Round%20Tracking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January%20Round%20Tracking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March%20Round%20Tracking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May%20Round%20Tracking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October%20Round%20Tracking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September%20Round%20Tracking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July%20Round%20Tracking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November%20Round%20Tracking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4%20Round%20Tracking/2024%20December%20Round%20Tracking.xlsx" TargetMode="External"/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73.411913194446" createdVersion="8" refreshedVersion="8" minRefreshableVersion="3" recordCount="29" xr:uid="{5E494968-3F3A-43BF-9086-B1E5832EEB2A}">
  <cacheSource type="worksheet">
    <worksheetSource ref="A1:T30" sheet="Daily Numbers" r:id="rId2"/>
  </cacheSource>
  <cacheFields count="20">
    <cacheField name="DATE" numFmtId="14">
      <sharedItems containsSemiMixedTypes="0" containsNonDate="0" containsDate="1" containsString="0" minDate="2024-02-01T00:00:00" maxDate="2024-03-01T00:00:00"/>
    </cacheField>
    <cacheField name="DAY" numFmtId="0">
      <sharedItems count="7">
        <s v="Thu"/>
        <s v="Fri"/>
        <s v="Sat"/>
        <s v="Sun"/>
        <s v="Mon"/>
        <s v="Tue"/>
        <s v="Wed"/>
      </sharedItems>
    </cacheField>
    <cacheField name="AM FIELD" numFmtId="0">
      <sharedItems containsSemiMixedTypes="0" containsString="0" containsNumber="1" containsInteger="1" minValue="0" maxValue="109"/>
    </cacheField>
    <cacheField name="PM FIELD" numFmtId="0">
      <sharedItems containsSemiMixedTypes="0" containsString="0" containsNumber="1" containsInteger="1" minValue="0" maxValue="139"/>
    </cacheField>
    <cacheField name="TOTAL FIELD" numFmtId="0">
      <sharedItems containsSemiMixedTypes="0" containsString="0" containsNumber="1" containsInteger="1" minValue="29" maxValue="221"/>
    </cacheField>
    <cacheField name="No. GUESTS" numFmtId="0">
      <sharedItems containsSemiMixedTypes="0" containsString="0" containsNumber="1" containsInteger="1" minValue="0" maxValue="116"/>
    </cacheField>
    <cacheField name="MEMBER" numFmtId="0">
      <sharedItems containsSemiMixedTypes="0" containsString="0" containsNumber="1" containsInteger="1" minValue="14" maxValue="177"/>
    </cacheField>
    <cacheField name="MEMBER / GUEST RATIO" numFmtId="164">
      <sharedItems containsSemiMixedTypes="0" containsString="0" containsNumber="1" minValue="0" maxValue="0.58585858585858586"/>
    </cacheField>
    <cacheField name="MANAGER INTRO" numFmtId="0">
      <sharedItems containsSemiMixedTypes="0" containsString="0" containsNumber="1" containsInteger="1" minValue="0" maxValue="14"/>
    </cacheField>
    <cacheField name="INTERSTATE" numFmtId="0">
      <sharedItems containsSemiMixedTypes="0" containsString="0" containsNumber="1" containsInteger="1" minValue="0" maxValue="7"/>
    </cacheField>
    <cacheField name="INTERNATIONAL" numFmtId="0">
      <sharedItems containsSemiMixedTypes="0" containsString="0" containsNumber="1" containsInteger="1" minValue="0" maxValue="22"/>
    </cacheField>
    <cacheField name="INDUSTRY GUEST" numFmtId="0">
      <sharedItems containsSemiMixedTypes="0" containsString="0" containsNumber="1" containsInteger="1" minValue="0" maxValue="3"/>
    </cacheField>
    <cacheField name="MEMB GUEST MICLUB" numFmtId="0">
      <sharedItems containsSemiMixedTypes="0" containsString="0" containsNumber="1" containsInteger="1" minValue="0" maxValue="84"/>
    </cacheField>
    <cacheField name="MEMB GUEST UNACCOMPANIED" numFmtId="0">
      <sharedItems containsSemiMixedTypes="0" containsString="0" containsNumber="1" containsInteger="1" minValue="0" maxValue="8"/>
    </cacheField>
    <cacheField name="CORPORATE" numFmtId="0">
      <sharedItems containsSemiMixedTypes="0" containsString="0" containsNumber="1" containsInteger="1" minValue="0" maxValue="103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6"/>
    </cacheField>
    <cacheField name="RECIP" numFmtId="0">
      <sharedItems containsSemiMixedTypes="0" containsString="0" containsNumber="1" containsInteger="1" minValue="0" maxValue="20"/>
    </cacheField>
    <cacheField name="COMP" numFmtId="0">
      <sharedItems containsSemiMixedTypes="0" containsString="0" containsNumber="1" containsInteger="1" minValue="0" maxValue="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73.530174305553" createdVersion="8" refreshedVersion="8" minRefreshableVersion="3" recordCount="30" xr:uid="{8293105E-22B2-4E31-A879-F7C9577A8A5C}">
  <cacheSource type="worksheet">
    <worksheetSource ref="A1:T31" sheet="Daily Numbers" r:id="rId2"/>
  </cacheSource>
  <cacheFields count="20">
    <cacheField name="DATE" numFmtId="14">
      <sharedItems containsSemiMixedTypes="0" containsNonDate="0" containsDate="1" containsString="0" minDate="2024-06-01T00:00:00" maxDate="2024-07-01T00:00:00"/>
    </cacheField>
    <cacheField name="DAY" numFmtId="0">
      <sharedItems count="7">
        <s v="Sat"/>
        <s v="Sun"/>
        <s v="Mon"/>
        <s v="Tue"/>
        <s v="Wed"/>
        <s v="Thu"/>
        <s v="Fri"/>
      </sharedItems>
    </cacheField>
    <cacheField name="AM FIELD" numFmtId="0">
      <sharedItems containsSemiMixedTypes="0" containsString="0" containsNumber="1" containsInteger="1" minValue="0" maxValue="95"/>
    </cacheField>
    <cacheField name="PM FIELD" numFmtId="0">
      <sharedItems containsSemiMixedTypes="0" containsString="0" containsNumber="1" containsInteger="1" minValue="0" maxValue="108"/>
    </cacheField>
    <cacheField name="TOTAL FIELD" numFmtId="0">
      <sharedItems containsSemiMixedTypes="0" containsString="0" containsNumber="1" containsInteger="1" minValue="41" maxValue="166"/>
    </cacheField>
    <cacheField name="No. GUESTS" numFmtId="0">
      <sharedItems containsSemiMixedTypes="0" containsString="0" containsNumber="1" containsInteger="1" minValue="0" maxValue="120"/>
    </cacheField>
    <cacheField name="MEMBER" numFmtId="0">
      <sharedItems containsSemiMixedTypes="0" containsString="0" containsNumber="1" containsInteger="1" minValue="27" maxValue="152"/>
    </cacheField>
    <cacheField name="MEMBER / GUEST RATIO" numFmtId="9">
      <sharedItems containsSemiMixedTypes="0" containsString="0" containsNumber="1" minValue="0" maxValue="0.81632653061224492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20"/>
    </cacheField>
    <cacheField name="INTERNATIONAL" numFmtId="0">
      <sharedItems containsSemiMixedTypes="0" containsString="0" containsNumber="1" containsInteger="1" minValue="0" maxValue="3"/>
    </cacheField>
    <cacheField name="INDUSTRY GUEST" numFmtId="0">
      <sharedItems containsSemiMixedTypes="0" containsString="0" containsNumber="1" containsInteger="1" minValue="0" maxValue="0"/>
    </cacheField>
    <cacheField name="MEMB GUEST MICLUB" numFmtId="0">
      <sharedItems containsSemiMixedTypes="0" containsString="0" containsNumber="1" containsInteger="1" minValue="0" maxValue="33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08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5"/>
    </cacheField>
    <cacheField name="VOUCHER" numFmtId="0">
      <sharedItems containsSemiMixedTypes="0" containsString="0" containsNumber="1" containsInteger="1" minValue="0" maxValue="62"/>
    </cacheField>
    <cacheField name="RECIP" numFmtId="0">
      <sharedItems containsSemiMixedTypes="0" containsString="0" containsNumber="1" containsInteger="1" minValue="0" maxValue="11"/>
    </cacheField>
    <cacheField name="COMP" numFmtId="0">
      <sharedItems containsSemiMixedTypes="0" containsString="0" containsNumber="1" containsInteger="1" minValue="0" maxValue="1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689845023146" createdVersion="8" refreshedVersion="8" minRefreshableVersion="3" recordCount="30" xr:uid="{63598D16-4530-4EA7-BC78-4C45E46F3B25}">
  <cacheSource type="worksheet">
    <worksheetSource ref="A1:T31" sheet="Daily Numbers" r:id="rId2"/>
  </cacheSource>
  <cacheFields count="20">
    <cacheField name="DATE" numFmtId="14">
      <sharedItems containsSemiMixedTypes="0" containsNonDate="0" containsDate="1" containsString="0" minDate="2024-04-01T00:00:00" maxDate="2024-05-01T00:00:00"/>
    </cacheField>
    <cacheField name="DAY" numFmtId="0">
      <sharedItems count="7">
        <s v="Mon"/>
        <s v="Tue"/>
        <s v="Wed"/>
        <s v="Thu"/>
        <s v="Fri"/>
        <s v="Sat"/>
        <s v="Sun"/>
      </sharedItems>
    </cacheField>
    <cacheField name="AM FIELD" numFmtId="0">
      <sharedItems containsSemiMixedTypes="0" containsString="0" containsNumber="1" containsInteger="1" minValue="0" maxValue="104"/>
    </cacheField>
    <cacheField name="PM FIELD" numFmtId="0">
      <sharedItems containsSemiMixedTypes="0" containsString="0" containsNumber="1" containsInteger="1" minValue="28" maxValue="124"/>
    </cacheField>
    <cacheField name="TOTAL FIELD" numFmtId="0">
      <sharedItems containsSemiMixedTypes="0" containsString="0" containsNumber="1" containsInteger="1" minValue="55" maxValue="193"/>
    </cacheField>
    <cacheField name="No. GUESTS" numFmtId="0">
      <sharedItems containsSemiMixedTypes="0" containsString="0" containsNumber="1" containsInteger="1" minValue="0" maxValue="190"/>
    </cacheField>
    <cacheField name="MEMBER" numFmtId="0">
      <sharedItems containsSemiMixedTypes="0" containsString="0" containsNumber="1" containsInteger="1" minValue="0" maxValue="179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9"/>
    </cacheField>
    <cacheField name="INTERNATIONAL" numFmtId="0">
      <sharedItems containsSemiMixedTypes="0" containsString="0" containsNumber="1" containsInteger="1" minValue="0" maxValue="5"/>
    </cacheField>
    <cacheField name="INDUSTRY GUEST" numFmtId="0">
      <sharedItems containsSemiMixedTypes="0" containsString="0" containsNumber="1" containsInteger="1" minValue="0" maxValue="8"/>
    </cacheField>
    <cacheField name="MEMB GUEST MICLUB" numFmtId="0">
      <sharedItems containsSemiMixedTypes="0" containsString="0" containsNumber="1" containsInteger="1" minValue="0" maxValue="37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90"/>
    </cacheField>
    <cacheField name="EVENT" numFmtId="0">
      <sharedItems containsSemiMixedTypes="0" containsString="0" containsNumber="1" containsInteger="1" minValue="0" maxValue="56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17"/>
    </cacheField>
    <cacheField name="RECIP" numFmtId="0">
      <sharedItems containsSemiMixedTypes="0" containsString="0" containsNumber="1" containsInteger="1" minValue="0" maxValue="17"/>
    </cacheField>
    <cacheField name="COMP" numFmtId="0">
      <sharedItems containsSemiMixedTypes="0" containsString="0" containsNumber="1" containsInteger="1" minValue="0" maxValue="1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692784143517" createdVersion="8" refreshedVersion="8" minRefreshableVersion="3" recordCount="31" xr:uid="{25EB87E2-433D-44CF-B80D-390DEB859713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4-08-01T00:00:00" maxDate="2024-09-01T00:00:00"/>
    </cacheField>
    <cacheField name="DAY" numFmtId="0">
      <sharedItems count="7">
        <s v="Thu"/>
        <s v="Fri"/>
        <s v="Sat"/>
        <s v="Sun"/>
        <s v="Mon"/>
        <s v="Tue"/>
        <s v="Wed"/>
      </sharedItems>
    </cacheField>
    <cacheField name="AM FIELD" numFmtId="0">
      <sharedItems containsSemiMixedTypes="0" containsString="0" containsNumber="1" containsInteger="1" minValue="0" maxValue="102"/>
    </cacheField>
    <cacheField name="PM FIELD" numFmtId="0">
      <sharedItems containsSemiMixedTypes="0" containsString="0" containsNumber="1" containsInteger="1" minValue="25" maxValue="86"/>
    </cacheField>
    <cacheField name="TOTAL FIELD" numFmtId="0">
      <sharedItems containsSemiMixedTypes="0" containsString="0" containsNumber="1" containsInteger="1" minValue="54" maxValue="173"/>
    </cacheField>
    <cacheField name="No. GUESTS" numFmtId="0">
      <sharedItems containsSemiMixedTypes="0" containsString="0" containsNumber="1" containsInteger="1" minValue="0" maxValue="96"/>
    </cacheField>
    <cacheField name="MEMBER" numFmtId="0">
      <sharedItems containsSemiMixedTypes="0" containsString="0" containsNumber="1" containsInteger="1" minValue="39" maxValue="173"/>
    </cacheField>
    <cacheField name="MEMBER / GUEST RATIO" numFmtId="9">
      <sharedItems containsSemiMixedTypes="0" containsString="0" containsNumber="1" minValue="0" maxValue="0.71111111111111114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3"/>
    </cacheField>
    <cacheField name="INTERNATIONAL" numFmtId="0">
      <sharedItems containsSemiMixedTypes="0" containsString="0" containsNumber="1" containsInteger="1" minValue="0" maxValue="16"/>
    </cacheField>
    <cacheField name="INDUSTRY GUEST" numFmtId="0">
      <sharedItems containsSemiMixedTypes="0" containsString="0" containsNumber="1" containsInteger="1" minValue="0" maxValue="1"/>
    </cacheField>
    <cacheField name="MEMB GUEST MICLUB" numFmtId="0">
      <sharedItems containsSemiMixedTypes="0" containsString="0" containsNumber="1" containsInteger="1" minValue="0" maxValue="38"/>
    </cacheField>
    <cacheField name="MEMB GUEST UNACCOMPANIED" numFmtId="0">
      <sharedItems containsSemiMixedTypes="0" containsString="0" containsNumber="1" containsInteger="1" minValue="0" maxValue="4"/>
    </cacheField>
    <cacheField name="CORPORATE" numFmtId="0">
      <sharedItems containsSemiMixedTypes="0" containsString="0" containsNumber="1" containsInteger="1" minValue="0" maxValue="94"/>
    </cacheField>
    <cacheField name="EVENT" numFmtId="0">
      <sharedItems containsSemiMixedTypes="0" containsString="0" containsNumber="1" containsInteger="1" minValue="0" maxValue="82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86"/>
    </cacheField>
    <cacheField name="RECIP" numFmtId="0">
      <sharedItems containsSemiMixedTypes="0" containsString="0" containsNumber="1" containsInteger="1" minValue="0" maxValue="14"/>
    </cacheField>
    <cacheField name="COMP" numFmtId="0">
      <sharedItems containsSemiMixedTypes="0" containsString="0" containsNumber="1" containsInteger="1" minValue="0" maxValue="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694849652777" createdVersion="8" refreshedVersion="8" minRefreshableVersion="3" recordCount="31" xr:uid="{E618EAD0-C808-4999-AFD5-D652420E18EC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4-01-01T00:00:00" maxDate="2024-02-01T00:00:00"/>
    </cacheField>
    <cacheField name="DAY" numFmtId="0">
      <sharedItems count="7">
        <s v="Mon"/>
        <s v="Tue"/>
        <s v="Wed"/>
        <s v="Thu"/>
        <s v="Fri"/>
        <s v="Sat"/>
        <s v="Sun"/>
      </sharedItems>
    </cacheField>
    <cacheField name="AM FIELD" numFmtId="0">
      <sharedItems containsSemiMixedTypes="0" containsString="0" containsNumber="1" containsInteger="1" minValue="22" maxValue="108"/>
    </cacheField>
    <cacheField name="PM FIELD" numFmtId="0">
      <sharedItems containsSemiMixedTypes="0" containsString="0" containsNumber="1" containsInteger="1" minValue="10" maxValue="118"/>
    </cacheField>
    <cacheField name="TOTAL FIELD" numFmtId="0">
      <sharedItems containsSemiMixedTypes="0" containsString="0" containsNumber="1" containsInteger="1" minValue="62" maxValue="203"/>
    </cacheField>
    <cacheField name="No. GUESTS" numFmtId="0">
      <sharedItems containsSemiMixedTypes="0" containsString="0" containsNumber="1" containsInteger="1" minValue="0" maxValue="69"/>
    </cacheField>
    <cacheField name="MEMBER" numFmtId="0">
      <sharedItems containsSemiMixedTypes="0" containsString="0" containsNumber="1" containsInteger="1" minValue="1" maxValue="169"/>
    </cacheField>
    <cacheField name="MEMBER / GUEST RATIO" numFmtId="164">
      <sharedItems containsSemiMixedTypes="0" containsString="0" containsNumber="1" minValue="0" maxValue="0.9838709677419355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18"/>
    </cacheField>
    <cacheField name="INDUSTRY GUEST" numFmtId="0">
      <sharedItems containsSemiMixedTypes="0" containsString="0" containsNumber="1" containsInteger="1" minValue="0" maxValue="13"/>
    </cacheField>
    <cacheField name="MEMB GUEST MICLUB" numFmtId="0">
      <sharedItems containsSemiMixedTypes="0" containsString="0" containsNumber="1" containsInteger="1" minValue="0" maxValue="45"/>
    </cacheField>
    <cacheField name="MEMB GUEST UNACCOMPANIED" numFmtId="0">
      <sharedItems containsSemiMixedTypes="0" containsString="0" containsNumber="1" containsInteger="1" minValue="0" maxValue="6"/>
    </cacheField>
    <cacheField name="CORPORATE" numFmtId="0">
      <sharedItems containsSemiMixedTypes="0" containsString="0" containsNumber="1" containsInteger="1" minValue="0" maxValue="0"/>
    </cacheField>
    <cacheField name="EVENT" numFmtId="0">
      <sharedItems containsSemiMixedTypes="0" containsString="0" containsNumber="1" containsInteger="1" minValue="0" maxValue="52"/>
    </cacheField>
    <cacheField name="NON-PLAYING" numFmtId="0">
      <sharedItems containsSemiMixedTypes="0" containsString="0" containsNumber="1" containsInteger="1" minValue="0" maxValue="5"/>
    </cacheField>
    <cacheField name="VOUCHER" numFmtId="0">
      <sharedItems containsSemiMixedTypes="0" containsString="0" containsNumber="1" containsInteger="1" minValue="0" maxValue="5"/>
    </cacheField>
    <cacheField name="RECIP" numFmtId="0">
      <sharedItems containsSemiMixedTypes="0" containsString="0" containsNumber="1" containsInteger="1" minValue="0" maxValue="19"/>
    </cacheField>
    <cacheField name="COMP" numFmtId="0">
      <sharedItems containsSemiMixedTypes="0" containsString="0" containsNumber="1" containsInteger="1" minValue="0" maxValue="1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696594097222" createdVersion="8" refreshedVersion="8" minRefreshableVersion="3" recordCount="31" xr:uid="{D3957F4A-DC38-48B2-828C-816BE070F308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4-03-01T00:00:00" maxDate="2024-04-01T00:00:00"/>
    </cacheField>
    <cacheField name="DAY" numFmtId="0">
      <sharedItems count="7">
        <s v="Fri"/>
        <s v="Sat"/>
        <s v="Sun"/>
        <s v="Mon"/>
        <s v="Tue"/>
        <s v="Wed"/>
        <s v="Thu"/>
      </sharedItems>
    </cacheField>
    <cacheField name="AM FIELD" numFmtId="0">
      <sharedItems containsSemiMixedTypes="0" containsString="0" containsNumber="1" containsInteger="1" minValue="0" maxValue="110"/>
    </cacheField>
    <cacheField name="PM FIELD" numFmtId="0">
      <sharedItems containsSemiMixedTypes="0" containsString="0" containsNumber="1" containsInteger="1" minValue="3" maxValue="148"/>
    </cacheField>
    <cacheField name="TOTAL FIELD" numFmtId="0">
      <sharedItems containsSemiMixedTypes="0" containsString="0" containsNumber="1" containsInteger="1" minValue="76" maxValue="243"/>
    </cacheField>
    <cacheField name="No. GUESTS" numFmtId="0">
      <sharedItems containsSemiMixedTypes="0" containsString="0" containsNumber="1" containsInteger="1" minValue="0" maxValue="127"/>
    </cacheField>
    <cacheField name="MEMBER" numFmtId="0">
      <sharedItems containsSemiMixedTypes="0" containsString="0" containsNumber="1" containsInteger="1" minValue="0" maxValue="181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8"/>
    </cacheField>
    <cacheField name="INTERSTATE" numFmtId="0">
      <sharedItems containsSemiMixedTypes="0" containsString="0" containsNumber="1" containsInteger="1" minValue="0" maxValue="12"/>
    </cacheField>
    <cacheField name="INTERNATIONAL" numFmtId="0">
      <sharedItems containsSemiMixedTypes="0" containsString="0" containsNumber="1" containsInteger="1" minValue="0" maxValue="22"/>
    </cacheField>
    <cacheField name="INDUSTRY GUEST" numFmtId="0">
      <sharedItems containsSemiMixedTypes="0" containsString="0" containsNumber="1" containsInteger="1" minValue="0" maxValue="4"/>
    </cacheField>
    <cacheField name="MEMB GUEST MICLUB" numFmtId="0">
      <sharedItems containsSemiMixedTypes="0" containsString="0" containsNumber="1" containsInteger="1" minValue="0" maxValue="55"/>
    </cacheField>
    <cacheField name="MEMB GUEST UNACCOMPANIED" numFmtId="0">
      <sharedItems containsSemiMixedTypes="0" containsString="0" containsNumber="1" containsInteger="1" minValue="0" maxValue="4"/>
    </cacheField>
    <cacheField name="CORPORATE" numFmtId="0">
      <sharedItems containsSemiMixedTypes="0" containsString="0" containsNumber="1" containsInteger="1" minValue="0" maxValue="125"/>
    </cacheField>
    <cacheField name="EVENT" numFmtId="0">
      <sharedItems containsSemiMixedTypes="0" containsString="0" containsNumber="1" containsInteger="1" minValue="0" maxValue="96"/>
    </cacheField>
    <cacheField name="NON-PLAYING" numFmtId="0">
      <sharedItems containsSemiMixedTypes="0" containsString="0" containsNumber="1" containsInteger="1" minValue="0" maxValue="4"/>
    </cacheField>
    <cacheField name="VOUCHER" numFmtId="0">
      <sharedItems containsSemiMixedTypes="0" containsString="0" containsNumber="1" containsInteger="1" minValue="0" maxValue="9"/>
    </cacheField>
    <cacheField name="RECIP" numFmtId="0">
      <sharedItems containsSemiMixedTypes="0" containsString="0" containsNumber="1" containsInteger="1" minValue="0" maxValue="16"/>
    </cacheField>
    <cacheField name="COMP" numFmtId="0">
      <sharedItems containsSemiMixedTypes="0" containsString="0" containsNumber="1" containsInteger="1" minValue="0" maxValue="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699004282411" createdVersion="8" refreshedVersion="8" minRefreshableVersion="3" recordCount="31" xr:uid="{5F5DB088-2609-42A6-8A6C-5D70F0AFE144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4-05-01T00:00:00" maxDate="2024-06-01T00:00:00"/>
    </cacheField>
    <cacheField name="DAY" numFmtId="0">
      <sharedItems count="7">
        <s v="Wed"/>
        <s v="Thu"/>
        <s v="Fri"/>
        <s v="Sat"/>
        <s v="Sun"/>
        <s v="Mon"/>
        <s v="Tue"/>
      </sharedItems>
    </cacheField>
    <cacheField name="AM FIELD" numFmtId="0">
      <sharedItems containsSemiMixedTypes="0" containsString="0" containsNumber="1" containsInteger="1" minValue="0" maxValue="120"/>
    </cacheField>
    <cacheField name="PM FIELD" numFmtId="0">
      <sharedItems containsSemiMixedTypes="0" containsString="0" containsNumber="1" containsInteger="1" minValue="31" maxValue="101"/>
    </cacheField>
    <cacheField name="TOTAL FIELD" numFmtId="0">
      <sharedItems containsSemiMixedTypes="0" containsString="0" containsNumber="1" containsInteger="1" minValue="85" maxValue="203"/>
    </cacheField>
    <cacheField name="No. GUESTS" numFmtId="0">
      <sharedItems containsSemiMixedTypes="0" containsString="0" containsNumber="1" containsInteger="1" minValue="0" maxValue="135"/>
    </cacheField>
    <cacheField name="MEMBER" numFmtId="0">
      <sharedItems containsSemiMixedTypes="0" containsString="0" containsNumber="1" containsInteger="1" minValue="62" maxValue="196"/>
    </cacheField>
    <cacheField name="MEMBER / GUEST RATIO" numFmtId="9">
      <sharedItems containsSemiMixedTypes="0" containsString="0" containsNumber="1" minValue="0" maxValue="0.66502463054187189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2"/>
    </cacheField>
    <cacheField name="INTERNATIONAL" numFmtId="0">
      <sharedItems containsSemiMixedTypes="0" containsString="0" containsNumber="1" containsInteger="1" minValue="0" maxValue="4"/>
    </cacheField>
    <cacheField name="INDUSTRY GUEST" numFmtId="0">
      <sharedItems containsSemiMixedTypes="0" containsString="0" containsNumber="1" containsInteger="1" minValue="0" maxValue="2"/>
    </cacheField>
    <cacheField name="MEMB GUEST MICLUB" numFmtId="0">
      <sharedItems containsSemiMixedTypes="0" containsString="0" containsNumber="1" containsInteger="1" minValue="0" maxValue="42"/>
    </cacheField>
    <cacheField name="MEMB GUEST UNACCOMPANIED" numFmtId="0">
      <sharedItems containsSemiMixedTypes="0" containsString="0" containsNumber="1" containsInteger="1" minValue="0" maxValue="6"/>
    </cacheField>
    <cacheField name="CORPORATE" numFmtId="0">
      <sharedItems containsSemiMixedTypes="0" containsString="0" containsNumber="1" containsInteger="1" minValue="0" maxValue="120"/>
    </cacheField>
    <cacheField name="EVENT" numFmtId="0">
      <sharedItems containsSemiMixedTypes="0" containsString="0" containsNumber="1" containsInteger="1" minValue="0" maxValue="24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8"/>
    </cacheField>
    <cacheField name="RECIP" numFmtId="0">
      <sharedItems containsSemiMixedTypes="0" containsString="0" containsNumber="1" containsInteger="1" minValue="0" maxValue="20"/>
    </cacheField>
    <cacheField name="COMP" numFmtId="0">
      <sharedItems containsSemiMixedTypes="0" containsString="0" containsNumber="1" containsInteger="1" minValue="0" maxValue="1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700313194444" createdVersion="8" refreshedVersion="8" minRefreshableVersion="3" recordCount="31" xr:uid="{E6119DC4-FF36-47E1-9382-A57C69386D36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4-10-01T00:00:00" maxDate="2024-11-01T00:00:00"/>
    </cacheField>
    <cacheField name="DAY" numFmtId="0">
      <sharedItems count="7">
        <s v="Tue"/>
        <s v="Wed"/>
        <s v="Thu"/>
        <s v="Fri"/>
        <s v="Sat"/>
        <s v="Sun"/>
        <s v="Mon"/>
      </sharedItems>
    </cacheField>
    <cacheField name="AM FIELD" numFmtId="0">
      <sharedItems containsSemiMixedTypes="0" containsString="0" containsNumber="1" containsInteger="1" minValue="0" maxValue="104"/>
    </cacheField>
    <cacheField name="PM FIELD" numFmtId="0">
      <sharedItems containsSemiMixedTypes="0" containsString="0" containsNumber="1" containsInteger="1" minValue="12" maxValue="104"/>
    </cacheField>
    <cacheField name="TOTAL FIELD" numFmtId="0">
      <sharedItems containsSemiMixedTypes="0" containsString="0" containsNumber="1" containsInteger="1" minValue="16" maxValue="182"/>
    </cacheField>
    <cacheField name="No. GUESTS" numFmtId="0">
      <sharedItems containsSemiMixedTypes="0" containsString="0" containsNumber="1" containsInteger="1" minValue="0" maxValue="114"/>
    </cacheField>
    <cacheField name="MEMBER" numFmtId="0">
      <sharedItems containsSemiMixedTypes="0" containsString="0" containsNumber="1" containsInteger="1" minValue="16" maxValue="181"/>
    </cacheField>
    <cacheField name="MEMBER / GUEST RATIO" numFmtId="9">
      <sharedItems containsSemiMixedTypes="0" containsString="0" containsNumber="1" minValue="0" maxValue="0.69343065693430661"/>
    </cacheField>
    <cacheField name="MANAGER INTRO" numFmtId="0">
      <sharedItems containsSemiMixedTypes="0" containsString="0" containsNumber="1" containsInteger="1" minValue="0" maxValue="2"/>
    </cacheField>
    <cacheField name="INTERSTATE" numFmtId="0">
      <sharedItems containsSemiMixedTypes="0" containsString="0" containsNumber="1" containsInteger="1" minValue="0" maxValue="1"/>
    </cacheField>
    <cacheField name="INTERNATIONAL" numFmtId="0">
      <sharedItems containsSemiMixedTypes="0" containsString="0" containsNumber="1" containsInteger="1" minValue="0" maxValue="9"/>
    </cacheField>
    <cacheField name="INDUSTRY GUEST" numFmtId="0">
      <sharedItems containsSemiMixedTypes="0" containsString="0" containsNumber="1" containsInteger="1" minValue="0" maxValue="3"/>
    </cacheField>
    <cacheField name="MEMB GUEST MICLUB" numFmtId="0">
      <sharedItems containsSemiMixedTypes="0" containsString="0" containsNumber="1" containsInteger="1" minValue="0" maxValue="38"/>
    </cacheField>
    <cacheField name="MEMB GUEST UNACCOMPANIED" numFmtId="0">
      <sharedItems containsSemiMixedTypes="0" containsString="0" containsNumber="1" containsInteger="1" minValue="0" maxValue="4"/>
    </cacheField>
    <cacheField name="CORPORATE" numFmtId="0">
      <sharedItems containsSemiMixedTypes="0" containsString="0" containsNumber="1" containsInteger="1" minValue="0" maxValue="96"/>
    </cacheField>
    <cacheField name="EVENT" numFmtId="0">
      <sharedItems containsSemiMixedTypes="0" containsString="0" containsNumber="1" containsInteger="1" minValue="0" maxValue="90"/>
    </cacheField>
    <cacheField name="NON-PLAYING" numFmtId="0">
      <sharedItems containsSemiMixedTypes="0" containsString="0" containsNumber="1" containsInteger="1" minValue="0" maxValue="2"/>
    </cacheField>
    <cacheField name="VOUCHER" numFmtId="0">
      <sharedItems containsSemiMixedTypes="0" containsString="0" containsNumber="1" containsInteger="1" minValue="0" maxValue="11"/>
    </cacheField>
    <cacheField name="RECIP" numFmtId="0">
      <sharedItems containsSemiMixedTypes="0" containsString="0" containsNumber="1" containsInteger="1" minValue="0" maxValue="4"/>
    </cacheField>
    <cacheField name="COMP" numFmtId="0">
      <sharedItems containsSemiMixedTypes="0" containsString="0" containsNumber="1" containsInteger="1" minValue="0" maxValue="1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700726273149" createdVersion="8" refreshedVersion="8" minRefreshableVersion="3" recordCount="30" xr:uid="{5DA8D71D-E719-4053-9D1F-9D3B19007BE6}">
  <cacheSource type="worksheet">
    <worksheetSource ref="A1:T31" sheet="Daily Numbers" r:id="rId2"/>
  </cacheSource>
  <cacheFields count="20">
    <cacheField name="DATE" numFmtId="14">
      <sharedItems containsSemiMixedTypes="0" containsNonDate="0" containsDate="1" containsString="0" minDate="2024-09-01T00:00:00" maxDate="2024-10-01T00:00:00"/>
    </cacheField>
    <cacheField name="DAY" numFmtId="0">
      <sharedItems count="7">
        <s v="Sun"/>
        <s v="Mon"/>
        <s v="Tue"/>
        <s v="Wed"/>
        <s v="Thu"/>
        <s v="Fri"/>
        <s v="Sat"/>
      </sharedItems>
    </cacheField>
    <cacheField name="AM FIELD" numFmtId="0">
      <sharedItems containsSemiMixedTypes="0" containsString="0" containsNumber="1" containsInteger="1" minValue="0" maxValue="111"/>
    </cacheField>
    <cacheField name="PM FIELD" numFmtId="0">
      <sharedItems containsSemiMixedTypes="0" containsString="0" containsNumber="1" containsInteger="1" minValue="4" maxValue="92"/>
    </cacheField>
    <cacheField name="TOTAL FIELD" numFmtId="0">
      <sharedItems containsSemiMixedTypes="0" containsString="0" containsNumber="1" containsInteger="1" minValue="67" maxValue="189"/>
    </cacheField>
    <cacheField name="No. GUESTS" numFmtId="0">
      <sharedItems containsSemiMixedTypes="0" containsString="0" containsNumber="1" containsInteger="1" minValue="0" maxValue="118"/>
    </cacheField>
    <cacheField name="MEMBER" numFmtId="0">
      <sharedItems containsSemiMixedTypes="0" containsString="0" containsNumber="1" containsInteger="1" minValue="44" maxValue="184"/>
    </cacheField>
    <cacheField name="MEMBER / GUEST RATIO" numFmtId="9">
      <sharedItems containsSemiMixedTypes="0" containsString="0" containsNumber="1" minValue="0" maxValue="0.72327044025157228"/>
    </cacheField>
    <cacheField name="MANAGER INTRO" numFmtId="0">
      <sharedItems containsSemiMixedTypes="0" containsString="0" containsNumber="1" containsInteger="1" minValue="0" maxValue="42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8"/>
    </cacheField>
    <cacheField name="INDUSTRY GUEST" numFmtId="0">
      <sharedItems containsSemiMixedTypes="0" containsString="0" containsNumber="1" containsInteger="1" minValue="0" maxValue="1"/>
    </cacheField>
    <cacheField name="MEMB GUEST MICLUB" numFmtId="0">
      <sharedItems containsSemiMixedTypes="0" containsString="0" containsNumber="1" containsInteger="1" minValue="0" maxValue="39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11"/>
    </cacheField>
    <cacheField name="EVENT" numFmtId="0">
      <sharedItems containsSemiMixedTypes="0" containsString="0" containsNumber="1" containsInteger="1" minValue="0" maxValue="24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5"/>
    </cacheField>
    <cacheField name="RECIP" numFmtId="0">
      <sharedItems containsSemiMixedTypes="0" containsString="0" containsNumber="1" containsInteger="1" minValue="0" maxValue="18"/>
    </cacheField>
    <cacheField name="COMP" numFmtId="0">
      <sharedItems containsSemiMixedTypes="0" containsString="0" containsNumber="1" containsInteger="1" minValue="0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705252083331" createdVersion="8" refreshedVersion="8" minRefreshableVersion="3" recordCount="31" xr:uid="{8C210EF0-11A5-430B-B3CF-28F859CE5926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4-07-01T00:00:00" maxDate="2024-08-01T00:00:00"/>
    </cacheField>
    <cacheField name="DAY" numFmtId="0">
      <sharedItems count="7">
        <s v="Mon"/>
        <s v="Tue"/>
        <s v="Wed"/>
        <s v="Thu"/>
        <s v="Fri"/>
        <s v="Sat"/>
        <s v="Sun"/>
      </sharedItems>
    </cacheField>
    <cacheField name="AM FIELD" numFmtId="0">
      <sharedItems containsSemiMixedTypes="0" containsString="0" containsNumber="1" containsInteger="1" minValue="0" maxValue="96"/>
    </cacheField>
    <cacheField name="PM FIELD" numFmtId="0">
      <sharedItems containsSemiMixedTypes="0" containsString="0" containsNumber="1" containsInteger="1" minValue="4" maxValue="96"/>
    </cacheField>
    <cacheField name="TOTAL FIELD" numFmtId="0">
      <sharedItems containsSemiMixedTypes="0" containsString="0" containsNumber="1" containsInteger="1" minValue="38" maxValue="168"/>
    </cacheField>
    <cacheField name="No. GUESTS" numFmtId="0">
      <sharedItems containsSemiMixedTypes="0" containsString="0" containsNumber="1" containsInteger="1" minValue="0" maxValue="102"/>
    </cacheField>
    <cacheField name="MEMBER" numFmtId="0">
      <sharedItems containsSemiMixedTypes="0" containsString="0" containsNumber="1" containsInteger="1" minValue="22" maxValue="159"/>
    </cacheField>
    <cacheField name="MEMBER / GUEST RATIO" numFmtId="9">
      <sharedItems containsSemiMixedTypes="0" containsString="0" containsNumber="1" minValue="0" maxValue="0.82258064516129037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1"/>
    </cacheField>
    <cacheField name="INDUSTRY GUEST" numFmtId="0">
      <sharedItems containsSemiMixedTypes="0" containsString="0" containsNumber="1" containsInteger="1" minValue="0" maxValue="3"/>
    </cacheField>
    <cacheField name="MEMB GUEST MICLUB" numFmtId="0">
      <sharedItems containsSemiMixedTypes="0" containsString="0" containsNumber="1" containsInteger="1" minValue="0" maxValue="36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96"/>
    </cacheField>
    <cacheField name="EVENT" numFmtId="0">
      <sharedItems containsSemiMixedTypes="0" containsString="0" containsNumber="1" containsInteger="1" minValue="0" maxValue="60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60"/>
    </cacheField>
    <cacheField name="RECIP" numFmtId="0">
      <sharedItems containsSemiMixedTypes="0" containsString="0" containsNumber="1" containsInteger="1" minValue="0" maxValue="8"/>
    </cacheField>
    <cacheField name="COMP" numFmtId="0">
      <sharedItems containsSemiMixedTypes="0" containsString="0" containsNumber="1" containsInteger="1" minValue="0" maxValue="1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6.585534606478" createdVersion="8" refreshedVersion="8" minRefreshableVersion="3" recordCount="30" xr:uid="{5DFA5BE0-176A-49D7-808B-55C2BD5ECAB3}">
  <cacheSource type="worksheet">
    <worksheetSource ref="A1:T31" sheet="Daily Numbers" r:id="rId2"/>
  </cacheSource>
  <cacheFields count="20">
    <cacheField name="DATE" numFmtId="14">
      <sharedItems containsSemiMixedTypes="0" containsNonDate="0" containsDate="1" containsString="0" minDate="2024-11-01T00:00:00" maxDate="2024-12-01T00:00:00"/>
    </cacheField>
    <cacheField name="DAY" numFmtId="0">
      <sharedItems count="7">
        <s v="Fri"/>
        <s v="Sat"/>
        <s v="Sun"/>
        <s v="Mon"/>
        <s v="Tue"/>
        <s v="Wed"/>
        <s v="Thu"/>
      </sharedItems>
    </cacheField>
    <cacheField name="AM FIELD" numFmtId="0">
      <sharedItems containsSemiMixedTypes="0" containsString="0" containsNumber="1" containsInteger="1" minValue="0" maxValue="107"/>
    </cacheField>
    <cacheField name="PM FIELD" numFmtId="0">
      <sharedItems containsSemiMixedTypes="0" containsString="0" containsNumber="1" containsInteger="1" minValue="0" maxValue="90"/>
    </cacheField>
    <cacheField name="TOTAL FIELD" numFmtId="0">
      <sharedItems containsSemiMixedTypes="0" containsString="0" containsNumber="1" containsInteger="1" minValue="0" maxValue="197"/>
    </cacheField>
    <cacheField name="No. GUESTS" numFmtId="0">
      <sharedItems containsSemiMixedTypes="0" containsString="0" containsNumber="1" containsInteger="1" minValue="0" maxValue="114"/>
    </cacheField>
    <cacheField name="MEMBER" numFmtId="0">
      <sharedItems containsSemiMixedTypes="0" containsString="0" containsNumber="1" containsInteger="1" minValue="0" maxValue="166"/>
    </cacheField>
    <cacheField name="MEMBER / GUEST RATIO" numFmtId="9">
      <sharedItems containsSemiMixedTypes="0" containsString="0" containsNumber="1" minValue="0" maxValue="0.69938650306748462"/>
    </cacheField>
    <cacheField name="MANAGER INTRO" numFmtId="0">
      <sharedItems containsSemiMixedTypes="0" containsString="0" containsNumber="1" containsInteger="1" minValue="0" maxValue="1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16"/>
    </cacheField>
    <cacheField name="INDUSTRY GUEST" numFmtId="0">
      <sharedItems containsSemiMixedTypes="0" containsString="0" containsNumber="1" containsInteger="1" minValue="0" maxValue="4"/>
    </cacheField>
    <cacheField name="MEMB GUEST MICLUB" numFmtId="0">
      <sharedItems containsSemiMixedTypes="0" containsString="0" containsNumber="1" containsInteger="1" minValue="0" maxValue="44"/>
    </cacheField>
    <cacheField name="MEMB GUEST UNACCOMPANIED" numFmtId="0">
      <sharedItems containsSemiMixedTypes="0" containsString="0" containsNumber="1" containsInteger="1" minValue="0" maxValue="8"/>
    </cacheField>
    <cacheField name="CORPORATE" numFmtId="0">
      <sharedItems containsSemiMixedTypes="0" containsString="0" containsNumber="1" containsInteger="1" minValue="0" maxValue="96"/>
    </cacheField>
    <cacheField name="EVENT" numFmtId="0">
      <sharedItems containsSemiMixedTypes="0" containsString="0" containsNumber="1" containsInteger="1" minValue="0" maxValue="28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7"/>
    </cacheField>
    <cacheField name="RECIP" numFmtId="0">
      <sharedItems containsSemiMixedTypes="0" containsString="0" containsNumber="1" containsInteger="1" minValue="0" maxValue="8"/>
    </cacheField>
    <cacheField name="COMP" numFmtId="0">
      <sharedItems containsSemiMixedTypes="0" containsString="0" containsNumber="1" containsInteger="1" minValue="0" maxValue="1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6.595361805557" createdVersion="8" refreshedVersion="8" minRefreshableVersion="3" recordCount="31" xr:uid="{FF382D03-7A8C-46B6-8216-854BA72B90B4}">
  <cacheSource type="worksheet">
    <worksheetSource ref="B1:T32" sheet="Daily Numbers" r:id="rId2"/>
  </cacheSource>
  <cacheFields count="19">
    <cacheField name="DAY" numFmtId="0">
      <sharedItems count="7">
        <s v="Sun"/>
        <s v="Mon"/>
        <s v="Tue"/>
        <s v="Wed"/>
        <s v="Thu"/>
        <s v="Fri"/>
        <s v="Sat"/>
      </sharedItems>
    </cacheField>
    <cacheField name="AM FIELD" numFmtId="0">
      <sharedItems containsSemiMixedTypes="0" containsString="0" containsNumber="1" containsInteger="1" minValue="0" maxValue="152"/>
    </cacheField>
    <cacheField name="PM FIELD" numFmtId="0">
      <sharedItems containsSemiMixedTypes="0" containsString="0" containsNumber="1" containsInteger="1" minValue="0" maxValue="156"/>
    </cacheField>
    <cacheField name="TOTAL FIELD" numFmtId="0">
      <sharedItems containsSemiMixedTypes="0" containsString="0" containsNumber="1" containsInteger="1" minValue="0" maxValue="216"/>
    </cacheField>
    <cacheField name="No. GUESTS" numFmtId="0">
      <sharedItems containsSemiMixedTypes="0" containsString="0" containsNumber="1" containsInteger="1" minValue="0" maxValue="200"/>
    </cacheField>
    <cacheField name="MEMBER" numFmtId="0">
      <sharedItems containsSemiMixedTypes="0" containsString="0" containsNumber="1" containsInteger="1" minValue="0" maxValue="182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4"/>
    </cacheField>
    <cacheField name="INDUSTRY GUEST" numFmtId="0">
      <sharedItems containsSemiMixedTypes="0" containsString="0" containsNumber="1" containsInteger="1" minValue="0" maxValue="1"/>
    </cacheField>
    <cacheField name="MEMB GUEST MICLUB" numFmtId="0">
      <sharedItems containsSemiMixedTypes="0" containsString="0" containsNumber="1" containsInteger="1" minValue="0" maxValue="79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44"/>
    </cacheField>
    <cacheField name="EVENT" numFmtId="0">
      <sharedItems containsSemiMixedTypes="0" containsString="0" containsNumber="1" containsInteger="1" minValue="0" maxValue="200"/>
    </cacheField>
    <cacheField name="NON-PLAYING" numFmtId="0">
      <sharedItems containsSemiMixedTypes="0" containsString="0" containsNumber="1" containsInteger="1" minValue="0" maxValue="1"/>
    </cacheField>
    <cacheField name="VOUCHER" numFmtId="0">
      <sharedItems containsSemiMixedTypes="0" containsString="0" containsNumber="1" containsInteger="1" minValue="0" maxValue="8"/>
    </cacheField>
    <cacheField name="RECIP" numFmtId="0">
      <sharedItems containsSemiMixedTypes="0" containsString="0" containsNumber="1" containsInteger="1" minValue="0" maxValue="9"/>
    </cacheField>
    <cacheField name="COMP" numFmtId="0">
      <sharedItems containsSemiMixedTypes="0" containsString="0" containsNumber="1" containsInteger="1" minValue="0" maxValue="1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24-02-01T00:00:00"/>
    <x v="0"/>
    <n v="74"/>
    <n v="91"/>
    <n v="165"/>
    <n v="1"/>
    <n v="162"/>
    <n v="6.0606060606060606E-3"/>
    <n v="0"/>
    <n v="0"/>
    <n v="0"/>
    <n v="0"/>
    <n v="0"/>
    <n v="0"/>
    <n v="0"/>
    <n v="0"/>
    <n v="2"/>
    <n v="0"/>
    <n v="1"/>
    <n v="163"/>
  </r>
  <r>
    <d v="2024-02-02T00:00:00"/>
    <x v="1"/>
    <n v="85"/>
    <n v="136"/>
    <n v="221"/>
    <n v="65"/>
    <n v="154"/>
    <n v="0.29411764705882354"/>
    <n v="0"/>
    <n v="7"/>
    <n v="0"/>
    <n v="1"/>
    <n v="49"/>
    <n v="0"/>
    <n v="0"/>
    <n v="0"/>
    <n v="2"/>
    <n v="6"/>
    <n v="2"/>
    <n v="81"/>
  </r>
  <r>
    <d v="2024-02-03T00:00:00"/>
    <x v="2"/>
    <n v="98"/>
    <n v="84"/>
    <n v="182"/>
    <n v="3"/>
    <n v="177"/>
    <n v="1.6483516483516484E-2"/>
    <n v="0"/>
    <n v="0"/>
    <n v="0"/>
    <n v="0"/>
    <n v="0"/>
    <n v="0"/>
    <n v="0"/>
    <n v="0"/>
    <n v="2"/>
    <n v="0"/>
    <n v="3"/>
    <n v="162"/>
  </r>
  <r>
    <d v="2024-02-04T00:00:00"/>
    <x v="3"/>
    <n v="95"/>
    <n v="33"/>
    <n v="128"/>
    <n v="13"/>
    <n v="114"/>
    <n v="0.1015625"/>
    <n v="0"/>
    <n v="0"/>
    <n v="0"/>
    <n v="0"/>
    <n v="10"/>
    <n v="0"/>
    <n v="0"/>
    <n v="0"/>
    <n v="1"/>
    <n v="0"/>
    <n v="3"/>
    <n v="91"/>
  </r>
  <r>
    <d v="2024-02-05T00:00:00"/>
    <x v="4"/>
    <n v="57"/>
    <n v="70"/>
    <n v="127"/>
    <n v="24"/>
    <n v="101"/>
    <n v="0.1889763779527559"/>
    <n v="0"/>
    <n v="0"/>
    <n v="3"/>
    <n v="0"/>
    <n v="13"/>
    <n v="0"/>
    <n v="0"/>
    <n v="0"/>
    <n v="2"/>
    <n v="0"/>
    <n v="8"/>
    <n v="74"/>
  </r>
  <r>
    <d v="2024-02-06T00:00:00"/>
    <x v="5"/>
    <n v="109"/>
    <n v="47"/>
    <n v="156"/>
    <n v="0"/>
    <n v="153"/>
    <n v="0"/>
    <n v="0"/>
    <n v="0"/>
    <n v="0"/>
    <n v="0"/>
    <n v="0"/>
    <n v="0"/>
    <n v="0"/>
    <n v="0"/>
    <n v="3"/>
    <n v="0"/>
    <n v="0"/>
    <n v="0"/>
  </r>
  <r>
    <d v="2024-02-07T00:00:00"/>
    <x v="6"/>
    <n v="66"/>
    <n v="92"/>
    <n v="158"/>
    <n v="53"/>
    <n v="103"/>
    <n v="0.33544303797468356"/>
    <n v="12"/>
    <n v="0"/>
    <n v="12"/>
    <n v="2"/>
    <n v="25"/>
    <n v="0"/>
    <n v="0"/>
    <n v="0"/>
    <n v="2"/>
    <n v="0"/>
    <n v="2"/>
    <n v="39"/>
  </r>
  <r>
    <d v="2024-02-08T00:00:00"/>
    <x v="0"/>
    <n v="78"/>
    <n v="102"/>
    <n v="180"/>
    <n v="12"/>
    <n v="168"/>
    <n v="6.6666666666666666E-2"/>
    <n v="0"/>
    <n v="0"/>
    <n v="0"/>
    <n v="0"/>
    <n v="6"/>
    <n v="0"/>
    <n v="0"/>
    <n v="0"/>
    <n v="0"/>
    <n v="0"/>
    <n v="6"/>
    <n v="161"/>
  </r>
  <r>
    <d v="2024-02-09T00:00:00"/>
    <x v="1"/>
    <n v="79"/>
    <n v="78"/>
    <n v="157"/>
    <n v="44"/>
    <n v="110"/>
    <n v="0.28025477707006369"/>
    <n v="0"/>
    <n v="0"/>
    <n v="2"/>
    <n v="1"/>
    <n v="15"/>
    <n v="0"/>
    <n v="18"/>
    <n v="0"/>
    <n v="3"/>
    <n v="0"/>
    <n v="8"/>
    <n v="64"/>
  </r>
  <r>
    <d v="2024-02-10T00:00:00"/>
    <x v="2"/>
    <n v="96"/>
    <n v="74"/>
    <n v="170"/>
    <n v="1"/>
    <n v="167"/>
    <n v="5.8823529411764705E-3"/>
    <n v="0"/>
    <n v="0"/>
    <n v="1"/>
    <n v="0"/>
    <n v="0"/>
    <n v="0"/>
    <n v="0"/>
    <n v="0"/>
    <n v="2"/>
    <n v="0"/>
    <n v="0"/>
    <n v="148"/>
  </r>
  <r>
    <d v="2024-02-11T00:00:00"/>
    <x v="3"/>
    <n v="97"/>
    <n v="71"/>
    <n v="168"/>
    <n v="26"/>
    <n v="140"/>
    <n v="0.15476190476190477"/>
    <n v="0"/>
    <n v="1"/>
    <n v="0"/>
    <n v="1"/>
    <n v="18"/>
    <n v="0"/>
    <n v="0"/>
    <n v="0"/>
    <n v="2"/>
    <n v="2"/>
    <n v="4"/>
    <n v="118"/>
  </r>
  <r>
    <d v="2024-02-12T00:00:00"/>
    <x v="4"/>
    <n v="0"/>
    <n v="29"/>
    <n v="29"/>
    <n v="15"/>
    <n v="14"/>
    <n v="0.51724137931034486"/>
    <n v="0"/>
    <n v="0"/>
    <n v="11"/>
    <n v="1"/>
    <n v="0"/>
    <n v="0"/>
    <n v="0"/>
    <n v="0"/>
    <n v="0"/>
    <n v="0"/>
    <n v="3"/>
    <n v="0"/>
  </r>
  <r>
    <d v="2024-02-13T00:00:00"/>
    <x v="5"/>
    <n v="58"/>
    <n v="0"/>
    <n v="58"/>
    <n v="0"/>
    <n v="58"/>
    <n v="0"/>
    <n v="0"/>
    <n v="0"/>
    <n v="0"/>
    <n v="0"/>
    <n v="0"/>
    <n v="0"/>
    <n v="0"/>
    <n v="0"/>
    <n v="0"/>
    <n v="0"/>
    <n v="0"/>
    <n v="0"/>
  </r>
  <r>
    <d v="2024-02-14T00:00:00"/>
    <x v="6"/>
    <n v="68"/>
    <n v="139"/>
    <n v="207"/>
    <n v="74"/>
    <n v="131"/>
    <n v="0.35748792270531399"/>
    <n v="0"/>
    <n v="0"/>
    <n v="16"/>
    <n v="2"/>
    <n v="27"/>
    <n v="8"/>
    <n v="0"/>
    <n v="0"/>
    <n v="2"/>
    <n v="1"/>
    <n v="20"/>
    <n v="46"/>
  </r>
  <r>
    <d v="2024-02-15T00:00:00"/>
    <x v="0"/>
    <n v="81"/>
    <n v="96"/>
    <n v="177"/>
    <n v="18"/>
    <n v="158"/>
    <n v="0.10169491525423729"/>
    <n v="0"/>
    <n v="1"/>
    <n v="0"/>
    <n v="3"/>
    <n v="0"/>
    <n v="0"/>
    <n v="0"/>
    <n v="0"/>
    <n v="1"/>
    <n v="4"/>
    <n v="10"/>
    <n v="153"/>
  </r>
  <r>
    <d v="2024-02-16T00:00:00"/>
    <x v="1"/>
    <n v="103"/>
    <n v="95"/>
    <n v="198"/>
    <n v="116"/>
    <n v="80"/>
    <n v="0.58585858585858586"/>
    <n v="0"/>
    <n v="0"/>
    <n v="0"/>
    <n v="0"/>
    <n v="13"/>
    <n v="0"/>
    <n v="103"/>
    <n v="0"/>
    <n v="2"/>
    <n v="0"/>
    <n v="0"/>
    <n v="0"/>
  </r>
  <r>
    <d v="2024-02-17T00:00:00"/>
    <x v="2"/>
    <n v="63"/>
    <n v="96"/>
    <n v="159"/>
    <n v="1"/>
    <n v="158"/>
    <n v="6.2893081761006293E-3"/>
    <n v="0"/>
    <n v="0"/>
    <n v="0"/>
    <n v="0"/>
    <n v="0"/>
    <n v="0"/>
    <n v="0"/>
    <n v="0"/>
    <n v="0"/>
    <n v="0"/>
    <n v="1"/>
    <n v="151"/>
  </r>
  <r>
    <d v="2024-02-18T00:00:00"/>
    <x v="3"/>
    <n v="99"/>
    <n v="92"/>
    <n v="191"/>
    <n v="19"/>
    <n v="171"/>
    <n v="9.947643979057591E-2"/>
    <n v="0"/>
    <n v="0"/>
    <n v="0"/>
    <n v="0"/>
    <n v="11"/>
    <n v="0"/>
    <n v="0"/>
    <n v="0"/>
    <n v="1"/>
    <n v="0"/>
    <n v="8"/>
    <n v="155"/>
  </r>
  <r>
    <d v="2024-02-19T00:00:00"/>
    <x v="4"/>
    <n v="54"/>
    <n v="82"/>
    <n v="136"/>
    <n v="11"/>
    <n v="124"/>
    <n v="8.0882352941176475E-2"/>
    <n v="0"/>
    <n v="1"/>
    <n v="2"/>
    <n v="2"/>
    <n v="6"/>
    <n v="0"/>
    <n v="0"/>
    <n v="0"/>
    <n v="1"/>
    <n v="0"/>
    <n v="0"/>
    <n v="10"/>
  </r>
  <r>
    <d v="2024-02-20T00:00:00"/>
    <x v="5"/>
    <n v="91"/>
    <n v="52"/>
    <n v="143"/>
    <n v="4"/>
    <n v="138"/>
    <n v="2.7972027972027972E-2"/>
    <n v="0"/>
    <n v="0"/>
    <n v="0"/>
    <n v="0"/>
    <n v="0"/>
    <n v="0"/>
    <n v="0"/>
    <n v="0"/>
    <n v="1"/>
    <n v="0"/>
    <n v="4"/>
    <n v="0"/>
  </r>
  <r>
    <d v="2024-02-21T00:00:00"/>
    <x v="6"/>
    <n v="72"/>
    <n v="79"/>
    <n v="151"/>
    <n v="79"/>
    <n v="72"/>
    <n v="0.52317880794701987"/>
    <n v="14"/>
    <n v="0"/>
    <n v="22"/>
    <n v="3"/>
    <n v="18"/>
    <n v="0"/>
    <n v="9"/>
    <n v="0"/>
    <n v="0"/>
    <n v="0"/>
    <n v="13"/>
    <n v="35"/>
  </r>
  <r>
    <d v="2024-02-22T00:00:00"/>
    <x v="0"/>
    <n v="80"/>
    <n v="8"/>
    <n v="88"/>
    <n v="3"/>
    <n v="84"/>
    <n v="3.4090909090909088E-2"/>
    <n v="0"/>
    <n v="0"/>
    <n v="0"/>
    <n v="0"/>
    <n v="3"/>
    <n v="0"/>
    <n v="0"/>
    <n v="0"/>
    <n v="1"/>
    <n v="0"/>
    <n v="0"/>
    <n v="68"/>
  </r>
  <r>
    <d v="2024-02-23T00:00:00"/>
    <x v="1"/>
    <n v="62"/>
    <n v="63"/>
    <n v="125"/>
    <n v="50"/>
    <n v="74"/>
    <n v="0.4"/>
    <n v="0"/>
    <n v="0"/>
    <n v="0"/>
    <n v="0"/>
    <n v="10"/>
    <n v="0"/>
    <n v="36"/>
    <n v="0"/>
    <n v="1"/>
    <n v="4"/>
    <n v="0"/>
    <n v="27"/>
  </r>
  <r>
    <d v="2024-02-24T00:00:00"/>
    <x v="2"/>
    <n v="79"/>
    <n v="87"/>
    <n v="166"/>
    <n v="85"/>
    <n v="80"/>
    <n v="0.51204819277108438"/>
    <n v="0"/>
    <n v="0"/>
    <n v="1"/>
    <n v="0"/>
    <n v="84"/>
    <n v="0"/>
    <n v="0"/>
    <n v="0"/>
    <n v="1"/>
    <n v="0"/>
    <n v="0"/>
    <n v="146"/>
  </r>
  <r>
    <d v="2024-02-25T00:00:00"/>
    <x v="3"/>
    <n v="98"/>
    <n v="94"/>
    <n v="192"/>
    <n v="31"/>
    <n v="160"/>
    <n v="0.16145833333333334"/>
    <n v="0"/>
    <n v="0"/>
    <n v="0"/>
    <n v="0"/>
    <n v="26"/>
    <n v="0"/>
    <n v="0"/>
    <n v="0"/>
    <n v="1"/>
    <n v="0"/>
    <n v="5"/>
    <n v="126"/>
  </r>
  <r>
    <d v="2024-02-26T00:00:00"/>
    <x v="4"/>
    <n v="71"/>
    <n v="103"/>
    <n v="174"/>
    <n v="25"/>
    <n v="146"/>
    <n v="0.14367816091954022"/>
    <n v="2"/>
    <n v="0"/>
    <n v="14"/>
    <n v="0"/>
    <n v="9"/>
    <n v="0"/>
    <n v="0"/>
    <n v="0"/>
    <n v="3"/>
    <n v="0"/>
    <n v="0"/>
    <n v="69"/>
  </r>
  <r>
    <d v="2024-02-27T00:00:00"/>
    <x v="5"/>
    <n v="100"/>
    <n v="17"/>
    <n v="117"/>
    <n v="1"/>
    <n v="113"/>
    <n v="8.5470085470085479E-3"/>
    <n v="0"/>
    <n v="0"/>
    <n v="0"/>
    <n v="0"/>
    <n v="0"/>
    <n v="0"/>
    <n v="0"/>
    <n v="0"/>
    <n v="3"/>
    <n v="0"/>
    <n v="1"/>
    <n v="0"/>
  </r>
  <r>
    <d v="2024-02-28T00:00:00"/>
    <x v="6"/>
    <n v="52"/>
    <n v="80"/>
    <n v="132"/>
    <n v="69"/>
    <n v="62"/>
    <n v="0.52272727272727271"/>
    <n v="0"/>
    <n v="0"/>
    <n v="3"/>
    <n v="2"/>
    <n v="6"/>
    <n v="0"/>
    <n v="54"/>
    <n v="0"/>
    <n v="1"/>
    <n v="4"/>
    <n v="0"/>
    <n v="43"/>
  </r>
  <r>
    <d v="2024-02-29T00:00:00"/>
    <x v="0"/>
    <n v="83"/>
    <n v="75"/>
    <n v="158"/>
    <n v="0"/>
    <n v="157"/>
    <n v="0"/>
    <n v="0"/>
    <n v="0"/>
    <n v="0"/>
    <n v="0"/>
    <n v="0"/>
    <n v="0"/>
    <n v="0"/>
    <n v="0"/>
    <n v="1"/>
    <n v="0"/>
    <n v="0"/>
    <n v="1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06-01T00:00:00"/>
    <x v="0"/>
    <n v="79"/>
    <n v="68"/>
    <n v="147"/>
    <n v="0"/>
    <n v="147"/>
    <n v="0"/>
    <n v="0"/>
    <n v="0"/>
    <n v="0"/>
    <n v="0"/>
    <n v="0"/>
    <n v="0"/>
    <n v="0"/>
    <n v="0"/>
    <n v="0"/>
    <n v="0"/>
    <n v="0"/>
    <n v="141"/>
  </r>
  <r>
    <d v="2024-06-02T00:00:00"/>
    <x v="1"/>
    <n v="80"/>
    <n v="86"/>
    <n v="166"/>
    <n v="18"/>
    <n v="147"/>
    <n v="0.10843373493975904"/>
    <n v="0"/>
    <n v="0"/>
    <n v="0"/>
    <n v="0"/>
    <n v="18"/>
    <n v="0"/>
    <n v="0"/>
    <n v="0"/>
    <n v="1"/>
    <n v="0"/>
    <n v="0"/>
    <n v="112"/>
  </r>
  <r>
    <d v="2024-06-03T00:00:00"/>
    <x v="2"/>
    <n v="40"/>
    <n v="68"/>
    <n v="108"/>
    <n v="13"/>
    <n v="95"/>
    <n v="0.12037037037037036"/>
    <n v="0"/>
    <n v="1"/>
    <n v="3"/>
    <n v="0"/>
    <n v="9"/>
    <n v="0"/>
    <n v="0"/>
    <n v="0"/>
    <n v="0"/>
    <n v="0"/>
    <n v="0"/>
    <n v="72"/>
  </r>
  <r>
    <d v="2024-06-04T00:00:00"/>
    <x v="3"/>
    <n v="78"/>
    <n v="34"/>
    <n v="112"/>
    <n v="0"/>
    <n v="112"/>
    <n v="0"/>
    <n v="0"/>
    <n v="0"/>
    <n v="0"/>
    <n v="0"/>
    <n v="0"/>
    <n v="0"/>
    <n v="0"/>
    <n v="0"/>
    <n v="0"/>
    <n v="0"/>
    <n v="0"/>
    <n v="0"/>
  </r>
  <r>
    <d v="2024-06-05T00:00:00"/>
    <x v="4"/>
    <n v="39"/>
    <n v="108"/>
    <n v="147"/>
    <n v="120"/>
    <n v="27"/>
    <n v="0.81632653061224492"/>
    <n v="0"/>
    <n v="0"/>
    <n v="0"/>
    <n v="0"/>
    <n v="11"/>
    <n v="0"/>
    <n v="108"/>
    <n v="0"/>
    <n v="0"/>
    <n v="0"/>
    <n v="1"/>
    <n v="0"/>
  </r>
  <r>
    <d v="2024-06-06T00:00:00"/>
    <x v="5"/>
    <n v="74"/>
    <n v="72"/>
    <n v="146"/>
    <n v="0"/>
    <n v="145"/>
    <n v="0"/>
    <n v="0"/>
    <n v="0"/>
    <n v="0"/>
    <n v="0"/>
    <n v="0"/>
    <n v="0"/>
    <n v="0"/>
    <n v="0"/>
    <n v="1"/>
    <n v="0"/>
    <n v="0"/>
    <n v="146"/>
  </r>
  <r>
    <d v="2024-06-07T00:00:00"/>
    <x v="6"/>
    <n v="93"/>
    <n v="52"/>
    <n v="145"/>
    <n v="23"/>
    <n v="119"/>
    <n v="0.15862068965517243"/>
    <n v="0"/>
    <n v="0"/>
    <n v="0"/>
    <n v="0"/>
    <n v="19"/>
    <n v="0"/>
    <n v="0"/>
    <n v="0"/>
    <n v="3"/>
    <n v="0"/>
    <n v="4"/>
    <n v="67"/>
  </r>
  <r>
    <d v="2024-06-08T00:00:00"/>
    <x v="0"/>
    <n v="84"/>
    <n v="47"/>
    <n v="131"/>
    <n v="0"/>
    <n v="131"/>
    <n v="0"/>
    <n v="0"/>
    <n v="0"/>
    <n v="0"/>
    <n v="0"/>
    <n v="0"/>
    <n v="0"/>
    <n v="0"/>
    <n v="0"/>
    <n v="0"/>
    <n v="0"/>
    <n v="0"/>
    <n v="129"/>
  </r>
  <r>
    <d v="2024-06-09T00:00:00"/>
    <x v="1"/>
    <n v="72"/>
    <n v="75"/>
    <n v="147"/>
    <n v="24"/>
    <n v="122"/>
    <n v="0.16326530612244897"/>
    <n v="0"/>
    <n v="0"/>
    <n v="0"/>
    <n v="0"/>
    <n v="22"/>
    <n v="0"/>
    <n v="0"/>
    <n v="0"/>
    <n v="1"/>
    <n v="0"/>
    <n v="2"/>
    <n v="128"/>
  </r>
  <r>
    <d v="2024-06-10T00:00:00"/>
    <x v="2"/>
    <n v="78"/>
    <n v="71"/>
    <n v="149"/>
    <n v="44"/>
    <n v="105"/>
    <n v="0.29530201342281881"/>
    <n v="0"/>
    <n v="0"/>
    <n v="0"/>
    <n v="0"/>
    <n v="33"/>
    <n v="0"/>
    <n v="0"/>
    <n v="0"/>
    <n v="0"/>
    <n v="5"/>
    <n v="6"/>
    <n v="117"/>
  </r>
  <r>
    <d v="2024-06-11T00:00:00"/>
    <x v="3"/>
    <n v="34"/>
    <n v="7"/>
    <n v="41"/>
    <n v="0"/>
    <n v="41"/>
    <n v="0"/>
    <n v="0"/>
    <n v="0"/>
    <n v="0"/>
    <n v="0"/>
    <n v="0"/>
    <n v="0"/>
    <n v="0"/>
    <n v="0"/>
    <n v="0"/>
    <n v="0"/>
    <n v="0"/>
    <n v="0"/>
  </r>
  <r>
    <d v="2024-06-12T00:00:00"/>
    <x v="4"/>
    <n v="59"/>
    <n v="79"/>
    <n v="138"/>
    <n v="73"/>
    <n v="65"/>
    <n v="0.52898550724637683"/>
    <n v="3"/>
    <n v="0"/>
    <n v="0"/>
    <n v="0"/>
    <n v="8"/>
    <n v="0"/>
    <n v="0"/>
    <n v="0"/>
    <n v="0"/>
    <n v="62"/>
    <n v="0"/>
    <n v="57"/>
  </r>
  <r>
    <d v="2024-06-13T00:00:00"/>
    <x v="5"/>
    <n v="63"/>
    <n v="65"/>
    <n v="128"/>
    <n v="0"/>
    <n v="128"/>
    <n v="0"/>
    <n v="0"/>
    <n v="0"/>
    <n v="0"/>
    <n v="0"/>
    <n v="0"/>
    <n v="0"/>
    <n v="0"/>
    <n v="0"/>
    <n v="0"/>
    <n v="0"/>
    <n v="0"/>
    <n v="100"/>
  </r>
  <r>
    <d v="2024-06-14T00:00:00"/>
    <x v="6"/>
    <n v="72"/>
    <n v="78"/>
    <n v="150"/>
    <n v="42"/>
    <n v="106"/>
    <n v="0.28000000000000003"/>
    <n v="2"/>
    <n v="8"/>
    <n v="0"/>
    <n v="0"/>
    <n v="21"/>
    <n v="0"/>
    <n v="0"/>
    <n v="0"/>
    <n v="2"/>
    <n v="0"/>
    <n v="11"/>
    <n v="52"/>
  </r>
  <r>
    <d v="2024-06-15T00:00:00"/>
    <x v="0"/>
    <n v="78"/>
    <n v="70"/>
    <n v="148"/>
    <n v="0"/>
    <n v="148"/>
    <n v="0"/>
    <n v="0"/>
    <n v="0"/>
    <n v="0"/>
    <n v="0"/>
    <n v="0"/>
    <n v="0"/>
    <n v="0"/>
    <n v="0"/>
    <n v="0"/>
    <n v="0"/>
    <n v="0"/>
    <n v="140"/>
  </r>
  <r>
    <d v="2024-06-16T00:00:00"/>
    <x v="1"/>
    <n v="77"/>
    <n v="88"/>
    <n v="165"/>
    <n v="19"/>
    <n v="146"/>
    <n v="0.11515151515151516"/>
    <n v="0"/>
    <n v="0"/>
    <n v="0"/>
    <n v="0"/>
    <n v="19"/>
    <n v="0"/>
    <n v="0"/>
    <n v="0"/>
    <n v="0"/>
    <n v="0"/>
    <n v="0"/>
    <n v="121"/>
  </r>
  <r>
    <d v="2024-06-17T00:00:00"/>
    <x v="2"/>
    <n v="41"/>
    <n v="80"/>
    <n v="121"/>
    <n v="22"/>
    <n v="99"/>
    <n v="0.18181818181818182"/>
    <n v="0"/>
    <n v="4"/>
    <n v="2"/>
    <n v="0"/>
    <n v="7"/>
    <n v="0"/>
    <n v="0"/>
    <n v="0"/>
    <n v="0"/>
    <n v="4"/>
    <n v="5"/>
    <n v="65"/>
  </r>
  <r>
    <d v="2024-06-18T00:00:00"/>
    <x v="3"/>
    <n v="80"/>
    <n v="0"/>
    <n v="80"/>
    <n v="0"/>
    <n v="80"/>
    <n v="0"/>
    <n v="0"/>
    <n v="0"/>
    <n v="0"/>
    <n v="0"/>
    <n v="0"/>
    <n v="0"/>
    <n v="0"/>
    <n v="0"/>
    <n v="0"/>
    <n v="0"/>
    <n v="0"/>
    <n v="0"/>
  </r>
  <r>
    <d v="2024-06-19T00:00:00"/>
    <x v="4"/>
    <n v="53"/>
    <n v="40"/>
    <n v="93"/>
    <n v="19"/>
    <n v="74"/>
    <n v="0.20430107526881722"/>
    <n v="1"/>
    <n v="1"/>
    <n v="0"/>
    <n v="0"/>
    <n v="8"/>
    <n v="0"/>
    <n v="0"/>
    <n v="0"/>
    <n v="0"/>
    <n v="0"/>
    <n v="9"/>
    <n v="21"/>
  </r>
  <r>
    <d v="2024-06-20T00:00:00"/>
    <x v="5"/>
    <n v="68"/>
    <n v="80"/>
    <n v="148"/>
    <n v="0"/>
    <n v="148"/>
    <n v="0"/>
    <n v="0"/>
    <n v="0"/>
    <n v="0"/>
    <n v="0"/>
    <n v="0"/>
    <n v="0"/>
    <n v="0"/>
    <n v="0"/>
    <n v="0"/>
    <n v="0"/>
    <n v="0"/>
    <n v="144"/>
  </r>
  <r>
    <d v="2024-06-21T00:00:00"/>
    <x v="6"/>
    <n v="92"/>
    <n v="68"/>
    <n v="160"/>
    <n v="40"/>
    <n v="115"/>
    <n v="0.25"/>
    <n v="1"/>
    <n v="0"/>
    <n v="0"/>
    <n v="0"/>
    <n v="31"/>
    <n v="0"/>
    <n v="0"/>
    <n v="0"/>
    <n v="5"/>
    <n v="4"/>
    <n v="4"/>
    <n v="72"/>
  </r>
  <r>
    <d v="2024-06-22T00:00:00"/>
    <x v="0"/>
    <n v="64"/>
    <n v="62"/>
    <n v="126"/>
    <n v="0"/>
    <n v="126"/>
    <n v="0"/>
    <n v="0"/>
    <n v="0"/>
    <n v="0"/>
    <n v="0"/>
    <n v="0"/>
    <n v="0"/>
    <n v="0"/>
    <n v="0"/>
    <n v="0"/>
    <n v="0"/>
    <n v="0"/>
    <n v="122"/>
  </r>
  <r>
    <d v="2024-06-23T00:00:00"/>
    <x v="1"/>
    <n v="86"/>
    <n v="80"/>
    <n v="166"/>
    <n v="12"/>
    <n v="152"/>
    <n v="7.2289156626506021E-2"/>
    <n v="0"/>
    <n v="0"/>
    <n v="0"/>
    <n v="0"/>
    <n v="12"/>
    <n v="0"/>
    <n v="0"/>
    <n v="0"/>
    <n v="2"/>
    <n v="0"/>
    <n v="0"/>
    <n v="123"/>
  </r>
  <r>
    <d v="2024-06-24T00:00:00"/>
    <x v="2"/>
    <n v="0"/>
    <n v="80"/>
    <n v="80"/>
    <n v="16"/>
    <n v="64"/>
    <n v="0.2"/>
    <n v="0"/>
    <n v="8"/>
    <n v="0"/>
    <n v="0"/>
    <n v="0"/>
    <n v="0"/>
    <n v="0"/>
    <n v="0"/>
    <n v="0"/>
    <n v="8"/>
    <n v="0"/>
    <n v="47"/>
  </r>
  <r>
    <d v="2024-06-25T00:00:00"/>
    <x v="3"/>
    <n v="74"/>
    <n v="39"/>
    <n v="113"/>
    <n v="0"/>
    <n v="110"/>
    <n v="0"/>
    <n v="0"/>
    <n v="0"/>
    <n v="0"/>
    <n v="0"/>
    <n v="0"/>
    <n v="0"/>
    <n v="0"/>
    <n v="0"/>
    <n v="3"/>
    <n v="0"/>
    <n v="0"/>
    <n v="0"/>
  </r>
  <r>
    <d v="2024-06-26T00:00:00"/>
    <x v="4"/>
    <n v="95"/>
    <n v="53"/>
    <n v="148"/>
    <n v="56"/>
    <n v="92"/>
    <n v="0.3783783783783784"/>
    <n v="4"/>
    <n v="20"/>
    <n v="0"/>
    <n v="0"/>
    <n v="24"/>
    <n v="0"/>
    <n v="0"/>
    <n v="0"/>
    <n v="0"/>
    <n v="4"/>
    <n v="4"/>
    <n v="58"/>
  </r>
  <r>
    <d v="2024-06-27T00:00:00"/>
    <x v="5"/>
    <n v="75"/>
    <n v="75"/>
    <n v="150"/>
    <n v="0"/>
    <n v="150"/>
    <n v="0"/>
    <n v="0"/>
    <n v="0"/>
    <n v="0"/>
    <n v="0"/>
    <n v="0"/>
    <n v="0"/>
    <n v="0"/>
    <n v="0"/>
    <n v="0"/>
    <n v="0"/>
    <n v="0"/>
    <n v="147"/>
  </r>
  <r>
    <d v="2024-06-28T00:00:00"/>
    <x v="6"/>
    <n v="89"/>
    <n v="60"/>
    <n v="149"/>
    <n v="28"/>
    <n v="121"/>
    <n v="0.18791946308724833"/>
    <n v="1"/>
    <n v="0"/>
    <n v="0"/>
    <n v="0"/>
    <n v="27"/>
    <n v="0"/>
    <n v="0"/>
    <n v="0"/>
    <n v="0"/>
    <n v="0"/>
    <n v="0"/>
    <n v="72"/>
  </r>
  <r>
    <d v="2024-06-29T00:00:00"/>
    <x v="0"/>
    <n v="51"/>
    <n v="4"/>
    <n v="55"/>
    <n v="0"/>
    <n v="55"/>
    <n v="0"/>
    <n v="0"/>
    <n v="0"/>
    <n v="0"/>
    <n v="0"/>
    <n v="0"/>
    <n v="0"/>
    <n v="0"/>
    <n v="0"/>
    <n v="0"/>
    <n v="0"/>
    <n v="0"/>
    <n v="42"/>
  </r>
  <r>
    <d v="2024-06-30T00:00:00"/>
    <x v="1"/>
    <n v="78"/>
    <n v="70"/>
    <n v="148"/>
    <n v="18"/>
    <n v="126"/>
    <n v="0.12162162162162163"/>
    <n v="0"/>
    <n v="0"/>
    <n v="0"/>
    <n v="0"/>
    <n v="18"/>
    <n v="0"/>
    <n v="0"/>
    <n v="0"/>
    <n v="4"/>
    <n v="0"/>
    <n v="0"/>
    <n v="1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04-01T00:00:00"/>
    <x v="0"/>
    <n v="81"/>
    <n v="70"/>
    <n v="151"/>
    <n v="36"/>
    <n v="114"/>
    <n v="0.23841059602649006"/>
    <n v="0"/>
    <n v="0"/>
    <n v="0"/>
    <n v="0"/>
    <n v="25"/>
    <n v="0"/>
    <n v="0"/>
    <n v="0"/>
    <n v="1"/>
    <n v="8"/>
    <n v="3"/>
    <n v="104"/>
  </r>
  <r>
    <d v="2024-04-02T00:00:00"/>
    <x v="1"/>
    <n v="27"/>
    <n v="28"/>
    <n v="55"/>
    <n v="6"/>
    <n v="49"/>
    <n v="0.10909090909090909"/>
    <n v="0"/>
    <n v="0"/>
    <n v="0"/>
    <n v="0"/>
    <n v="0"/>
    <n v="0"/>
    <n v="0"/>
    <n v="0"/>
    <n v="0"/>
    <n v="6"/>
    <n v="0"/>
    <n v="0"/>
  </r>
  <r>
    <d v="2024-04-03T00:00:00"/>
    <x v="2"/>
    <n v="83"/>
    <n v="55"/>
    <n v="138"/>
    <n v="40"/>
    <n v="98"/>
    <n v="0.28985507246376813"/>
    <n v="0"/>
    <n v="9"/>
    <n v="2"/>
    <n v="1"/>
    <n v="23"/>
    <n v="0"/>
    <n v="0"/>
    <n v="0"/>
    <n v="0"/>
    <n v="0"/>
    <n v="5"/>
    <n v="46"/>
  </r>
  <r>
    <d v="2024-04-04T00:00:00"/>
    <x v="3"/>
    <n v="86"/>
    <n v="90"/>
    <n v="176"/>
    <n v="2"/>
    <n v="171"/>
    <n v="1.1363636363636364E-2"/>
    <n v="0"/>
    <n v="0"/>
    <n v="0"/>
    <n v="1"/>
    <n v="0"/>
    <n v="0"/>
    <n v="0"/>
    <n v="0"/>
    <n v="3"/>
    <n v="0"/>
    <n v="1"/>
    <n v="162"/>
  </r>
  <r>
    <d v="2024-04-05T00:00:00"/>
    <x v="4"/>
    <n v="100"/>
    <n v="81"/>
    <n v="181"/>
    <n v="45"/>
    <n v="136"/>
    <n v="0.24861878453038674"/>
    <n v="0"/>
    <n v="0"/>
    <n v="0"/>
    <n v="0"/>
    <n v="24"/>
    <n v="0"/>
    <n v="0"/>
    <n v="0"/>
    <n v="0"/>
    <n v="17"/>
    <n v="4"/>
    <n v="78"/>
  </r>
  <r>
    <d v="2024-04-06T00:00:00"/>
    <x v="5"/>
    <n v="73"/>
    <n v="77"/>
    <n v="150"/>
    <n v="0"/>
    <n v="150"/>
    <n v="0"/>
    <n v="0"/>
    <n v="0"/>
    <n v="0"/>
    <n v="0"/>
    <n v="0"/>
    <n v="0"/>
    <n v="0"/>
    <n v="0"/>
    <n v="0"/>
    <n v="0"/>
    <n v="0"/>
    <n v="142"/>
  </r>
  <r>
    <d v="2024-04-07T00:00:00"/>
    <x v="6"/>
    <n v="97"/>
    <n v="77"/>
    <n v="174"/>
    <n v="15"/>
    <n v="156"/>
    <n v="8.6206896551724144E-2"/>
    <n v="0"/>
    <n v="0"/>
    <n v="0"/>
    <n v="0"/>
    <n v="10"/>
    <n v="0"/>
    <n v="0"/>
    <n v="0"/>
    <n v="3"/>
    <n v="0"/>
    <n v="5"/>
    <n v="118"/>
  </r>
  <r>
    <d v="2024-04-08T00:00:00"/>
    <x v="0"/>
    <n v="66"/>
    <n v="72"/>
    <n v="138"/>
    <n v="31"/>
    <n v="107"/>
    <n v="0.22463768115942029"/>
    <n v="1"/>
    <n v="0"/>
    <n v="3"/>
    <n v="1"/>
    <n v="9"/>
    <n v="0"/>
    <n v="0"/>
    <n v="0"/>
    <n v="0"/>
    <n v="0"/>
    <n v="17"/>
    <n v="72"/>
  </r>
  <r>
    <d v="2024-04-09T00:00:00"/>
    <x v="1"/>
    <n v="59"/>
    <n v="42"/>
    <n v="101"/>
    <n v="0"/>
    <n v="100"/>
    <n v="0"/>
    <n v="0"/>
    <n v="0"/>
    <n v="0"/>
    <n v="0"/>
    <n v="0"/>
    <n v="0"/>
    <n v="0"/>
    <n v="0"/>
    <n v="1"/>
    <n v="0"/>
    <n v="0"/>
    <n v="0"/>
  </r>
  <r>
    <d v="2024-04-10T00:00:00"/>
    <x v="2"/>
    <n v="95"/>
    <n v="95"/>
    <n v="190"/>
    <n v="190"/>
    <n v="0"/>
    <n v="1"/>
    <n v="0"/>
    <n v="0"/>
    <n v="0"/>
    <n v="0"/>
    <n v="0"/>
    <n v="0"/>
    <n v="190"/>
    <n v="0"/>
    <n v="0"/>
    <n v="0"/>
    <n v="0"/>
    <n v="0"/>
  </r>
  <r>
    <d v="2024-04-11T00:00:00"/>
    <x v="3"/>
    <n v="78"/>
    <n v="86"/>
    <n v="164"/>
    <n v="1"/>
    <n v="161"/>
    <n v="6.0975609756097563E-3"/>
    <n v="0"/>
    <n v="0"/>
    <n v="0"/>
    <n v="1"/>
    <n v="0"/>
    <n v="0"/>
    <n v="0"/>
    <n v="0"/>
    <n v="2"/>
    <n v="0"/>
    <n v="0"/>
    <n v="152"/>
  </r>
  <r>
    <d v="2024-04-12T00:00:00"/>
    <x v="4"/>
    <n v="96"/>
    <n v="56"/>
    <n v="152"/>
    <n v="70"/>
    <n v="82"/>
    <n v="0.46052631578947367"/>
    <n v="2"/>
    <n v="0"/>
    <n v="0"/>
    <n v="0"/>
    <n v="12"/>
    <n v="0"/>
    <n v="0"/>
    <n v="56"/>
    <n v="0"/>
    <n v="0"/>
    <n v="0"/>
    <n v="44"/>
  </r>
  <r>
    <d v="2024-04-13T00:00:00"/>
    <x v="5"/>
    <n v="102"/>
    <n v="79"/>
    <n v="181"/>
    <n v="1"/>
    <n v="179"/>
    <n v="5.5248618784530384E-3"/>
    <n v="0"/>
    <n v="0"/>
    <n v="0"/>
    <n v="0"/>
    <n v="0"/>
    <n v="0"/>
    <n v="0"/>
    <n v="0"/>
    <n v="1"/>
    <n v="0"/>
    <n v="1"/>
    <n v="153"/>
  </r>
  <r>
    <d v="2024-04-14T00:00:00"/>
    <x v="6"/>
    <n v="56"/>
    <n v="67"/>
    <n v="123"/>
    <n v="57"/>
    <n v="66"/>
    <n v="0.46341463414634149"/>
    <n v="0"/>
    <n v="0"/>
    <n v="0"/>
    <n v="0"/>
    <n v="1"/>
    <n v="0"/>
    <n v="0"/>
    <n v="56"/>
    <n v="0"/>
    <n v="0"/>
    <n v="0"/>
    <n v="0"/>
  </r>
  <r>
    <d v="2024-04-15T00:00:00"/>
    <x v="0"/>
    <n v="0"/>
    <n v="80"/>
    <n v="80"/>
    <n v="4"/>
    <n v="76"/>
    <n v="0.05"/>
    <n v="0"/>
    <n v="0"/>
    <n v="0"/>
    <n v="0"/>
    <n v="0"/>
    <n v="0"/>
    <n v="0"/>
    <n v="0"/>
    <n v="0"/>
    <n v="0"/>
    <n v="4"/>
    <n v="53"/>
  </r>
  <r>
    <d v="2024-04-16T00:00:00"/>
    <x v="1"/>
    <n v="104"/>
    <n v="28"/>
    <n v="132"/>
    <n v="0"/>
    <n v="130"/>
    <n v="0"/>
    <n v="0"/>
    <n v="0"/>
    <n v="0"/>
    <n v="0"/>
    <n v="0"/>
    <n v="0"/>
    <n v="0"/>
    <n v="0"/>
    <n v="2"/>
    <n v="0"/>
    <n v="0"/>
    <n v="0"/>
  </r>
  <r>
    <d v="2024-04-17T00:00:00"/>
    <x v="2"/>
    <n v="81"/>
    <n v="65"/>
    <n v="146"/>
    <n v="45"/>
    <n v="101"/>
    <n v="0.30821917808219179"/>
    <n v="4"/>
    <n v="0"/>
    <n v="1"/>
    <n v="1"/>
    <n v="30"/>
    <n v="0"/>
    <n v="0"/>
    <n v="0"/>
    <n v="0"/>
    <n v="4"/>
    <n v="5"/>
    <n v="33"/>
  </r>
  <r>
    <d v="2024-04-18T00:00:00"/>
    <x v="3"/>
    <n v="78"/>
    <n v="75"/>
    <n v="153"/>
    <n v="0"/>
    <n v="152"/>
    <n v="0"/>
    <n v="0"/>
    <n v="0"/>
    <n v="0"/>
    <n v="0"/>
    <n v="0"/>
    <n v="0"/>
    <n v="0"/>
    <n v="0"/>
    <n v="1"/>
    <n v="0"/>
    <n v="0"/>
    <n v="146"/>
  </r>
  <r>
    <d v="2024-04-19T00:00:00"/>
    <x v="4"/>
    <n v="91"/>
    <n v="81"/>
    <n v="172"/>
    <n v="52"/>
    <n v="119"/>
    <n v="0.30232558139534882"/>
    <n v="3"/>
    <n v="0"/>
    <n v="0"/>
    <n v="3"/>
    <n v="28"/>
    <n v="0"/>
    <n v="0"/>
    <n v="0"/>
    <n v="1"/>
    <n v="4"/>
    <n v="14"/>
    <n v="63"/>
  </r>
  <r>
    <d v="2024-04-20T00:00:00"/>
    <x v="5"/>
    <n v="83"/>
    <n v="77"/>
    <n v="160"/>
    <n v="0"/>
    <n v="160"/>
    <n v="0"/>
    <n v="0"/>
    <n v="0"/>
    <n v="0"/>
    <n v="0"/>
    <n v="0"/>
    <n v="0"/>
    <n v="0"/>
    <n v="0"/>
    <n v="0"/>
    <n v="0"/>
    <n v="0"/>
    <n v="159"/>
  </r>
  <r>
    <d v="2024-04-21T00:00:00"/>
    <x v="6"/>
    <n v="101"/>
    <n v="80"/>
    <n v="181"/>
    <n v="28"/>
    <n v="152"/>
    <n v="0.15469613259668508"/>
    <n v="0"/>
    <n v="0"/>
    <n v="0"/>
    <n v="0"/>
    <n v="16"/>
    <n v="0"/>
    <n v="0"/>
    <n v="0"/>
    <n v="1"/>
    <n v="2"/>
    <n v="10"/>
    <n v="126"/>
  </r>
  <r>
    <d v="2024-04-22T00:00:00"/>
    <x v="0"/>
    <n v="55"/>
    <n v="81"/>
    <n v="136"/>
    <n v="8"/>
    <n v="126"/>
    <n v="5.8823529411764705E-2"/>
    <n v="0"/>
    <n v="0"/>
    <n v="0"/>
    <n v="0"/>
    <n v="4"/>
    <n v="0"/>
    <n v="0"/>
    <n v="0"/>
    <n v="2"/>
    <n v="4"/>
    <n v="0"/>
    <n v="86"/>
  </r>
  <r>
    <d v="2024-04-23T00:00:00"/>
    <x v="1"/>
    <n v="91"/>
    <n v="41"/>
    <n v="132"/>
    <n v="0"/>
    <n v="130"/>
    <n v="0"/>
    <n v="0"/>
    <n v="0"/>
    <n v="0"/>
    <n v="0"/>
    <n v="0"/>
    <n v="0"/>
    <n v="0"/>
    <n v="0"/>
    <n v="2"/>
    <n v="0"/>
    <n v="0"/>
    <n v="0"/>
  </r>
  <r>
    <d v="2024-04-24T00:00:00"/>
    <x v="2"/>
    <n v="43"/>
    <n v="124"/>
    <n v="167"/>
    <n v="145"/>
    <n v="22"/>
    <n v="0.86826347305389218"/>
    <n v="1"/>
    <n v="3"/>
    <n v="5"/>
    <n v="8"/>
    <n v="0"/>
    <n v="0"/>
    <n v="124"/>
    <n v="0"/>
    <n v="0"/>
    <n v="0"/>
    <n v="4"/>
    <n v="0"/>
  </r>
  <r>
    <d v="2024-04-25T00:00:00"/>
    <x v="3"/>
    <n v="100"/>
    <n v="93"/>
    <n v="193"/>
    <n v="24"/>
    <n v="169"/>
    <n v="0.12435233160621761"/>
    <n v="0"/>
    <n v="0"/>
    <n v="0"/>
    <n v="0"/>
    <n v="18"/>
    <n v="0"/>
    <n v="0"/>
    <n v="0"/>
    <n v="0"/>
    <n v="0"/>
    <n v="6"/>
    <n v="140"/>
  </r>
  <r>
    <d v="2024-04-26T00:00:00"/>
    <x v="4"/>
    <n v="98"/>
    <n v="79"/>
    <n v="177"/>
    <n v="53"/>
    <n v="124"/>
    <n v="0.29943502824858759"/>
    <n v="4"/>
    <n v="1"/>
    <n v="3"/>
    <n v="0"/>
    <n v="37"/>
    <n v="0"/>
    <n v="0"/>
    <n v="0"/>
    <n v="0"/>
    <n v="0"/>
    <n v="8"/>
    <n v="74"/>
  </r>
  <r>
    <d v="2024-04-27T00:00:00"/>
    <x v="5"/>
    <n v="66"/>
    <n v="54"/>
    <n v="120"/>
    <n v="0"/>
    <n v="120"/>
    <n v="0"/>
    <n v="0"/>
    <n v="0"/>
    <n v="0"/>
    <n v="0"/>
    <n v="0"/>
    <n v="0"/>
    <n v="0"/>
    <n v="0"/>
    <n v="0"/>
    <n v="0"/>
    <n v="0"/>
    <n v="61"/>
  </r>
  <r>
    <d v="2024-04-28T00:00:00"/>
    <x v="6"/>
    <n v="94"/>
    <n v="88"/>
    <n v="182"/>
    <n v="15"/>
    <n v="166"/>
    <n v="8.2417582417582416E-2"/>
    <n v="0"/>
    <n v="0"/>
    <n v="0"/>
    <n v="0"/>
    <n v="13"/>
    <n v="0"/>
    <n v="0"/>
    <n v="0"/>
    <n v="1"/>
    <n v="0"/>
    <n v="2"/>
    <n v="132"/>
  </r>
  <r>
    <d v="2024-04-29T00:00:00"/>
    <x v="0"/>
    <n v="32"/>
    <n v="34"/>
    <n v="66"/>
    <n v="35"/>
    <n v="30"/>
    <n v="0.53030303030303028"/>
    <n v="0"/>
    <n v="0"/>
    <n v="0"/>
    <n v="0"/>
    <n v="3"/>
    <n v="0"/>
    <n v="0"/>
    <n v="32"/>
    <n v="1"/>
    <n v="0"/>
    <n v="0"/>
    <n v="0"/>
  </r>
  <r>
    <d v="2024-04-30T00:00:00"/>
    <x v="1"/>
    <n v="64"/>
    <n v="65"/>
    <n v="129"/>
    <n v="12"/>
    <n v="117"/>
    <n v="9.3023255813953487E-2"/>
    <n v="0"/>
    <n v="0"/>
    <n v="0"/>
    <n v="0"/>
    <n v="0"/>
    <n v="0"/>
    <n v="0"/>
    <n v="12"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8-01T00:00:00"/>
    <x v="0"/>
    <n v="78"/>
    <n v="66"/>
    <n v="144"/>
    <n v="0"/>
    <n v="144"/>
    <n v="0"/>
    <n v="0"/>
    <n v="0"/>
    <n v="0"/>
    <n v="0"/>
    <n v="0"/>
    <n v="0"/>
    <n v="0"/>
    <n v="0"/>
    <n v="0"/>
    <n v="0"/>
    <n v="0"/>
    <n v="143"/>
  </r>
  <r>
    <d v="2024-08-02T00:00:00"/>
    <x v="1"/>
    <n v="101"/>
    <n v="64"/>
    <n v="165"/>
    <n v="56"/>
    <n v="106"/>
    <n v="0.33939393939393941"/>
    <n v="2"/>
    <n v="1"/>
    <n v="0"/>
    <n v="0"/>
    <n v="38"/>
    <n v="0"/>
    <n v="0"/>
    <n v="0"/>
    <n v="3"/>
    <n v="1"/>
    <n v="14"/>
    <n v="56"/>
  </r>
  <r>
    <d v="2024-08-03T00:00:00"/>
    <x v="2"/>
    <n v="87"/>
    <n v="67"/>
    <n v="154"/>
    <n v="2"/>
    <n v="152"/>
    <n v="1.2987012987012988E-2"/>
    <n v="0"/>
    <n v="0"/>
    <n v="0"/>
    <n v="0"/>
    <n v="0"/>
    <n v="0"/>
    <n v="0"/>
    <n v="0"/>
    <n v="0"/>
    <n v="0"/>
    <n v="2"/>
    <n v="146"/>
  </r>
  <r>
    <d v="2024-08-04T00:00:00"/>
    <x v="3"/>
    <n v="85"/>
    <n v="86"/>
    <n v="171"/>
    <n v="93"/>
    <n v="78"/>
    <n v="0.54385964912280704"/>
    <n v="0"/>
    <n v="0"/>
    <n v="0"/>
    <n v="0"/>
    <n v="7"/>
    <n v="0"/>
    <n v="0"/>
    <n v="0"/>
    <n v="0"/>
    <n v="86"/>
    <n v="0"/>
    <n v="140"/>
  </r>
  <r>
    <d v="2024-08-05T00:00:00"/>
    <x v="4"/>
    <n v="40"/>
    <n v="58"/>
    <n v="98"/>
    <n v="25"/>
    <n v="73"/>
    <n v="0.25510204081632654"/>
    <n v="0"/>
    <n v="0"/>
    <n v="0"/>
    <n v="0"/>
    <n v="21"/>
    <n v="0"/>
    <n v="0"/>
    <n v="0"/>
    <n v="0"/>
    <n v="0"/>
    <n v="4"/>
    <n v="61"/>
  </r>
  <r>
    <d v="2024-08-06T00:00:00"/>
    <x v="5"/>
    <n v="87"/>
    <n v="31"/>
    <n v="118"/>
    <n v="0"/>
    <n v="118"/>
    <n v="0"/>
    <n v="0"/>
    <n v="0"/>
    <n v="0"/>
    <n v="0"/>
    <n v="0"/>
    <n v="0"/>
    <n v="0"/>
    <n v="0"/>
    <n v="0"/>
    <n v="0"/>
    <n v="0"/>
    <n v="0"/>
  </r>
  <r>
    <d v="2024-08-07T00:00:00"/>
    <x v="6"/>
    <n v="57"/>
    <n v="34"/>
    <n v="91"/>
    <n v="16"/>
    <n v="75"/>
    <n v="0.17582417582417584"/>
    <n v="2"/>
    <n v="0"/>
    <n v="0"/>
    <n v="0"/>
    <n v="8"/>
    <n v="0"/>
    <n v="0"/>
    <n v="0"/>
    <n v="0"/>
    <n v="2"/>
    <n v="4"/>
    <n v="22"/>
  </r>
  <r>
    <d v="2024-08-08T00:00:00"/>
    <x v="0"/>
    <n v="77"/>
    <n v="78"/>
    <n v="155"/>
    <n v="3"/>
    <n v="152"/>
    <n v="1.935483870967742E-2"/>
    <n v="3"/>
    <n v="0"/>
    <n v="0"/>
    <n v="0"/>
    <n v="0"/>
    <n v="0"/>
    <n v="0"/>
    <n v="0"/>
    <n v="0"/>
    <n v="0"/>
    <n v="0"/>
    <n v="144"/>
  </r>
  <r>
    <d v="2024-08-09T00:00:00"/>
    <x v="1"/>
    <n v="80"/>
    <n v="61"/>
    <n v="141"/>
    <n v="93"/>
    <n v="48"/>
    <n v="0.65957446808510634"/>
    <n v="0"/>
    <n v="0"/>
    <n v="0"/>
    <n v="0"/>
    <n v="10"/>
    <n v="0"/>
    <n v="0"/>
    <n v="82"/>
    <n v="0"/>
    <n v="1"/>
    <n v="0"/>
    <n v="27"/>
  </r>
  <r>
    <d v="2024-08-10T00:00:00"/>
    <x v="2"/>
    <n v="90"/>
    <n v="65"/>
    <n v="155"/>
    <n v="3"/>
    <n v="152"/>
    <n v="1.935483870967742E-2"/>
    <n v="0"/>
    <n v="0"/>
    <n v="0"/>
    <n v="0"/>
    <n v="0"/>
    <n v="0"/>
    <n v="0"/>
    <n v="0"/>
    <n v="0"/>
    <n v="0"/>
    <n v="3"/>
    <n v="127"/>
  </r>
  <r>
    <d v="2024-08-11T00:00:00"/>
    <x v="3"/>
    <n v="89"/>
    <n v="76"/>
    <n v="165"/>
    <n v="25"/>
    <n v="139"/>
    <n v="0.15151515151515152"/>
    <n v="0"/>
    <n v="0"/>
    <n v="0"/>
    <n v="0"/>
    <n v="25"/>
    <n v="0"/>
    <n v="0"/>
    <n v="0"/>
    <n v="1"/>
    <n v="0"/>
    <n v="0"/>
    <n v="122"/>
  </r>
  <r>
    <d v="2024-08-12T00:00:00"/>
    <x v="4"/>
    <n v="40"/>
    <n v="76"/>
    <n v="116"/>
    <n v="30"/>
    <n v="85"/>
    <n v="0.25862068965517243"/>
    <n v="1"/>
    <n v="1"/>
    <n v="0"/>
    <n v="0"/>
    <n v="21"/>
    <n v="0"/>
    <n v="0"/>
    <n v="0"/>
    <n v="1"/>
    <n v="4"/>
    <n v="3"/>
    <n v="55"/>
  </r>
  <r>
    <d v="2024-08-13T00:00:00"/>
    <x v="5"/>
    <n v="93"/>
    <n v="27"/>
    <n v="120"/>
    <n v="0"/>
    <n v="120"/>
    <n v="0"/>
    <n v="0"/>
    <n v="0"/>
    <n v="0"/>
    <n v="0"/>
    <n v="0"/>
    <n v="0"/>
    <n v="0"/>
    <n v="0"/>
    <n v="0"/>
    <n v="0"/>
    <n v="0"/>
    <n v="0"/>
  </r>
  <r>
    <d v="2024-08-14T00:00:00"/>
    <x v="6"/>
    <n v="60"/>
    <n v="27"/>
    <n v="87"/>
    <n v="17"/>
    <n v="70"/>
    <n v="0.19540229885057472"/>
    <n v="1"/>
    <n v="0"/>
    <n v="1"/>
    <n v="1"/>
    <n v="10"/>
    <n v="0"/>
    <n v="0"/>
    <n v="0"/>
    <n v="0"/>
    <n v="1"/>
    <n v="3"/>
    <n v="30"/>
  </r>
  <r>
    <d v="2024-08-15T00:00:00"/>
    <x v="0"/>
    <n v="72"/>
    <n v="60"/>
    <n v="132"/>
    <n v="0"/>
    <n v="132"/>
    <n v="0"/>
    <n v="0"/>
    <n v="0"/>
    <n v="0"/>
    <n v="0"/>
    <n v="0"/>
    <n v="0"/>
    <n v="0"/>
    <n v="0"/>
    <n v="0"/>
    <n v="0"/>
    <n v="0"/>
    <n v="132"/>
  </r>
  <r>
    <d v="2024-08-16T00:00:00"/>
    <x v="1"/>
    <n v="79"/>
    <n v="54"/>
    <n v="133"/>
    <n v="23"/>
    <n v="108"/>
    <n v="0.17293233082706766"/>
    <n v="4"/>
    <n v="2"/>
    <n v="0"/>
    <n v="0"/>
    <n v="10"/>
    <n v="4"/>
    <n v="0"/>
    <n v="0"/>
    <n v="2"/>
    <n v="3"/>
    <n v="0"/>
    <n v="31"/>
  </r>
  <r>
    <d v="2024-08-17T00:00:00"/>
    <x v="2"/>
    <n v="86"/>
    <n v="68"/>
    <n v="154"/>
    <n v="1"/>
    <n v="153"/>
    <n v="6.4935064935064939E-3"/>
    <n v="0"/>
    <n v="0"/>
    <n v="0"/>
    <n v="0"/>
    <n v="0"/>
    <n v="0"/>
    <n v="0"/>
    <n v="0"/>
    <n v="0"/>
    <n v="0"/>
    <n v="1"/>
    <n v="137"/>
  </r>
  <r>
    <d v="2024-08-18T00:00:00"/>
    <x v="3"/>
    <n v="88"/>
    <n v="74"/>
    <n v="162"/>
    <n v="26"/>
    <n v="136"/>
    <n v="0.16049382716049382"/>
    <n v="0"/>
    <n v="0"/>
    <n v="0"/>
    <n v="0"/>
    <n v="20"/>
    <n v="0"/>
    <n v="0"/>
    <n v="0"/>
    <n v="0"/>
    <n v="1"/>
    <n v="5"/>
    <n v="132"/>
  </r>
  <r>
    <d v="2024-08-19T00:00:00"/>
    <x v="4"/>
    <n v="33"/>
    <n v="50"/>
    <n v="83"/>
    <n v="13"/>
    <n v="70"/>
    <n v="0.15662650602409639"/>
    <n v="0"/>
    <n v="3"/>
    <n v="0"/>
    <n v="0"/>
    <n v="7"/>
    <n v="0"/>
    <n v="0"/>
    <n v="0"/>
    <n v="0"/>
    <n v="1"/>
    <n v="2"/>
    <n v="50"/>
  </r>
  <r>
    <d v="2024-08-20T00:00:00"/>
    <x v="5"/>
    <n v="67"/>
    <n v="25"/>
    <n v="92"/>
    <n v="0"/>
    <n v="92"/>
    <n v="0"/>
    <n v="0"/>
    <n v="0"/>
    <n v="0"/>
    <n v="0"/>
    <n v="0"/>
    <n v="0"/>
    <n v="0"/>
    <n v="0"/>
    <n v="0"/>
    <n v="0"/>
    <n v="0"/>
    <n v="0"/>
  </r>
  <r>
    <d v="2024-08-21T00:00:00"/>
    <x v="6"/>
    <n v="92"/>
    <n v="43"/>
    <n v="135"/>
    <n v="96"/>
    <n v="39"/>
    <n v="0.71111111111111114"/>
    <n v="0"/>
    <n v="0"/>
    <n v="0"/>
    <n v="1"/>
    <n v="0"/>
    <n v="0"/>
    <n v="94"/>
    <n v="0"/>
    <n v="0"/>
    <n v="0"/>
    <n v="1"/>
    <n v="0"/>
  </r>
  <r>
    <d v="2024-08-22T00:00:00"/>
    <x v="0"/>
    <n v="69"/>
    <n v="69"/>
    <n v="138"/>
    <n v="0"/>
    <n v="138"/>
    <n v="0"/>
    <n v="0"/>
    <n v="0"/>
    <n v="0"/>
    <n v="0"/>
    <n v="0"/>
    <n v="0"/>
    <n v="0"/>
    <n v="0"/>
    <n v="0"/>
    <n v="0"/>
    <n v="0"/>
    <n v="134"/>
  </r>
  <r>
    <d v="2024-08-23T00:00:00"/>
    <x v="1"/>
    <n v="93"/>
    <n v="66"/>
    <n v="159"/>
    <n v="47"/>
    <n v="111"/>
    <n v="0.29559748427672955"/>
    <n v="0"/>
    <n v="0"/>
    <n v="16"/>
    <n v="0"/>
    <n v="27"/>
    <n v="0"/>
    <n v="0"/>
    <n v="0"/>
    <n v="1"/>
    <n v="4"/>
    <n v="0"/>
    <n v="56"/>
  </r>
  <r>
    <d v="2024-08-24T00:00:00"/>
    <x v="2"/>
    <n v="88"/>
    <n v="63"/>
    <n v="151"/>
    <n v="2"/>
    <n v="149"/>
    <n v="1.3245033112582781E-2"/>
    <n v="0"/>
    <n v="0"/>
    <n v="0"/>
    <n v="0"/>
    <n v="0"/>
    <n v="0"/>
    <n v="0"/>
    <n v="0"/>
    <n v="0"/>
    <n v="0"/>
    <n v="2"/>
    <n v="141"/>
  </r>
  <r>
    <d v="2024-08-25T00:00:00"/>
    <x v="3"/>
    <n v="95"/>
    <n v="71"/>
    <n v="166"/>
    <n v="19"/>
    <n v="146"/>
    <n v="0.1144578313253012"/>
    <n v="1"/>
    <n v="0"/>
    <n v="0"/>
    <n v="0"/>
    <n v="17"/>
    <n v="0"/>
    <n v="0"/>
    <n v="0"/>
    <n v="1"/>
    <n v="0"/>
    <n v="1"/>
    <n v="132"/>
  </r>
  <r>
    <d v="2024-08-26T00:00:00"/>
    <x v="4"/>
    <n v="0"/>
    <n v="54"/>
    <n v="54"/>
    <n v="7"/>
    <n v="47"/>
    <n v="0.12962962962962962"/>
    <n v="0"/>
    <n v="1"/>
    <n v="0"/>
    <n v="0"/>
    <n v="0"/>
    <n v="0"/>
    <n v="0"/>
    <n v="0"/>
    <n v="0"/>
    <n v="0"/>
    <n v="6"/>
    <n v="33"/>
  </r>
  <r>
    <d v="2024-08-27T00:00:00"/>
    <x v="5"/>
    <n v="69"/>
    <n v="35"/>
    <n v="104"/>
    <n v="0"/>
    <n v="104"/>
    <n v="0"/>
    <n v="0"/>
    <n v="0"/>
    <n v="0"/>
    <n v="0"/>
    <n v="0"/>
    <n v="0"/>
    <n v="0"/>
    <n v="0"/>
    <n v="0"/>
    <n v="0"/>
    <n v="0"/>
    <n v="0"/>
  </r>
  <r>
    <d v="2024-08-28T00:00:00"/>
    <x v="6"/>
    <n v="21"/>
    <n v="72"/>
    <n v="93"/>
    <n v="35"/>
    <n v="58"/>
    <n v="0.37634408602150538"/>
    <n v="0"/>
    <n v="0"/>
    <n v="0"/>
    <n v="0"/>
    <n v="11"/>
    <n v="0"/>
    <n v="18"/>
    <n v="0"/>
    <n v="0"/>
    <n v="5"/>
    <n v="1"/>
    <n v="10"/>
  </r>
  <r>
    <d v="2024-08-29T00:00:00"/>
    <x v="0"/>
    <n v="71"/>
    <n v="61"/>
    <n v="132"/>
    <n v="0"/>
    <n v="132"/>
    <n v="0"/>
    <n v="0"/>
    <n v="0"/>
    <n v="0"/>
    <n v="0"/>
    <n v="0"/>
    <n v="0"/>
    <n v="0"/>
    <n v="0"/>
    <n v="0"/>
    <n v="0"/>
    <n v="0"/>
    <n v="127"/>
  </r>
  <r>
    <d v="2024-08-30T00:00:00"/>
    <x v="1"/>
    <n v="59"/>
    <n v="55"/>
    <n v="114"/>
    <n v="22"/>
    <n v="91"/>
    <n v="0.19298245614035087"/>
    <n v="0"/>
    <n v="0"/>
    <n v="0"/>
    <n v="0"/>
    <n v="22"/>
    <n v="0"/>
    <n v="0"/>
    <n v="0"/>
    <n v="1"/>
    <n v="0"/>
    <n v="0"/>
    <n v="47"/>
  </r>
  <r>
    <d v="2024-08-31T00:00:00"/>
    <x v="2"/>
    <n v="102"/>
    <n v="71"/>
    <n v="173"/>
    <n v="0"/>
    <n v="173"/>
    <n v="0"/>
    <n v="0"/>
    <n v="0"/>
    <n v="0"/>
    <n v="0"/>
    <n v="0"/>
    <n v="0"/>
    <n v="0"/>
    <n v="0"/>
    <n v="0"/>
    <n v="0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1-01T00:00:00"/>
    <x v="0"/>
    <n v="66"/>
    <n v="79"/>
    <n v="145"/>
    <n v="51"/>
    <n v="94"/>
    <n v="0.35172413793103446"/>
    <n v="0"/>
    <n v="0"/>
    <n v="18"/>
    <n v="2"/>
    <n v="29"/>
    <n v="0"/>
    <n v="0"/>
    <n v="0"/>
    <n v="0"/>
    <n v="0"/>
    <n v="2"/>
    <n v="93"/>
  </r>
  <r>
    <d v="2024-01-02T00:00:00"/>
    <x v="1"/>
    <n v="61"/>
    <n v="17"/>
    <n v="78"/>
    <n v="0"/>
    <n v="78"/>
    <n v="0"/>
    <n v="0"/>
    <n v="0"/>
    <n v="0"/>
    <n v="0"/>
    <n v="0"/>
    <n v="0"/>
    <n v="0"/>
    <n v="0"/>
    <n v="0"/>
    <n v="0"/>
    <n v="0"/>
    <n v="0"/>
  </r>
  <r>
    <d v="2024-01-03T00:00:00"/>
    <x v="2"/>
    <n v="93"/>
    <n v="53"/>
    <n v="146"/>
    <n v="66"/>
    <n v="80"/>
    <n v="0.45205479452054792"/>
    <n v="0"/>
    <n v="0"/>
    <n v="8"/>
    <n v="1"/>
    <n v="41"/>
    <n v="0"/>
    <n v="0"/>
    <n v="0"/>
    <n v="0"/>
    <n v="5"/>
    <n v="11"/>
    <n v="60"/>
  </r>
  <r>
    <d v="2024-01-04T00:00:00"/>
    <x v="3"/>
    <n v="82"/>
    <n v="80"/>
    <n v="162"/>
    <n v="0"/>
    <n v="159"/>
    <n v="0"/>
    <n v="0"/>
    <n v="0"/>
    <n v="0"/>
    <n v="0"/>
    <n v="0"/>
    <n v="0"/>
    <n v="0"/>
    <n v="0"/>
    <n v="3"/>
    <n v="0"/>
    <n v="0"/>
    <n v="159"/>
  </r>
  <r>
    <d v="2024-01-05T00:00:00"/>
    <x v="4"/>
    <n v="98"/>
    <n v="83"/>
    <n v="181"/>
    <n v="54"/>
    <n v="125"/>
    <n v="0.2983425414364641"/>
    <n v="0"/>
    <n v="0"/>
    <n v="4"/>
    <n v="1"/>
    <n v="45"/>
    <n v="0"/>
    <n v="0"/>
    <n v="0"/>
    <n v="2"/>
    <n v="2"/>
    <n v="2"/>
    <n v="91"/>
  </r>
  <r>
    <d v="2024-01-06T00:00:00"/>
    <x v="5"/>
    <n v="99"/>
    <n v="61"/>
    <n v="160"/>
    <n v="8"/>
    <n v="151"/>
    <n v="0.05"/>
    <n v="0"/>
    <n v="0"/>
    <n v="0"/>
    <n v="0"/>
    <n v="0"/>
    <n v="0"/>
    <n v="0"/>
    <n v="0"/>
    <n v="1"/>
    <n v="0"/>
    <n v="8"/>
    <n v="149"/>
  </r>
  <r>
    <d v="2024-01-07T00:00:00"/>
    <x v="6"/>
    <n v="97"/>
    <n v="41"/>
    <n v="138"/>
    <n v="17"/>
    <n v="120"/>
    <n v="0.12318840579710146"/>
    <n v="0"/>
    <n v="0"/>
    <n v="1"/>
    <n v="0"/>
    <n v="13"/>
    <n v="0"/>
    <n v="0"/>
    <n v="0"/>
    <n v="1"/>
    <n v="0"/>
    <n v="3"/>
    <n v="104"/>
  </r>
  <r>
    <d v="2024-01-08T00:00:00"/>
    <x v="0"/>
    <n v="52"/>
    <n v="10"/>
    <n v="62"/>
    <n v="61"/>
    <n v="1"/>
    <n v="0.9838709677419355"/>
    <n v="0"/>
    <n v="1"/>
    <n v="0"/>
    <n v="1"/>
    <n v="2"/>
    <n v="0"/>
    <n v="0"/>
    <n v="52"/>
    <n v="0"/>
    <n v="0"/>
    <n v="5"/>
    <n v="0"/>
  </r>
  <r>
    <d v="2024-01-09T00:00:00"/>
    <x v="1"/>
    <n v="58"/>
    <n v="32"/>
    <n v="90"/>
    <n v="0"/>
    <n v="89"/>
    <n v="0"/>
    <n v="0"/>
    <n v="0"/>
    <n v="0"/>
    <n v="0"/>
    <n v="0"/>
    <n v="0"/>
    <n v="0"/>
    <n v="0"/>
    <n v="1"/>
    <n v="0"/>
    <n v="0"/>
    <n v="0"/>
  </r>
  <r>
    <d v="2024-01-10T00:00:00"/>
    <x v="2"/>
    <n v="94"/>
    <n v="76"/>
    <n v="170"/>
    <n v="69"/>
    <n v="99"/>
    <n v="0.40588235294117647"/>
    <n v="1"/>
    <n v="4"/>
    <n v="3"/>
    <n v="2"/>
    <n v="42"/>
    <n v="0"/>
    <n v="0"/>
    <n v="0"/>
    <n v="2"/>
    <n v="5"/>
    <n v="12"/>
    <n v="71"/>
  </r>
  <r>
    <d v="2024-01-11T00:00:00"/>
    <x v="3"/>
    <n v="73"/>
    <n v="82"/>
    <n v="155"/>
    <n v="4"/>
    <n v="150"/>
    <n v="2.5806451612903226E-2"/>
    <n v="0"/>
    <n v="0"/>
    <n v="0"/>
    <n v="0"/>
    <n v="0"/>
    <n v="0"/>
    <n v="0"/>
    <n v="0"/>
    <n v="1"/>
    <n v="0"/>
    <n v="4"/>
    <n v="150"/>
  </r>
  <r>
    <d v="2024-01-12T00:00:00"/>
    <x v="4"/>
    <n v="94"/>
    <n v="71"/>
    <n v="165"/>
    <n v="59"/>
    <n v="106"/>
    <n v="0.3575757575757576"/>
    <n v="0"/>
    <n v="0"/>
    <n v="4"/>
    <n v="0"/>
    <n v="35"/>
    <n v="0"/>
    <n v="0"/>
    <n v="0"/>
    <n v="0"/>
    <n v="4"/>
    <n v="16"/>
    <n v="70"/>
  </r>
  <r>
    <d v="2024-01-13T00:00:00"/>
    <x v="5"/>
    <n v="99"/>
    <n v="50"/>
    <n v="149"/>
    <n v="1"/>
    <n v="147"/>
    <n v="6.7114093959731542E-3"/>
    <n v="0"/>
    <n v="0"/>
    <n v="1"/>
    <n v="0"/>
    <n v="0"/>
    <n v="0"/>
    <n v="0"/>
    <n v="0"/>
    <n v="1"/>
    <n v="0"/>
    <n v="0"/>
    <n v="147"/>
  </r>
  <r>
    <d v="2024-01-14T00:00:00"/>
    <x v="6"/>
    <n v="89"/>
    <n v="101"/>
    <n v="190"/>
    <n v="33"/>
    <n v="156"/>
    <n v="0.1736842105263158"/>
    <n v="0"/>
    <n v="0"/>
    <n v="4"/>
    <n v="3"/>
    <n v="21"/>
    <n v="0"/>
    <n v="0"/>
    <n v="0"/>
    <n v="1"/>
    <n v="0"/>
    <n v="5"/>
    <n v="132"/>
  </r>
  <r>
    <d v="2024-01-15T00:00:00"/>
    <x v="0"/>
    <n v="49"/>
    <n v="95"/>
    <n v="144"/>
    <n v="31"/>
    <n v="110"/>
    <n v="0.21527777777777779"/>
    <n v="0"/>
    <n v="0"/>
    <n v="4"/>
    <n v="2"/>
    <n v="16"/>
    <n v="0"/>
    <n v="0"/>
    <n v="0"/>
    <n v="3"/>
    <n v="4"/>
    <n v="5"/>
    <n v="85"/>
  </r>
  <r>
    <d v="2024-01-16T00:00:00"/>
    <x v="1"/>
    <n v="85"/>
    <n v="27"/>
    <n v="112"/>
    <n v="20"/>
    <n v="92"/>
    <n v="0.17857142857142858"/>
    <n v="0"/>
    <n v="0"/>
    <n v="1"/>
    <n v="13"/>
    <n v="0"/>
    <n v="0"/>
    <n v="0"/>
    <n v="0"/>
    <n v="0"/>
    <n v="0"/>
    <n v="6"/>
    <n v="0"/>
  </r>
  <r>
    <d v="2024-01-17T00:00:00"/>
    <x v="2"/>
    <n v="22"/>
    <n v="118"/>
    <n v="140"/>
    <n v="41"/>
    <n v="98"/>
    <n v="0.29285714285714287"/>
    <n v="0"/>
    <n v="2"/>
    <n v="4"/>
    <n v="0"/>
    <n v="24"/>
    <n v="0"/>
    <n v="0"/>
    <n v="0"/>
    <n v="1"/>
    <n v="2"/>
    <n v="9"/>
    <n v="26"/>
  </r>
  <r>
    <d v="2024-01-18T00:00:00"/>
    <x v="3"/>
    <n v="77"/>
    <n v="70"/>
    <n v="147"/>
    <n v="0"/>
    <n v="146"/>
    <n v="0"/>
    <n v="0"/>
    <n v="0"/>
    <n v="0"/>
    <n v="0"/>
    <n v="0"/>
    <n v="0"/>
    <n v="0"/>
    <n v="0"/>
    <n v="1"/>
    <n v="0"/>
    <n v="0"/>
    <n v="146"/>
  </r>
  <r>
    <d v="2024-01-19T00:00:00"/>
    <x v="4"/>
    <n v="86"/>
    <n v="64"/>
    <n v="150"/>
    <n v="39"/>
    <n v="110"/>
    <n v="0.26"/>
    <n v="0"/>
    <n v="4"/>
    <n v="7"/>
    <n v="0"/>
    <n v="25"/>
    <n v="0"/>
    <n v="0"/>
    <n v="0"/>
    <n v="1"/>
    <n v="0"/>
    <n v="3"/>
    <n v="70"/>
  </r>
  <r>
    <d v="2024-01-20T00:00:00"/>
    <x v="5"/>
    <n v="100"/>
    <n v="71"/>
    <n v="171"/>
    <n v="5"/>
    <n v="166"/>
    <n v="2.9239766081871343E-2"/>
    <n v="0"/>
    <n v="0"/>
    <n v="0"/>
    <n v="0"/>
    <n v="0"/>
    <n v="0"/>
    <n v="0"/>
    <n v="0"/>
    <n v="0"/>
    <n v="0"/>
    <n v="5"/>
    <n v="167"/>
  </r>
  <r>
    <d v="2024-01-21T00:00:00"/>
    <x v="6"/>
    <n v="101"/>
    <n v="89"/>
    <n v="190"/>
    <n v="27"/>
    <n v="158"/>
    <n v="0.14210526315789473"/>
    <n v="0"/>
    <n v="0"/>
    <n v="2"/>
    <n v="0"/>
    <n v="23"/>
    <n v="0"/>
    <n v="0"/>
    <n v="0"/>
    <n v="5"/>
    <n v="0"/>
    <n v="2"/>
    <n v="169"/>
  </r>
  <r>
    <d v="2024-01-22T00:00:00"/>
    <x v="0"/>
    <n v="85"/>
    <n v="47"/>
    <n v="132"/>
    <n v="39"/>
    <n v="91"/>
    <n v="0.29545454545454547"/>
    <n v="0"/>
    <n v="0"/>
    <n v="2"/>
    <n v="0"/>
    <n v="16"/>
    <n v="0"/>
    <n v="0"/>
    <n v="0"/>
    <n v="2"/>
    <n v="2"/>
    <n v="19"/>
    <n v="73"/>
  </r>
  <r>
    <d v="2024-01-23T00:00:00"/>
    <x v="1"/>
    <n v="105"/>
    <n v="16"/>
    <n v="121"/>
    <n v="0"/>
    <n v="118"/>
    <n v="0"/>
    <n v="0"/>
    <n v="0"/>
    <n v="0"/>
    <n v="0"/>
    <n v="0"/>
    <n v="0"/>
    <n v="0"/>
    <n v="0"/>
    <n v="3"/>
    <n v="0"/>
    <n v="0"/>
    <n v="0"/>
  </r>
  <r>
    <d v="2024-01-24T00:00:00"/>
    <x v="2"/>
    <n v="85"/>
    <n v="118"/>
    <n v="203"/>
    <n v="67"/>
    <n v="134"/>
    <n v="0.33004926108374383"/>
    <n v="0"/>
    <n v="3"/>
    <n v="7"/>
    <n v="3"/>
    <n v="42"/>
    <n v="0"/>
    <n v="0"/>
    <n v="0"/>
    <n v="2"/>
    <n v="4"/>
    <n v="8"/>
    <n v="54"/>
  </r>
  <r>
    <d v="2024-01-25T00:00:00"/>
    <x v="3"/>
    <n v="81"/>
    <n v="79"/>
    <n v="160"/>
    <n v="4"/>
    <n v="153"/>
    <n v="2.5000000000000001E-2"/>
    <n v="0"/>
    <n v="0"/>
    <n v="0"/>
    <n v="0"/>
    <n v="0"/>
    <n v="0"/>
    <n v="0"/>
    <n v="0"/>
    <n v="3"/>
    <n v="0"/>
    <n v="4"/>
    <n v="155"/>
  </r>
  <r>
    <d v="2024-01-26T00:00:00"/>
    <x v="4"/>
    <n v="99"/>
    <n v="91"/>
    <n v="190"/>
    <n v="53"/>
    <n v="137"/>
    <n v="0.27894736842105261"/>
    <n v="1"/>
    <n v="3"/>
    <n v="0"/>
    <n v="0"/>
    <n v="40"/>
    <n v="0"/>
    <n v="0"/>
    <n v="0"/>
    <n v="0"/>
    <n v="4"/>
    <n v="5"/>
    <n v="135"/>
  </r>
  <r>
    <d v="2024-01-27T00:00:00"/>
    <x v="5"/>
    <n v="78"/>
    <n v="56"/>
    <n v="134"/>
    <n v="0"/>
    <n v="132"/>
    <n v="0"/>
    <n v="0"/>
    <n v="0"/>
    <n v="0"/>
    <n v="0"/>
    <n v="0"/>
    <n v="0"/>
    <n v="0"/>
    <n v="0"/>
    <n v="2"/>
    <n v="0"/>
    <n v="0"/>
    <n v="129"/>
  </r>
  <r>
    <d v="2024-01-28T00:00:00"/>
    <x v="6"/>
    <n v="108"/>
    <n v="84"/>
    <n v="192"/>
    <n v="22"/>
    <n v="169"/>
    <n v="0.11458333333333333"/>
    <n v="0"/>
    <n v="0"/>
    <n v="0"/>
    <n v="0"/>
    <n v="20"/>
    <n v="0"/>
    <n v="0"/>
    <n v="0"/>
    <n v="1"/>
    <n v="0"/>
    <n v="2"/>
    <n v="162"/>
  </r>
  <r>
    <d v="2024-01-29T00:00:00"/>
    <x v="0"/>
    <n v="51"/>
    <n v="81"/>
    <n v="132"/>
    <n v="32"/>
    <n v="98"/>
    <n v="0.24242424242424243"/>
    <n v="4"/>
    <n v="0"/>
    <n v="11"/>
    <n v="0"/>
    <n v="7"/>
    <n v="0"/>
    <n v="0"/>
    <n v="0"/>
    <n v="2"/>
    <n v="5"/>
    <n v="5"/>
    <n v="62"/>
  </r>
  <r>
    <d v="2024-01-30T00:00:00"/>
    <x v="1"/>
    <n v="104"/>
    <n v="28"/>
    <n v="132"/>
    <n v="0"/>
    <n v="129"/>
    <n v="0"/>
    <n v="0"/>
    <n v="0"/>
    <n v="0"/>
    <n v="0"/>
    <n v="0"/>
    <n v="0"/>
    <n v="0"/>
    <n v="0"/>
    <n v="3"/>
    <n v="0"/>
    <n v="0"/>
    <n v="0"/>
  </r>
  <r>
    <d v="2024-01-31T00:00:00"/>
    <x v="2"/>
    <n v="90"/>
    <n v="74"/>
    <n v="164"/>
    <n v="62"/>
    <n v="101"/>
    <n v="0.37804878048780488"/>
    <n v="0"/>
    <n v="0"/>
    <n v="10"/>
    <n v="4"/>
    <n v="30"/>
    <n v="6"/>
    <n v="0"/>
    <n v="0"/>
    <n v="1"/>
    <n v="0"/>
    <n v="12"/>
    <n v="5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3-01T00:00:00"/>
    <x v="0"/>
    <n v="96"/>
    <n v="147"/>
    <n v="243"/>
    <n v="60"/>
    <n v="181"/>
    <n v="0.24691358024691357"/>
    <n v="8"/>
    <n v="0"/>
    <n v="0"/>
    <n v="0"/>
    <n v="32"/>
    <n v="0"/>
    <n v="0"/>
    <n v="0"/>
    <n v="2"/>
    <n v="4"/>
    <n v="16"/>
    <n v="73"/>
  </r>
  <r>
    <d v="2024-03-02T00:00:00"/>
    <x v="1"/>
    <n v="100"/>
    <n v="67"/>
    <n v="167"/>
    <n v="0"/>
    <n v="166"/>
    <n v="0"/>
    <n v="0"/>
    <n v="0"/>
    <n v="0"/>
    <n v="0"/>
    <n v="0"/>
    <n v="0"/>
    <n v="0"/>
    <n v="0"/>
    <n v="1"/>
    <n v="0"/>
    <n v="0"/>
    <n v="131"/>
  </r>
  <r>
    <d v="2024-03-03T00:00:00"/>
    <x v="2"/>
    <n v="101"/>
    <n v="94"/>
    <n v="195"/>
    <n v="16"/>
    <n v="177"/>
    <n v="8.2051282051282051E-2"/>
    <n v="0"/>
    <n v="0"/>
    <n v="0"/>
    <n v="0"/>
    <n v="8"/>
    <n v="0"/>
    <n v="0"/>
    <n v="0"/>
    <n v="2"/>
    <n v="0"/>
    <n v="8"/>
    <n v="126"/>
  </r>
  <r>
    <d v="2024-03-04T00:00:00"/>
    <x v="3"/>
    <n v="53"/>
    <n v="85"/>
    <n v="138"/>
    <n v="27"/>
    <n v="107"/>
    <n v="0.19565217391304349"/>
    <n v="5"/>
    <n v="0"/>
    <n v="2"/>
    <n v="2"/>
    <n v="11"/>
    <n v="0"/>
    <n v="0"/>
    <n v="0"/>
    <n v="4"/>
    <n v="6"/>
    <n v="1"/>
    <n v="77"/>
  </r>
  <r>
    <d v="2024-03-05T00:00:00"/>
    <x v="4"/>
    <n v="110"/>
    <n v="15"/>
    <n v="125"/>
    <n v="0"/>
    <n v="124"/>
    <n v="0"/>
    <n v="0"/>
    <n v="0"/>
    <n v="0"/>
    <n v="0"/>
    <n v="0"/>
    <n v="0"/>
    <n v="0"/>
    <n v="0"/>
    <n v="1"/>
    <n v="0"/>
    <n v="0"/>
    <n v="0"/>
  </r>
  <r>
    <d v="2024-03-06T00:00:00"/>
    <x v="5"/>
    <n v="50"/>
    <n v="95"/>
    <n v="145"/>
    <n v="87"/>
    <n v="58"/>
    <n v="0.6"/>
    <n v="0"/>
    <n v="0"/>
    <n v="2"/>
    <n v="1"/>
    <n v="8"/>
    <n v="0"/>
    <n v="68"/>
    <n v="0"/>
    <n v="0"/>
    <n v="0"/>
    <n v="8"/>
    <n v="9"/>
  </r>
  <r>
    <d v="2024-03-07T00:00:00"/>
    <x v="6"/>
    <n v="77"/>
    <n v="71"/>
    <n v="148"/>
    <n v="1"/>
    <n v="147"/>
    <n v="6.7567567567567571E-3"/>
    <n v="0"/>
    <n v="0"/>
    <n v="0"/>
    <n v="0"/>
    <n v="0"/>
    <n v="0"/>
    <n v="0"/>
    <n v="0"/>
    <n v="0"/>
    <n v="0"/>
    <n v="1"/>
    <n v="144"/>
  </r>
  <r>
    <d v="2024-03-08T00:00:00"/>
    <x v="0"/>
    <n v="88"/>
    <n v="148"/>
    <n v="236"/>
    <n v="61"/>
    <n v="174"/>
    <n v="0.25847457627118642"/>
    <n v="8"/>
    <n v="8"/>
    <n v="1"/>
    <n v="0"/>
    <n v="36"/>
    <n v="0"/>
    <n v="0"/>
    <n v="0"/>
    <n v="1"/>
    <n v="0"/>
    <n v="8"/>
    <n v="73"/>
  </r>
  <r>
    <d v="2024-03-09T00:00:00"/>
    <x v="1"/>
    <n v="80"/>
    <n v="3"/>
    <n v="83"/>
    <n v="0"/>
    <n v="83"/>
    <n v="0"/>
    <n v="0"/>
    <n v="0"/>
    <n v="0"/>
    <n v="0"/>
    <n v="0"/>
    <n v="0"/>
    <n v="0"/>
    <n v="0"/>
    <n v="0"/>
    <n v="0"/>
    <n v="0"/>
    <n v="68"/>
  </r>
  <r>
    <d v="2024-03-10T00:00:00"/>
    <x v="2"/>
    <n v="78"/>
    <n v="8"/>
    <n v="86"/>
    <n v="13"/>
    <n v="72"/>
    <n v="0.15116279069767441"/>
    <n v="0"/>
    <n v="0"/>
    <n v="0"/>
    <n v="0"/>
    <n v="11"/>
    <n v="0"/>
    <n v="0"/>
    <n v="0"/>
    <n v="1"/>
    <n v="2"/>
    <n v="0"/>
    <n v="63"/>
  </r>
  <r>
    <d v="2024-03-11T00:00:00"/>
    <x v="3"/>
    <n v="86"/>
    <n v="20"/>
    <n v="106"/>
    <n v="36"/>
    <n v="69"/>
    <n v="0.33962264150943394"/>
    <n v="1"/>
    <n v="0"/>
    <n v="0"/>
    <n v="0"/>
    <n v="29"/>
    <n v="0"/>
    <n v="0"/>
    <n v="0"/>
    <n v="1"/>
    <n v="4"/>
    <n v="2"/>
    <n v="64"/>
  </r>
  <r>
    <d v="2024-03-12T00:00:00"/>
    <x v="4"/>
    <n v="107"/>
    <n v="28"/>
    <n v="135"/>
    <n v="0"/>
    <n v="133"/>
    <n v="0"/>
    <n v="0"/>
    <n v="0"/>
    <n v="0"/>
    <n v="0"/>
    <n v="0"/>
    <n v="0"/>
    <n v="0"/>
    <n v="0"/>
    <n v="2"/>
    <n v="0"/>
    <n v="0"/>
    <n v="0"/>
  </r>
  <r>
    <d v="2024-03-13T00:00:00"/>
    <x v="5"/>
    <n v="72"/>
    <n v="65"/>
    <n v="137"/>
    <n v="50"/>
    <n v="86"/>
    <n v="0.36496350364963503"/>
    <n v="0"/>
    <n v="0"/>
    <n v="22"/>
    <n v="1"/>
    <n v="17"/>
    <n v="0"/>
    <n v="0"/>
    <n v="0"/>
    <n v="1"/>
    <n v="0"/>
    <n v="10"/>
    <n v="29"/>
  </r>
  <r>
    <d v="2024-03-14T00:00:00"/>
    <x v="6"/>
    <n v="82"/>
    <n v="79"/>
    <n v="161"/>
    <n v="0"/>
    <n v="157"/>
    <n v="0"/>
    <n v="0"/>
    <n v="0"/>
    <n v="0"/>
    <n v="0"/>
    <n v="0"/>
    <n v="0"/>
    <n v="0"/>
    <n v="0"/>
    <n v="4"/>
    <n v="0"/>
    <n v="0"/>
    <n v="151"/>
  </r>
  <r>
    <d v="2024-03-15T00:00:00"/>
    <x v="0"/>
    <n v="56"/>
    <n v="79"/>
    <n v="135"/>
    <n v="83"/>
    <n v="52"/>
    <n v="0.61481481481481481"/>
    <n v="0"/>
    <n v="12"/>
    <n v="0"/>
    <n v="0"/>
    <n v="9"/>
    <n v="0"/>
    <n v="0"/>
    <n v="56"/>
    <n v="0"/>
    <n v="6"/>
    <n v="0"/>
    <n v="0"/>
  </r>
  <r>
    <d v="2024-03-16T00:00:00"/>
    <x v="1"/>
    <n v="88"/>
    <n v="80"/>
    <n v="168"/>
    <n v="0"/>
    <n v="168"/>
    <n v="0"/>
    <n v="0"/>
    <n v="0"/>
    <n v="0"/>
    <n v="0"/>
    <n v="0"/>
    <n v="0"/>
    <n v="0"/>
    <n v="0"/>
    <n v="0"/>
    <n v="0"/>
    <n v="0"/>
    <n v="157"/>
  </r>
  <r>
    <d v="2024-03-17T00:00:00"/>
    <x v="2"/>
    <n v="66"/>
    <n v="98"/>
    <n v="164"/>
    <n v="9"/>
    <n v="154"/>
    <n v="5.4878048780487805E-2"/>
    <n v="0"/>
    <n v="0"/>
    <n v="0"/>
    <n v="0"/>
    <n v="9"/>
    <n v="0"/>
    <n v="0"/>
    <n v="0"/>
    <n v="1"/>
    <n v="0"/>
    <n v="0"/>
    <n v="98"/>
  </r>
  <r>
    <d v="2024-03-18T00:00:00"/>
    <x v="3"/>
    <n v="85"/>
    <n v="65"/>
    <n v="150"/>
    <n v="68"/>
    <n v="82"/>
    <n v="0.45333333333333331"/>
    <n v="0"/>
    <n v="0"/>
    <n v="0"/>
    <n v="0"/>
    <n v="15"/>
    <n v="4"/>
    <n v="36"/>
    <n v="0"/>
    <n v="0"/>
    <n v="4"/>
    <n v="9"/>
    <n v="24"/>
  </r>
  <r>
    <d v="2024-03-19T00:00:00"/>
    <x v="4"/>
    <n v="86"/>
    <n v="6"/>
    <n v="92"/>
    <n v="0"/>
    <n v="92"/>
    <n v="0"/>
    <n v="0"/>
    <n v="0"/>
    <n v="0"/>
    <n v="0"/>
    <n v="0"/>
    <n v="0"/>
    <n v="0"/>
    <n v="0"/>
    <n v="0"/>
    <n v="0"/>
    <n v="0"/>
    <n v="0"/>
  </r>
  <r>
    <d v="2024-03-20T00:00:00"/>
    <x v="5"/>
    <n v="48"/>
    <n v="96"/>
    <n v="144"/>
    <n v="127"/>
    <n v="17"/>
    <n v="0.88194444444444442"/>
    <n v="0"/>
    <n v="0"/>
    <n v="0"/>
    <n v="0"/>
    <n v="2"/>
    <n v="0"/>
    <n v="125"/>
    <n v="0"/>
    <n v="0"/>
    <n v="0"/>
    <n v="0"/>
    <n v="0"/>
  </r>
  <r>
    <d v="2024-03-21T00:00:00"/>
    <x v="6"/>
    <n v="86"/>
    <n v="68"/>
    <n v="154"/>
    <n v="2"/>
    <n v="152"/>
    <n v="1.2987012987012988E-2"/>
    <n v="0"/>
    <n v="0"/>
    <n v="1"/>
    <n v="0"/>
    <n v="0"/>
    <n v="0"/>
    <n v="0"/>
    <n v="0"/>
    <n v="0"/>
    <n v="0"/>
    <n v="1"/>
    <n v="146"/>
  </r>
  <r>
    <d v="2024-03-22T00:00:00"/>
    <x v="0"/>
    <n v="89"/>
    <n v="82"/>
    <n v="171"/>
    <n v="61"/>
    <n v="109"/>
    <n v="0.35672514619883039"/>
    <n v="0"/>
    <n v="0"/>
    <n v="0"/>
    <n v="0"/>
    <n v="32"/>
    <n v="0"/>
    <n v="20"/>
    <n v="0"/>
    <n v="1"/>
    <n v="9"/>
    <n v="0"/>
    <n v="71"/>
  </r>
  <r>
    <d v="2024-03-23T00:00:00"/>
    <x v="1"/>
    <n v="87"/>
    <n v="80"/>
    <n v="167"/>
    <n v="0"/>
    <n v="167"/>
    <n v="0"/>
    <n v="0"/>
    <n v="0"/>
    <n v="0"/>
    <n v="0"/>
    <n v="0"/>
    <n v="0"/>
    <n v="0"/>
    <n v="0"/>
    <n v="0"/>
    <n v="0"/>
    <n v="0"/>
    <n v="150"/>
  </r>
  <r>
    <d v="2024-03-24T00:00:00"/>
    <x v="2"/>
    <n v="40"/>
    <n v="56"/>
    <n v="96"/>
    <n v="96"/>
    <n v="0"/>
    <n v="1"/>
    <n v="0"/>
    <n v="0"/>
    <n v="0"/>
    <n v="0"/>
    <n v="0"/>
    <n v="0"/>
    <n v="0"/>
    <n v="96"/>
    <n v="0"/>
    <n v="0"/>
    <n v="0"/>
    <n v="0"/>
  </r>
  <r>
    <d v="2024-03-25T00:00:00"/>
    <x v="3"/>
    <n v="0"/>
    <n v="76"/>
    <n v="76"/>
    <n v="18"/>
    <n v="56"/>
    <n v="0.23684210526315788"/>
    <n v="8"/>
    <n v="8"/>
    <n v="0"/>
    <n v="0"/>
    <n v="0"/>
    <n v="0"/>
    <n v="0"/>
    <n v="0"/>
    <n v="2"/>
    <n v="2"/>
    <n v="0"/>
    <n v="42"/>
  </r>
  <r>
    <d v="2024-03-26T00:00:00"/>
    <x v="4"/>
    <n v="100"/>
    <n v="28"/>
    <n v="128"/>
    <n v="55"/>
    <n v="72"/>
    <n v="0.4296875"/>
    <n v="0"/>
    <n v="0"/>
    <n v="0"/>
    <n v="0"/>
    <n v="55"/>
    <n v="0"/>
    <n v="0"/>
    <n v="0"/>
    <n v="1"/>
    <n v="0"/>
    <n v="0"/>
    <n v="0"/>
  </r>
  <r>
    <d v="2024-03-27T00:00:00"/>
    <x v="5"/>
    <n v="82"/>
    <n v="61"/>
    <n v="143"/>
    <n v="87"/>
    <n v="56"/>
    <n v="0.60839160839160844"/>
    <n v="0"/>
    <n v="3"/>
    <n v="9"/>
    <n v="4"/>
    <n v="11"/>
    <n v="0"/>
    <n v="60"/>
    <n v="0"/>
    <n v="0"/>
    <n v="0"/>
    <n v="0"/>
    <n v="0"/>
  </r>
  <r>
    <d v="2024-03-28T00:00:00"/>
    <x v="6"/>
    <n v="80"/>
    <n v="62"/>
    <n v="142"/>
    <n v="0"/>
    <n v="140"/>
    <n v="0"/>
    <n v="0"/>
    <n v="0"/>
    <n v="0"/>
    <n v="0"/>
    <n v="0"/>
    <n v="0"/>
    <n v="0"/>
    <n v="0"/>
    <n v="2"/>
    <n v="0"/>
    <n v="0"/>
    <n v="136"/>
  </r>
  <r>
    <d v="2024-03-29T00:00:00"/>
    <x v="0"/>
    <n v="70"/>
    <n v="87"/>
    <n v="157"/>
    <n v="42"/>
    <n v="112"/>
    <n v="0.26751592356687898"/>
    <n v="1"/>
    <n v="0"/>
    <n v="0"/>
    <n v="1"/>
    <n v="36"/>
    <n v="0"/>
    <n v="0"/>
    <n v="0"/>
    <n v="3"/>
    <n v="0"/>
    <n v="4"/>
    <n v="97"/>
  </r>
  <r>
    <d v="2024-03-30T00:00:00"/>
    <x v="1"/>
    <n v="71"/>
    <n v="38"/>
    <n v="109"/>
    <n v="0"/>
    <n v="109"/>
    <n v="0"/>
    <n v="0"/>
    <n v="0"/>
    <n v="0"/>
    <n v="0"/>
    <n v="0"/>
    <n v="0"/>
    <n v="0"/>
    <n v="0"/>
    <n v="0"/>
    <n v="0"/>
    <n v="0"/>
    <n v="96"/>
  </r>
  <r>
    <d v="2024-03-31T00:00:00"/>
    <x v="2"/>
    <n v="71"/>
    <n v="42"/>
    <n v="113"/>
    <n v="24"/>
    <n v="89"/>
    <n v="0.21238938053097345"/>
    <n v="2"/>
    <n v="0"/>
    <n v="0"/>
    <n v="0"/>
    <n v="18"/>
    <n v="0"/>
    <n v="0"/>
    <n v="0"/>
    <n v="0"/>
    <n v="0"/>
    <n v="4"/>
    <n v="8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5-01T00:00:00"/>
    <x v="0"/>
    <n v="90"/>
    <n v="64"/>
    <n v="154"/>
    <n v="92"/>
    <n v="62"/>
    <n v="0.59740259740259738"/>
    <n v="0"/>
    <n v="0"/>
    <n v="0"/>
    <n v="0"/>
    <n v="2"/>
    <n v="0"/>
    <n v="90"/>
    <n v="0"/>
    <n v="0"/>
    <n v="0"/>
    <n v="0"/>
    <n v="0"/>
  </r>
  <r>
    <d v="2024-05-02T00:00:00"/>
    <x v="1"/>
    <n v="76"/>
    <n v="71"/>
    <n v="147"/>
    <n v="0"/>
    <n v="146"/>
    <n v="0"/>
    <n v="0"/>
    <n v="0"/>
    <n v="0"/>
    <n v="0"/>
    <n v="0"/>
    <n v="0"/>
    <n v="0"/>
    <n v="0"/>
    <n v="1"/>
    <n v="0"/>
    <n v="0"/>
    <n v="142"/>
  </r>
  <r>
    <d v="2024-05-03T00:00:00"/>
    <x v="2"/>
    <n v="103"/>
    <n v="81"/>
    <n v="184"/>
    <n v="48"/>
    <n v="134"/>
    <n v="0.2608695652173913"/>
    <n v="4"/>
    <n v="0"/>
    <n v="0"/>
    <n v="0"/>
    <n v="40"/>
    <n v="0"/>
    <n v="0"/>
    <n v="0"/>
    <n v="2"/>
    <n v="0"/>
    <n v="4"/>
    <n v="63"/>
  </r>
  <r>
    <d v="2024-05-04T00:00:00"/>
    <x v="3"/>
    <n v="106"/>
    <n v="93"/>
    <n v="199"/>
    <n v="2"/>
    <n v="196"/>
    <n v="1.0050251256281407E-2"/>
    <n v="0"/>
    <n v="0"/>
    <n v="0"/>
    <n v="0"/>
    <n v="0"/>
    <n v="0"/>
    <n v="0"/>
    <n v="0"/>
    <n v="1"/>
    <n v="0"/>
    <n v="2"/>
    <n v="171"/>
  </r>
  <r>
    <d v="2024-05-05T00:00:00"/>
    <x v="4"/>
    <n v="94"/>
    <n v="101"/>
    <n v="195"/>
    <n v="26"/>
    <n v="168"/>
    <n v="0.13333333333333333"/>
    <n v="0"/>
    <n v="0"/>
    <n v="0"/>
    <n v="0"/>
    <n v="22"/>
    <n v="0"/>
    <n v="0"/>
    <n v="0"/>
    <n v="1"/>
    <n v="0"/>
    <n v="4"/>
    <n v="156"/>
  </r>
  <r>
    <d v="2024-05-06T00:00:00"/>
    <x v="5"/>
    <n v="60"/>
    <n v="77"/>
    <n v="137"/>
    <n v="18"/>
    <n v="119"/>
    <n v="0.13138686131386862"/>
    <n v="0"/>
    <n v="0"/>
    <n v="3"/>
    <n v="0"/>
    <n v="4"/>
    <n v="0"/>
    <n v="0"/>
    <n v="0"/>
    <n v="0"/>
    <n v="4"/>
    <n v="7"/>
    <n v="76"/>
  </r>
  <r>
    <d v="2024-05-07T00:00:00"/>
    <x v="6"/>
    <n v="93"/>
    <n v="39"/>
    <n v="132"/>
    <n v="0"/>
    <n v="132"/>
    <n v="0"/>
    <n v="0"/>
    <n v="0"/>
    <n v="0"/>
    <n v="0"/>
    <n v="0"/>
    <n v="0"/>
    <n v="0"/>
    <n v="0"/>
    <n v="0"/>
    <n v="0"/>
    <n v="0"/>
    <n v="0"/>
  </r>
  <r>
    <d v="2024-05-08T00:00:00"/>
    <x v="0"/>
    <n v="81"/>
    <n v="64"/>
    <n v="145"/>
    <n v="42"/>
    <n v="103"/>
    <n v="0.28965517241379313"/>
    <n v="0"/>
    <n v="2"/>
    <n v="4"/>
    <n v="2"/>
    <n v="11"/>
    <n v="4"/>
    <n v="0"/>
    <n v="0"/>
    <n v="0"/>
    <n v="8"/>
    <n v="11"/>
    <n v="46"/>
  </r>
  <r>
    <d v="2024-05-09T00:00:00"/>
    <x v="1"/>
    <n v="72"/>
    <n v="98"/>
    <n v="170"/>
    <n v="0"/>
    <n v="168"/>
    <n v="0"/>
    <n v="0"/>
    <n v="0"/>
    <n v="0"/>
    <n v="0"/>
    <n v="0"/>
    <n v="0"/>
    <n v="0"/>
    <n v="0"/>
    <n v="2"/>
    <n v="0"/>
    <n v="0"/>
    <n v="160"/>
  </r>
  <r>
    <d v="2024-05-10T00:00:00"/>
    <x v="2"/>
    <n v="120"/>
    <n v="83"/>
    <n v="203"/>
    <n v="135"/>
    <n v="67"/>
    <n v="0.66502463054187189"/>
    <n v="0"/>
    <n v="1"/>
    <n v="0"/>
    <n v="0"/>
    <n v="12"/>
    <n v="0"/>
    <n v="120"/>
    <n v="0"/>
    <n v="1"/>
    <n v="0"/>
    <n v="2"/>
    <n v="0"/>
  </r>
  <r>
    <d v="2024-05-11T00:00:00"/>
    <x v="3"/>
    <n v="93"/>
    <n v="75"/>
    <n v="168"/>
    <n v="0"/>
    <n v="167"/>
    <n v="0"/>
    <n v="0"/>
    <n v="0"/>
    <n v="0"/>
    <n v="0"/>
    <n v="0"/>
    <n v="0"/>
    <n v="0"/>
    <n v="0"/>
    <n v="1"/>
    <n v="0"/>
    <n v="0"/>
    <n v="146"/>
  </r>
  <r>
    <d v="2024-05-12T00:00:00"/>
    <x v="4"/>
    <n v="89"/>
    <n v="87"/>
    <n v="176"/>
    <n v="36"/>
    <n v="140"/>
    <n v="0.20454545454545456"/>
    <n v="0"/>
    <n v="0"/>
    <n v="0"/>
    <n v="0"/>
    <n v="31"/>
    <n v="0"/>
    <n v="0"/>
    <n v="0"/>
    <n v="0"/>
    <n v="0"/>
    <n v="5"/>
    <n v="131"/>
  </r>
  <r>
    <d v="2024-05-13T00:00:00"/>
    <x v="5"/>
    <n v="56"/>
    <n v="67"/>
    <n v="123"/>
    <n v="38"/>
    <n v="84"/>
    <n v="0.30894308943089432"/>
    <n v="1"/>
    <n v="0"/>
    <n v="0"/>
    <n v="0"/>
    <n v="10"/>
    <n v="0"/>
    <n v="0"/>
    <n v="0"/>
    <n v="1"/>
    <n v="7"/>
    <n v="20"/>
    <n v="65"/>
  </r>
  <r>
    <d v="2024-05-14T00:00:00"/>
    <x v="6"/>
    <n v="88"/>
    <n v="33"/>
    <n v="121"/>
    <n v="0"/>
    <n v="120"/>
    <n v="0"/>
    <n v="0"/>
    <n v="0"/>
    <n v="0"/>
    <n v="0"/>
    <n v="0"/>
    <n v="0"/>
    <n v="0"/>
    <n v="0"/>
    <n v="1"/>
    <n v="0"/>
    <n v="0"/>
    <n v="0"/>
  </r>
  <r>
    <d v="2024-05-15T00:00:00"/>
    <x v="0"/>
    <n v="69"/>
    <n v="50"/>
    <n v="119"/>
    <n v="39"/>
    <n v="78"/>
    <n v="0.32773109243697479"/>
    <n v="0"/>
    <n v="0"/>
    <n v="0"/>
    <n v="0"/>
    <n v="12"/>
    <n v="0"/>
    <n v="0"/>
    <n v="24"/>
    <n v="2"/>
    <n v="1"/>
    <n v="2"/>
    <n v="17"/>
  </r>
  <r>
    <d v="2024-05-16T00:00:00"/>
    <x v="1"/>
    <n v="73"/>
    <n v="81"/>
    <n v="154"/>
    <n v="0"/>
    <n v="154"/>
    <n v="0"/>
    <n v="0"/>
    <n v="0"/>
    <n v="0"/>
    <n v="0"/>
    <n v="0"/>
    <n v="0"/>
    <n v="0"/>
    <n v="0"/>
    <n v="0"/>
    <n v="0"/>
    <n v="0"/>
    <n v="146"/>
  </r>
  <r>
    <d v="2024-05-17T00:00:00"/>
    <x v="2"/>
    <n v="94"/>
    <n v="73"/>
    <n v="167"/>
    <n v="38"/>
    <n v="127"/>
    <n v="0.22754491017964071"/>
    <n v="0"/>
    <n v="0"/>
    <n v="0"/>
    <n v="0"/>
    <n v="27"/>
    <n v="0"/>
    <n v="0"/>
    <n v="0"/>
    <n v="2"/>
    <n v="3"/>
    <n v="8"/>
    <n v="52"/>
  </r>
  <r>
    <d v="2024-05-18T00:00:00"/>
    <x v="3"/>
    <n v="83"/>
    <n v="57"/>
    <n v="140"/>
    <n v="0"/>
    <n v="139"/>
    <n v="0"/>
    <n v="0"/>
    <n v="0"/>
    <n v="0"/>
    <n v="0"/>
    <n v="0"/>
    <n v="0"/>
    <n v="0"/>
    <n v="0"/>
    <n v="1"/>
    <n v="0"/>
    <n v="0"/>
    <n v="127"/>
  </r>
  <r>
    <d v="2024-05-19T00:00:00"/>
    <x v="4"/>
    <n v="89"/>
    <n v="81"/>
    <n v="170"/>
    <n v="13"/>
    <n v="156"/>
    <n v="7.6470588235294124E-2"/>
    <n v="0"/>
    <n v="0"/>
    <n v="0"/>
    <n v="0"/>
    <n v="13"/>
    <n v="0"/>
    <n v="0"/>
    <n v="0"/>
    <n v="1"/>
    <n v="0"/>
    <n v="0"/>
    <n v="88"/>
  </r>
  <r>
    <d v="2024-05-20T00:00:00"/>
    <x v="5"/>
    <n v="48"/>
    <n v="63"/>
    <n v="111"/>
    <n v="17"/>
    <n v="94"/>
    <n v="0.15315315315315314"/>
    <n v="0"/>
    <n v="0"/>
    <n v="0"/>
    <n v="0"/>
    <n v="11"/>
    <n v="6"/>
    <n v="0"/>
    <n v="0"/>
    <n v="0"/>
    <n v="0"/>
    <n v="0"/>
    <n v="59"/>
  </r>
  <r>
    <d v="2024-05-21T00:00:00"/>
    <x v="6"/>
    <n v="85"/>
    <n v="31"/>
    <n v="116"/>
    <n v="0"/>
    <n v="115"/>
    <n v="0"/>
    <n v="0"/>
    <n v="0"/>
    <n v="0"/>
    <n v="0"/>
    <n v="0"/>
    <n v="0"/>
    <n v="0"/>
    <n v="0"/>
    <n v="1"/>
    <n v="0"/>
    <n v="0"/>
    <n v="0"/>
  </r>
  <r>
    <d v="2024-05-22T00:00:00"/>
    <x v="0"/>
    <n v="112"/>
    <n v="87"/>
    <n v="199"/>
    <n v="124"/>
    <n v="75"/>
    <n v="0.62311557788944727"/>
    <n v="0"/>
    <n v="0"/>
    <n v="0"/>
    <n v="0"/>
    <n v="12"/>
    <n v="0"/>
    <n v="112"/>
    <n v="0"/>
    <n v="0"/>
    <n v="0"/>
    <n v="0"/>
    <n v="0"/>
  </r>
  <r>
    <d v="2024-05-23T00:00:00"/>
    <x v="1"/>
    <n v="73"/>
    <n v="86"/>
    <n v="159"/>
    <n v="1"/>
    <n v="158"/>
    <n v="6.2893081761006293E-3"/>
    <n v="0"/>
    <n v="0"/>
    <n v="0"/>
    <n v="0"/>
    <n v="0"/>
    <n v="0"/>
    <n v="0"/>
    <n v="0"/>
    <n v="0"/>
    <n v="0"/>
    <n v="1"/>
    <n v="154"/>
  </r>
  <r>
    <d v="2024-05-24T00:00:00"/>
    <x v="2"/>
    <n v="93"/>
    <n v="76"/>
    <n v="169"/>
    <n v="38"/>
    <n v="128"/>
    <n v="0.22485207100591717"/>
    <n v="0"/>
    <n v="0"/>
    <n v="0"/>
    <n v="0"/>
    <n v="31"/>
    <n v="0"/>
    <n v="0"/>
    <n v="0"/>
    <n v="3"/>
    <n v="7"/>
    <n v="0"/>
    <n v="60"/>
  </r>
  <r>
    <d v="2024-05-25T00:00:00"/>
    <x v="3"/>
    <n v="74"/>
    <n v="70"/>
    <n v="144"/>
    <n v="0"/>
    <n v="144"/>
    <n v="0"/>
    <n v="0"/>
    <n v="0"/>
    <n v="0"/>
    <n v="0"/>
    <n v="0"/>
    <n v="0"/>
    <n v="0"/>
    <n v="0"/>
    <n v="0"/>
    <n v="0"/>
    <n v="0"/>
    <n v="135"/>
  </r>
  <r>
    <d v="2024-05-26T00:00:00"/>
    <x v="4"/>
    <n v="82"/>
    <n v="90"/>
    <n v="172"/>
    <n v="21"/>
    <n v="151"/>
    <n v="0.12209302325581395"/>
    <n v="0"/>
    <n v="0"/>
    <n v="0"/>
    <n v="0"/>
    <n v="19"/>
    <n v="0"/>
    <n v="0"/>
    <n v="0"/>
    <n v="0"/>
    <n v="0"/>
    <n v="2"/>
    <n v="117"/>
  </r>
  <r>
    <d v="2024-05-27T00:00:00"/>
    <x v="5"/>
    <n v="0"/>
    <n v="85"/>
    <n v="85"/>
    <n v="7"/>
    <n v="78"/>
    <n v="8.2352941176470587E-2"/>
    <n v="0"/>
    <n v="0"/>
    <n v="0"/>
    <n v="0"/>
    <n v="3"/>
    <n v="0"/>
    <n v="0"/>
    <n v="0"/>
    <n v="0"/>
    <n v="0"/>
    <n v="4"/>
    <n v="39"/>
  </r>
  <r>
    <d v="2024-05-28T00:00:00"/>
    <x v="6"/>
    <n v="76"/>
    <n v="44"/>
    <n v="120"/>
    <n v="42"/>
    <n v="78"/>
    <n v="0.35"/>
    <n v="0"/>
    <n v="0"/>
    <n v="0"/>
    <n v="0"/>
    <n v="42"/>
    <n v="0"/>
    <n v="0"/>
    <n v="0"/>
    <n v="0"/>
    <n v="0"/>
    <n v="0"/>
    <n v="0"/>
  </r>
  <r>
    <d v="2024-05-29T00:00:00"/>
    <x v="0"/>
    <n v="57"/>
    <n v="44"/>
    <n v="101"/>
    <n v="23"/>
    <n v="78"/>
    <n v="0.22772277227722773"/>
    <n v="0"/>
    <n v="0"/>
    <n v="0"/>
    <n v="0"/>
    <n v="18"/>
    <n v="0"/>
    <n v="0"/>
    <n v="0"/>
    <n v="0"/>
    <n v="4"/>
    <n v="1"/>
    <n v="33"/>
  </r>
  <r>
    <d v="2024-05-30T00:00:00"/>
    <x v="1"/>
    <n v="70"/>
    <n v="68"/>
    <n v="138"/>
    <n v="0"/>
    <n v="138"/>
    <n v="0"/>
    <n v="0"/>
    <n v="0"/>
    <n v="0"/>
    <n v="0"/>
    <n v="0"/>
    <n v="0"/>
    <n v="0"/>
    <n v="0"/>
    <n v="0"/>
    <n v="0"/>
    <n v="0"/>
    <n v="129"/>
  </r>
  <r>
    <d v="2024-05-31T00:00:00"/>
    <x v="2"/>
    <n v="88"/>
    <n v="54"/>
    <n v="142"/>
    <n v="37"/>
    <n v="103"/>
    <n v="0.26056338028169013"/>
    <n v="0"/>
    <n v="0"/>
    <n v="0"/>
    <n v="0"/>
    <n v="36"/>
    <n v="0"/>
    <n v="0"/>
    <n v="0"/>
    <n v="2"/>
    <n v="0"/>
    <n v="1"/>
    <n v="5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10-01T00:00:00"/>
    <x v="0"/>
    <n v="70"/>
    <n v="68"/>
    <n v="138"/>
    <n v="0"/>
    <n v="138"/>
    <n v="0"/>
    <n v="0"/>
    <n v="0"/>
    <n v="0"/>
    <n v="0"/>
    <n v="0"/>
    <n v="0"/>
    <n v="0"/>
    <n v="0"/>
    <n v="0"/>
    <n v="0"/>
    <n v="0"/>
    <n v="0"/>
  </r>
  <r>
    <d v="2024-10-02T00:00:00"/>
    <x v="1"/>
    <n v="66"/>
    <n v="69"/>
    <n v="135"/>
    <n v="79"/>
    <n v="56"/>
    <n v="0.58518518518518514"/>
    <n v="0"/>
    <n v="0"/>
    <n v="0"/>
    <n v="0"/>
    <n v="6"/>
    <n v="0"/>
    <n v="66"/>
    <n v="0"/>
    <n v="0"/>
    <n v="7"/>
    <n v="0"/>
    <n v="0"/>
  </r>
  <r>
    <d v="2024-10-03T00:00:00"/>
    <x v="2"/>
    <n v="77"/>
    <n v="104"/>
    <n v="181"/>
    <n v="0"/>
    <n v="181"/>
    <n v="0"/>
    <n v="0"/>
    <n v="0"/>
    <n v="0"/>
    <n v="0"/>
    <n v="0"/>
    <n v="0"/>
    <n v="0"/>
    <n v="0"/>
    <n v="0"/>
    <n v="0"/>
    <n v="0"/>
    <n v="177"/>
  </r>
  <r>
    <d v="2024-10-04T00:00:00"/>
    <x v="3"/>
    <n v="73"/>
    <n v="43"/>
    <n v="116"/>
    <n v="13"/>
    <n v="103"/>
    <n v="0.11206896551724138"/>
    <n v="0"/>
    <n v="0"/>
    <n v="0"/>
    <n v="0"/>
    <n v="13"/>
    <n v="0"/>
    <n v="0"/>
    <n v="0"/>
    <n v="0"/>
    <n v="0"/>
    <n v="0"/>
    <n v="36"/>
  </r>
  <r>
    <d v="2024-10-05T00:00:00"/>
    <x v="4"/>
    <n v="74"/>
    <n v="65"/>
    <n v="139"/>
    <n v="0"/>
    <n v="139"/>
    <n v="0"/>
    <n v="0"/>
    <n v="0"/>
    <n v="0"/>
    <n v="0"/>
    <n v="0"/>
    <n v="0"/>
    <n v="0"/>
    <n v="0"/>
    <n v="0"/>
    <n v="0"/>
    <n v="0"/>
    <n v="130"/>
  </r>
  <r>
    <d v="2024-10-06T00:00:00"/>
    <x v="5"/>
    <n v="87"/>
    <n v="81"/>
    <n v="168"/>
    <n v="18"/>
    <n v="150"/>
    <n v="0.10714285714285714"/>
    <n v="0"/>
    <n v="0"/>
    <n v="0"/>
    <n v="0"/>
    <n v="18"/>
    <n v="0"/>
    <n v="0"/>
    <n v="0"/>
    <n v="0"/>
    <n v="0"/>
    <n v="0"/>
    <n v="136"/>
  </r>
  <r>
    <d v="2024-10-07T00:00:00"/>
    <x v="6"/>
    <n v="55"/>
    <n v="43"/>
    <n v="98"/>
    <n v="7"/>
    <n v="91"/>
    <n v="7.1428571428571425E-2"/>
    <n v="0"/>
    <n v="0"/>
    <n v="1"/>
    <n v="0"/>
    <n v="6"/>
    <n v="0"/>
    <n v="0"/>
    <n v="0"/>
    <n v="0"/>
    <n v="0"/>
    <n v="0"/>
    <n v="57"/>
  </r>
  <r>
    <d v="2024-10-08T00:00:00"/>
    <x v="0"/>
    <n v="70"/>
    <n v="64"/>
    <n v="134"/>
    <n v="0"/>
    <n v="134"/>
    <n v="0"/>
    <n v="0"/>
    <n v="0"/>
    <n v="0"/>
    <n v="0"/>
    <n v="0"/>
    <n v="0"/>
    <n v="0"/>
    <n v="0"/>
    <n v="0"/>
    <n v="0"/>
    <n v="0"/>
    <n v="0"/>
  </r>
  <r>
    <d v="2024-10-09T00:00:00"/>
    <x v="1"/>
    <n v="36"/>
    <n v="80"/>
    <n v="116"/>
    <n v="46"/>
    <n v="69"/>
    <n v="0.39655172413793105"/>
    <n v="0"/>
    <n v="0"/>
    <n v="2"/>
    <n v="0"/>
    <n v="4"/>
    <n v="0"/>
    <n v="36"/>
    <n v="0"/>
    <n v="1"/>
    <n v="4"/>
    <n v="0"/>
    <n v="0"/>
  </r>
  <r>
    <d v="2024-10-10T00:00:00"/>
    <x v="2"/>
    <n v="83"/>
    <n v="98"/>
    <n v="181"/>
    <n v="0"/>
    <n v="181"/>
    <n v="0"/>
    <n v="0"/>
    <n v="0"/>
    <n v="0"/>
    <n v="0"/>
    <n v="0"/>
    <n v="0"/>
    <n v="0"/>
    <n v="0"/>
    <n v="0"/>
    <n v="0"/>
    <n v="0"/>
    <n v="158"/>
  </r>
  <r>
    <d v="2024-10-11T00:00:00"/>
    <x v="3"/>
    <n v="94"/>
    <n v="68"/>
    <n v="162"/>
    <n v="18"/>
    <n v="142"/>
    <n v="0.1111111111111111"/>
    <n v="2"/>
    <n v="0"/>
    <n v="0"/>
    <n v="0"/>
    <n v="14"/>
    <n v="0"/>
    <n v="0"/>
    <n v="0"/>
    <n v="2"/>
    <n v="2"/>
    <n v="0"/>
    <n v="72"/>
  </r>
  <r>
    <d v="2024-10-12T00:00:00"/>
    <x v="4"/>
    <n v="66"/>
    <n v="59"/>
    <n v="125"/>
    <n v="0"/>
    <n v="125"/>
    <n v="0"/>
    <n v="0"/>
    <n v="0"/>
    <n v="0"/>
    <n v="0"/>
    <n v="0"/>
    <n v="0"/>
    <n v="0"/>
    <n v="0"/>
    <n v="0"/>
    <n v="0"/>
    <n v="0"/>
    <n v="115"/>
  </r>
  <r>
    <d v="2024-10-13T00:00:00"/>
    <x v="5"/>
    <n v="36"/>
    <n v="96"/>
    <n v="132"/>
    <n v="0"/>
    <n v="131"/>
    <n v="0"/>
    <n v="0"/>
    <n v="0"/>
    <n v="0"/>
    <n v="0"/>
    <n v="0"/>
    <n v="0"/>
    <n v="0"/>
    <n v="0"/>
    <n v="1"/>
    <n v="0"/>
    <n v="0"/>
    <n v="38"/>
  </r>
  <r>
    <d v="2024-10-14T00:00:00"/>
    <x v="6"/>
    <n v="90"/>
    <n v="47"/>
    <n v="137"/>
    <n v="95"/>
    <n v="42"/>
    <n v="0.69343065693430661"/>
    <n v="0"/>
    <n v="0"/>
    <n v="0"/>
    <n v="0"/>
    <n v="1"/>
    <n v="0"/>
    <n v="0"/>
    <n v="90"/>
    <n v="0"/>
    <n v="4"/>
    <n v="0"/>
    <n v="0"/>
  </r>
  <r>
    <d v="2024-10-15T00:00:00"/>
    <x v="0"/>
    <n v="103"/>
    <n v="36"/>
    <n v="139"/>
    <n v="0"/>
    <n v="139"/>
    <n v="0"/>
    <n v="0"/>
    <n v="0"/>
    <n v="0"/>
    <n v="0"/>
    <n v="0"/>
    <n v="0"/>
    <n v="0"/>
    <n v="0"/>
    <n v="0"/>
    <n v="0"/>
    <n v="0"/>
    <n v="0"/>
  </r>
  <r>
    <d v="2024-10-16T00:00:00"/>
    <x v="1"/>
    <n v="49"/>
    <n v="70"/>
    <n v="119"/>
    <n v="64"/>
    <n v="55"/>
    <n v="0.53781512605042014"/>
    <n v="0"/>
    <n v="0"/>
    <n v="0"/>
    <n v="0"/>
    <n v="9"/>
    <n v="0"/>
    <n v="49"/>
    <n v="0"/>
    <n v="0"/>
    <n v="6"/>
    <n v="0"/>
    <n v="0"/>
  </r>
  <r>
    <d v="2024-10-17T00:00:00"/>
    <x v="2"/>
    <n v="78"/>
    <n v="76"/>
    <n v="154"/>
    <n v="0"/>
    <n v="154"/>
    <n v="0"/>
    <n v="0"/>
    <n v="0"/>
    <n v="0"/>
    <n v="0"/>
    <n v="0"/>
    <n v="0"/>
    <n v="0"/>
    <n v="0"/>
    <n v="0"/>
    <n v="0"/>
    <n v="0"/>
    <n v="149"/>
  </r>
  <r>
    <d v="2024-10-18T00:00:00"/>
    <x v="3"/>
    <n v="24"/>
    <n v="31"/>
    <n v="55"/>
    <n v="22"/>
    <n v="32"/>
    <n v="0.4"/>
    <n v="0"/>
    <n v="1"/>
    <n v="1"/>
    <n v="3"/>
    <n v="17"/>
    <n v="0"/>
    <n v="0"/>
    <n v="0"/>
    <n v="1"/>
    <n v="0"/>
    <n v="0"/>
    <n v="13"/>
  </r>
  <r>
    <d v="2024-10-19T00:00:00"/>
    <x v="4"/>
    <n v="55"/>
    <n v="75"/>
    <n v="130"/>
    <n v="0"/>
    <n v="130"/>
    <n v="0"/>
    <n v="0"/>
    <n v="0"/>
    <n v="0"/>
    <n v="0"/>
    <n v="0"/>
    <n v="0"/>
    <n v="0"/>
    <n v="0"/>
    <n v="0"/>
    <n v="0"/>
    <n v="0"/>
    <n v="105"/>
  </r>
  <r>
    <d v="2024-10-20T00:00:00"/>
    <x v="5"/>
    <n v="4"/>
    <n v="12"/>
    <n v="16"/>
    <n v="0"/>
    <n v="16"/>
    <n v="0"/>
    <n v="0"/>
    <n v="0"/>
    <n v="0"/>
    <n v="0"/>
    <n v="0"/>
    <n v="0"/>
    <n v="0"/>
    <n v="0"/>
    <n v="0"/>
    <n v="0"/>
    <n v="0"/>
    <n v="0"/>
  </r>
  <r>
    <d v="2024-10-21T00:00:00"/>
    <x v="6"/>
    <n v="0"/>
    <n v="69"/>
    <n v="69"/>
    <n v="12"/>
    <n v="57"/>
    <n v="0.17391304347826086"/>
    <n v="0"/>
    <n v="0"/>
    <n v="1"/>
    <n v="0"/>
    <n v="5"/>
    <n v="4"/>
    <n v="0"/>
    <n v="0"/>
    <n v="0"/>
    <n v="0"/>
    <n v="2"/>
    <n v="37"/>
  </r>
  <r>
    <d v="2024-10-22T00:00:00"/>
    <x v="0"/>
    <n v="86"/>
    <n v="39"/>
    <n v="125"/>
    <n v="0"/>
    <n v="125"/>
    <n v="0"/>
    <n v="0"/>
    <n v="0"/>
    <n v="0"/>
    <n v="0"/>
    <n v="0"/>
    <n v="0"/>
    <n v="0"/>
    <n v="0"/>
    <n v="0"/>
    <n v="0"/>
    <n v="0"/>
    <n v="0"/>
  </r>
  <r>
    <d v="2024-10-23T00:00:00"/>
    <x v="1"/>
    <n v="96"/>
    <n v="77"/>
    <n v="173"/>
    <n v="114"/>
    <n v="59"/>
    <n v="0.65895953757225434"/>
    <n v="0"/>
    <n v="0"/>
    <n v="9"/>
    <n v="3"/>
    <n v="4"/>
    <n v="0"/>
    <n v="96"/>
    <n v="0"/>
    <n v="0"/>
    <n v="2"/>
    <n v="0"/>
    <n v="0"/>
  </r>
  <r>
    <d v="2024-10-24T00:00:00"/>
    <x v="2"/>
    <n v="84"/>
    <n v="82"/>
    <n v="166"/>
    <n v="0"/>
    <n v="166"/>
    <n v="0"/>
    <n v="0"/>
    <n v="0"/>
    <n v="0"/>
    <n v="0"/>
    <n v="0"/>
    <n v="0"/>
    <n v="0"/>
    <n v="0"/>
    <n v="0"/>
    <n v="0"/>
    <n v="0"/>
    <n v="160"/>
  </r>
  <r>
    <d v="2024-10-25T00:00:00"/>
    <x v="3"/>
    <n v="96"/>
    <n v="78"/>
    <n v="174"/>
    <n v="41"/>
    <n v="133"/>
    <n v="0.23563218390804597"/>
    <n v="0"/>
    <n v="0"/>
    <n v="0"/>
    <n v="0"/>
    <n v="38"/>
    <n v="0"/>
    <n v="0"/>
    <n v="0"/>
    <n v="0"/>
    <n v="3"/>
    <n v="0"/>
    <n v="74"/>
  </r>
  <r>
    <d v="2024-10-26T00:00:00"/>
    <x v="4"/>
    <n v="100"/>
    <n v="66"/>
    <n v="166"/>
    <n v="0"/>
    <n v="166"/>
    <n v="0"/>
    <n v="0"/>
    <n v="0"/>
    <n v="0"/>
    <n v="0"/>
    <n v="0"/>
    <n v="0"/>
    <n v="0"/>
    <n v="0"/>
    <n v="0"/>
    <n v="0"/>
    <n v="0"/>
    <n v="151"/>
  </r>
  <r>
    <d v="2024-10-27T00:00:00"/>
    <x v="5"/>
    <n v="102"/>
    <n v="80"/>
    <n v="182"/>
    <n v="25"/>
    <n v="156"/>
    <n v="0.13736263736263737"/>
    <n v="0"/>
    <n v="0"/>
    <n v="0"/>
    <n v="0"/>
    <n v="21"/>
    <n v="0"/>
    <n v="0"/>
    <n v="0"/>
    <n v="1"/>
    <n v="0"/>
    <n v="4"/>
    <n v="166"/>
  </r>
  <r>
    <d v="2024-10-28T00:00:00"/>
    <x v="6"/>
    <n v="0"/>
    <n v="77"/>
    <n v="77"/>
    <n v="3"/>
    <n v="73"/>
    <n v="3.896103896103896E-2"/>
    <n v="0"/>
    <n v="0"/>
    <n v="0"/>
    <n v="0"/>
    <n v="3"/>
    <n v="0"/>
    <n v="0"/>
    <n v="0"/>
    <n v="1"/>
    <n v="0"/>
    <n v="0"/>
    <n v="47"/>
  </r>
  <r>
    <d v="2024-10-29T00:00:00"/>
    <x v="0"/>
    <n v="104"/>
    <n v="40"/>
    <n v="144"/>
    <n v="0"/>
    <n v="144"/>
    <n v="0"/>
    <n v="0"/>
    <n v="0"/>
    <n v="0"/>
    <n v="0"/>
    <n v="0"/>
    <n v="0"/>
    <n v="0"/>
    <n v="0"/>
    <n v="0"/>
    <n v="0"/>
    <n v="0"/>
    <n v="0"/>
  </r>
  <r>
    <d v="2024-10-30T00:00:00"/>
    <x v="1"/>
    <n v="66"/>
    <n v="66"/>
    <n v="132"/>
    <n v="36"/>
    <n v="96"/>
    <n v="0.27272727272727271"/>
    <n v="2"/>
    <n v="0"/>
    <n v="0"/>
    <n v="0"/>
    <n v="23"/>
    <n v="0"/>
    <n v="0"/>
    <n v="0"/>
    <n v="0"/>
    <n v="11"/>
    <n v="0"/>
    <n v="37"/>
  </r>
  <r>
    <d v="2024-10-31T00:00:00"/>
    <x v="2"/>
    <n v="85"/>
    <n v="90"/>
    <n v="175"/>
    <n v="0"/>
    <n v="175"/>
    <n v="0"/>
    <n v="0"/>
    <n v="0"/>
    <n v="0"/>
    <n v="0"/>
    <n v="0"/>
    <n v="0"/>
    <n v="0"/>
    <n v="0"/>
    <n v="0"/>
    <n v="0"/>
    <n v="0"/>
    <n v="148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09-01T00:00:00"/>
    <x v="0"/>
    <n v="91"/>
    <n v="77"/>
    <n v="168"/>
    <n v="25"/>
    <n v="140"/>
    <n v="0.14880952380952381"/>
    <n v="0"/>
    <n v="0"/>
    <n v="0"/>
    <n v="0"/>
    <n v="25"/>
    <n v="0"/>
    <n v="0"/>
    <n v="0"/>
    <n v="3"/>
    <n v="0"/>
    <n v="0"/>
    <n v="130"/>
  </r>
  <r>
    <d v="2024-09-02T00:00:00"/>
    <x v="1"/>
    <n v="22"/>
    <n v="45"/>
    <n v="67"/>
    <n v="10"/>
    <n v="57"/>
    <n v="0.14925373134328357"/>
    <n v="0"/>
    <n v="0"/>
    <n v="0"/>
    <n v="0"/>
    <n v="8"/>
    <n v="0"/>
    <n v="0"/>
    <n v="0"/>
    <n v="0"/>
    <n v="0"/>
    <n v="2"/>
    <n v="15"/>
  </r>
  <r>
    <d v="2024-09-03T00:00:00"/>
    <x v="2"/>
    <n v="83"/>
    <n v="4"/>
    <n v="87"/>
    <n v="0"/>
    <n v="87"/>
    <n v="0"/>
    <n v="0"/>
    <n v="0"/>
    <n v="0"/>
    <n v="0"/>
    <n v="0"/>
    <n v="0"/>
    <n v="0"/>
    <n v="0"/>
    <n v="0"/>
    <n v="0"/>
    <n v="0"/>
    <n v="0"/>
  </r>
  <r>
    <d v="2024-09-04T00:00:00"/>
    <x v="3"/>
    <n v="111"/>
    <n v="48"/>
    <n v="159"/>
    <n v="115"/>
    <n v="44"/>
    <n v="0.72327044025157228"/>
    <n v="0"/>
    <n v="0"/>
    <n v="0"/>
    <n v="0"/>
    <n v="4"/>
    <n v="0"/>
    <n v="111"/>
    <n v="0"/>
    <n v="0"/>
    <n v="0"/>
    <n v="0"/>
    <n v="0"/>
  </r>
  <r>
    <d v="2024-09-05T00:00:00"/>
    <x v="4"/>
    <n v="68"/>
    <n v="70"/>
    <n v="138"/>
    <n v="0"/>
    <n v="138"/>
    <n v="0"/>
    <n v="0"/>
    <n v="0"/>
    <n v="0"/>
    <n v="0"/>
    <n v="0"/>
    <n v="0"/>
    <n v="0"/>
    <n v="0"/>
    <n v="0"/>
    <n v="0"/>
    <n v="0"/>
    <n v="127"/>
  </r>
  <r>
    <d v="2024-09-06T00:00:00"/>
    <x v="5"/>
    <n v="88"/>
    <n v="53"/>
    <n v="141"/>
    <n v="32"/>
    <n v="109"/>
    <n v="0.22695035460992907"/>
    <n v="0"/>
    <n v="0"/>
    <n v="0"/>
    <n v="0"/>
    <n v="28"/>
    <n v="0"/>
    <n v="0"/>
    <n v="0"/>
    <n v="0"/>
    <n v="2"/>
    <n v="2"/>
    <n v="66"/>
  </r>
  <r>
    <d v="2024-09-07T00:00:00"/>
    <x v="6"/>
    <n v="93"/>
    <n v="68"/>
    <n v="161"/>
    <n v="0"/>
    <n v="161"/>
    <n v="0"/>
    <n v="0"/>
    <n v="0"/>
    <n v="0"/>
    <n v="0"/>
    <n v="0"/>
    <n v="0"/>
    <n v="0"/>
    <n v="0"/>
    <n v="0"/>
    <n v="0"/>
    <n v="0"/>
    <n v="158"/>
  </r>
  <r>
    <d v="2024-09-08T00:00:00"/>
    <x v="0"/>
    <n v="91"/>
    <n v="81"/>
    <n v="172"/>
    <n v="27"/>
    <n v="145"/>
    <n v="0.15697674418604651"/>
    <n v="0"/>
    <n v="0"/>
    <n v="0"/>
    <n v="0"/>
    <n v="27"/>
    <n v="0"/>
    <n v="0"/>
    <n v="0"/>
    <n v="0"/>
    <n v="0"/>
    <n v="0"/>
    <n v="140"/>
  </r>
  <r>
    <d v="2024-09-09T00:00:00"/>
    <x v="1"/>
    <n v="0"/>
    <n v="70"/>
    <n v="70"/>
    <n v="15"/>
    <n v="55"/>
    <n v="0.21428571428571427"/>
    <n v="0"/>
    <n v="4"/>
    <n v="0"/>
    <n v="0"/>
    <n v="4"/>
    <n v="0"/>
    <n v="0"/>
    <n v="0"/>
    <n v="0"/>
    <n v="1"/>
    <n v="6"/>
    <n v="44"/>
  </r>
  <r>
    <d v="2024-09-10T00:00:00"/>
    <x v="2"/>
    <n v="72"/>
    <n v="42"/>
    <n v="114"/>
    <n v="0"/>
    <n v="114"/>
    <n v="0"/>
    <n v="0"/>
    <n v="0"/>
    <n v="0"/>
    <n v="0"/>
    <n v="0"/>
    <n v="0"/>
    <n v="0"/>
    <n v="0"/>
    <n v="0"/>
    <n v="0"/>
    <n v="0"/>
    <n v="0"/>
  </r>
  <r>
    <d v="2024-09-11T00:00:00"/>
    <x v="3"/>
    <n v="61"/>
    <n v="71"/>
    <n v="132"/>
    <n v="66"/>
    <n v="66"/>
    <n v="0.5"/>
    <n v="1"/>
    <n v="0"/>
    <n v="0"/>
    <n v="0"/>
    <n v="22"/>
    <n v="0"/>
    <n v="32"/>
    <n v="0"/>
    <n v="0"/>
    <n v="5"/>
    <n v="6"/>
    <n v="16"/>
  </r>
  <r>
    <d v="2024-09-12T00:00:00"/>
    <x v="4"/>
    <n v="67"/>
    <n v="74"/>
    <n v="141"/>
    <n v="0"/>
    <n v="141"/>
    <n v="0"/>
    <n v="0"/>
    <n v="0"/>
    <n v="0"/>
    <n v="0"/>
    <n v="0"/>
    <n v="0"/>
    <n v="0"/>
    <n v="0"/>
    <n v="0"/>
    <n v="0"/>
    <n v="0"/>
    <n v="138"/>
  </r>
  <r>
    <d v="2024-09-13T00:00:00"/>
    <x v="5"/>
    <n v="99"/>
    <n v="67"/>
    <n v="166"/>
    <n v="45"/>
    <n v="120"/>
    <n v="0.27108433734939757"/>
    <n v="1"/>
    <n v="0"/>
    <n v="0"/>
    <n v="0"/>
    <n v="39"/>
    <n v="0"/>
    <n v="0"/>
    <n v="0"/>
    <n v="1"/>
    <n v="4"/>
    <n v="1"/>
    <n v="70"/>
  </r>
  <r>
    <d v="2024-09-14T00:00:00"/>
    <x v="6"/>
    <n v="26"/>
    <n v="58"/>
    <n v="84"/>
    <n v="16"/>
    <n v="68"/>
    <n v="0.19047619047619047"/>
    <n v="0"/>
    <n v="0"/>
    <n v="0"/>
    <n v="0"/>
    <n v="0"/>
    <n v="0"/>
    <n v="0"/>
    <n v="0"/>
    <n v="0"/>
    <n v="0"/>
    <n v="16"/>
    <n v="41"/>
  </r>
  <r>
    <d v="2024-09-15T00:00:00"/>
    <x v="0"/>
    <n v="102"/>
    <n v="80"/>
    <n v="182"/>
    <n v="39"/>
    <n v="141"/>
    <n v="0.21428571428571427"/>
    <n v="0"/>
    <n v="0"/>
    <n v="0"/>
    <n v="0"/>
    <n v="21"/>
    <n v="0"/>
    <n v="0"/>
    <n v="0"/>
    <n v="2"/>
    <n v="0"/>
    <n v="18"/>
    <n v="128"/>
  </r>
  <r>
    <d v="2024-09-16T00:00:00"/>
    <x v="1"/>
    <n v="45"/>
    <n v="69"/>
    <n v="114"/>
    <n v="20"/>
    <n v="94"/>
    <n v="0.17543859649122806"/>
    <n v="0"/>
    <n v="1"/>
    <n v="1"/>
    <n v="0"/>
    <n v="15"/>
    <n v="0"/>
    <n v="0"/>
    <n v="0"/>
    <n v="0"/>
    <n v="0"/>
    <n v="3"/>
    <n v="63"/>
  </r>
  <r>
    <d v="2024-09-17T00:00:00"/>
    <x v="2"/>
    <n v="82"/>
    <n v="37"/>
    <n v="119"/>
    <n v="0"/>
    <n v="119"/>
    <n v="0"/>
    <n v="0"/>
    <n v="0"/>
    <n v="0"/>
    <n v="0"/>
    <n v="0"/>
    <n v="0"/>
    <n v="0"/>
    <n v="0"/>
    <n v="0"/>
    <n v="0"/>
    <n v="0"/>
    <n v="0"/>
  </r>
  <r>
    <d v="2024-09-18T00:00:00"/>
    <x v="3"/>
    <n v="111"/>
    <n v="62"/>
    <n v="173"/>
    <n v="118"/>
    <n v="52"/>
    <n v="0.68208092485549132"/>
    <n v="0"/>
    <n v="1"/>
    <n v="3"/>
    <n v="0"/>
    <n v="0"/>
    <n v="0"/>
    <n v="111"/>
    <n v="0"/>
    <n v="3"/>
    <n v="0"/>
    <n v="3"/>
    <n v="0"/>
  </r>
  <r>
    <d v="2024-09-19T00:00:00"/>
    <x v="4"/>
    <n v="74"/>
    <n v="79"/>
    <n v="153"/>
    <n v="2"/>
    <n v="151"/>
    <n v="1.3071895424836602E-2"/>
    <n v="0"/>
    <n v="0"/>
    <n v="0"/>
    <n v="0"/>
    <n v="0"/>
    <n v="0"/>
    <n v="0"/>
    <n v="0"/>
    <n v="0"/>
    <n v="0"/>
    <n v="2"/>
    <n v="140"/>
  </r>
  <r>
    <d v="2024-09-20T00:00:00"/>
    <x v="5"/>
    <n v="95"/>
    <n v="63"/>
    <n v="158"/>
    <n v="56"/>
    <n v="102"/>
    <n v="0.35443037974683544"/>
    <n v="16"/>
    <n v="0"/>
    <n v="0"/>
    <n v="0"/>
    <n v="31"/>
    <n v="0"/>
    <n v="0"/>
    <n v="0"/>
    <n v="0"/>
    <n v="4"/>
    <n v="5"/>
    <n v="63"/>
  </r>
  <r>
    <d v="2024-09-21T00:00:00"/>
    <x v="6"/>
    <n v="96"/>
    <n v="88"/>
    <n v="184"/>
    <n v="0"/>
    <n v="184"/>
    <n v="0"/>
    <n v="0"/>
    <n v="0"/>
    <n v="0"/>
    <n v="0"/>
    <n v="0"/>
    <n v="0"/>
    <n v="0"/>
    <n v="0"/>
    <n v="0"/>
    <n v="0"/>
    <n v="0"/>
    <n v="180"/>
  </r>
  <r>
    <d v="2024-09-22T00:00:00"/>
    <x v="0"/>
    <n v="80"/>
    <n v="76"/>
    <n v="156"/>
    <n v="54"/>
    <n v="102"/>
    <n v="0.34615384615384615"/>
    <n v="42"/>
    <n v="0"/>
    <n v="0"/>
    <n v="0"/>
    <n v="12"/>
    <n v="0"/>
    <n v="0"/>
    <n v="0"/>
    <n v="0"/>
    <n v="0"/>
    <n v="0"/>
    <n v="89"/>
  </r>
  <r>
    <d v="2024-09-23T00:00:00"/>
    <x v="1"/>
    <n v="49"/>
    <n v="80"/>
    <n v="129"/>
    <n v="35"/>
    <n v="94"/>
    <n v="0.27131782945736432"/>
    <n v="0"/>
    <n v="0"/>
    <n v="2"/>
    <n v="1"/>
    <n v="8"/>
    <n v="0"/>
    <n v="0"/>
    <n v="24"/>
    <n v="0"/>
    <n v="0"/>
    <n v="0"/>
    <n v="59"/>
  </r>
  <r>
    <d v="2024-09-24T00:00:00"/>
    <x v="2"/>
    <n v="90"/>
    <n v="32"/>
    <n v="122"/>
    <n v="0"/>
    <n v="122"/>
    <n v="0"/>
    <n v="0"/>
    <n v="0"/>
    <n v="0"/>
    <n v="0"/>
    <n v="0"/>
    <n v="0"/>
    <n v="0"/>
    <n v="0"/>
    <n v="0"/>
    <n v="0"/>
    <n v="0"/>
    <n v="0"/>
  </r>
  <r>
    <d v="2024-09-25T00:00:00"/>
    <x v="3"/>
    <n v="80"/>
    <n v="58"/>
    <n v="138"/>
    <n v="89"/>
    <n v="49"/>
    <n v="0.64492753623188404"/>
    <n v="0"/>
    <n v="1"/>
    <n v="1"/>
    <n v="1"/>
    <n v="5"/>
    <n v="0"/>
    <n v="80"/>
    <n v="0"/>
    <n v="0"/>
    <n v="1"/>
    <n v="0"/>
    <n v="0"/>
  </r>
  <r>
    <d v="2024-09-26T00:00:00"/>
    <x v="4"/>
    <n v="76"/>
    <n v="80"/>
    <n v="156"/>
    <n v="2"/>
    <n v="154"/>
    <n v="1.282051282051282E-2"/>
    <n v="0"/>
    <n v="0"/>
    <n v="0"/>
    <n v="0"/>
    <n v="0"/>
    <n v="0"/>
    <n v="0"/>
    <n v="0"/>
    <n v="0"/>
    <n v="0"/>
    <n v="2"/>
    <n v="153"/>
  </r>
  <r>
    <d v="2024-09-27T00:00:00"/>
    <x v="5"/>
    <n v="97"/>
    <n v="92"/>
    <n v="189"/>
    <n v="34"/>
    <n v="155"/>
    <n v="0.17989417989417988"/>
    <n v="0"/>
    <n v="0"/>
    <n v="8"/>
    <n v="0"/>
    <n v="24"/>
    <n v="0"/>
    <n v="0"/>
    <n v="0"/>
    <n v="0"/>
    <n v="0"/>
    <n v="2"/>
    <n v="140"/>
  </r>
  <r>
    <d v="2024-09-28T00:00:00"/>
    <x v="6"/>
    <n v="77"/>
    <n v="12"/>
    <n v="89"/>
    <n v="4"/>
    <n v="85"/>
    <n v="4.49438202247191E-2"/>
    <n v="0"/>
    <n v="0"/>
    <n v="0"/>
    <n v="0"/>
    <n v="0"/>
    <n v="0"/>
    <n v="0"/>
    <n v="0"/>
    <n v="0"/>
    <n v="0"/>
    <n v="4"/>
    <n v="85"/>
  </r>
  <r>
    <d v="2024-09-29T00:00:00"/>
    <x v="0"/>
    <n v="74"/>
    <n v="22"/>
    <n v="96"/>
    <n v="14"/>
    <n v="82"/>
    <n v="0.14583333333333334"/>
    <n v="0"/>
    <n v="0"/>
    <n v="0"/>
    <n v="0"/>
    <n v="11"/>
    <n v="0"/>
    <n v="0"/>
    <n v="0"/>
    <n v="0"/>
    <n v="0"/>
    <n v="3"/>
    <n v="71"/>
  </r>
  <r>
    <d v="2024-09-30T00:00:00"/>
    <x v="1"/>
    <n v="54"/>
    <n v="77"/>
    <n v="131"/>
    <n v="27"/>
    <n v="104"/>
    <n v="0.20610687022900764"/>
    <n v="0"/>
    <n v="2"/>
    <n v="0"/>
    <n v="0"/>
    <n v="14"/>
    <n v="0"/>
    <n v="0"/>
    <n v="0"/>
    <n v="0"/>
    <n v="2"/>
    <n v="9"/>
    <n v="6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7-01T00:00:00"/>
    <x v="0"/>
    <n v="60"/>
    <n v="55"/>
    <n v="115"/>
    <n v="61"/>
    <n v="54"/>
    <n v="0.5304347826086957"/>
    <n v="0"/>
    <n v="0"/>
    <n v="0"/>
    <n v="0"/>
    <n v="1"/>
    <n v="0"/>
    <n v="0"/>
    <n v="60"/>
    <n v="0"/>
    <n v="0"/>
    <n v="0"/>
    <n v="38"/>
  </r>
  <r>
    <d v="2024-07-02T00:00:00"/>
    <x v="1"/>
    <n v="81"/>
    <n v="33"/>
    <n v="114"/>
    <n v="0"/>
    <n v="114"/>
    <n v="0"/>
    <n v="0"/>
    <n v="0"/>
    <n v="0"/>
    <n v="0"/>
    <n v="0"/>
    <n v="0"/>
    <n v="0"/>
    <n v="0"/>
    <n v="0"/>
    <n v="0"/>
    <n v="0"/>
    <n v="0"/>
  </r>
  <r>
    <d v="2024-07-03T00:00:00"/>
    <x v="2"/>
    <n v="28"/>
    <n v="96"/>
    <n v="124"/>
    <n v="102"/>
    <n v="22"/>
    <n v="0.82258064516129037"/>
    <n v="0"/>
    <n v="0"/>
    <n v="0"/>
    <n v="0"/>
    <n v="6"/>
    <n v="0"/>
    <n v="96"/>
    <n v="0"/>
    <n v="0"/>
    <n v="0"/>
    <n v="0"/>
    <n v="0"/>
  </r>
  <r>
    <d v="2024-07-04T00:00:00"/>
    <x v="3"/>
    <n v="67"/>
    <n v="72"/>
    <n v="139"/>
    <n v="0"/>
    <n v="139"/>
    <n v="0"/>
    <n v="0"/>
    <n v="0"/>
    <n v="0"/>
    <n v="0"/>
    <n v="0"/>
    <n v="0"/>
    <n v="0"/>
    <n v="0"/>
    <n v="0"/>
    <n v="0"/>
    <n v="0"/>
    <n v="138"/>
  </r>
  <r>
    <d v="2024-07-05T00:00:00"/>
    <x v="4"/>
    <n v="94"/>
    <n v="67"/>
    <n v="161"/>
    <n v="44"/>
    <n v="116"/>
    <n v="0.27329192546583853"/>
    <n v="4"/>
    <n v="0"/>
    <n v="0"/>
    <n v="0"/>
    <n v="36"/>
    <n v="0"/>
    <n v="0"/>
    <n v="0"/>
    <n v="1"/>
    <n v="4"/>
    <n v="0"/>
    <n v="68"/>
  </r>
  <r>
    <d v="2024-07-06T00:00:00"/>
    <x v="5"/>
    <n v="83"/>
    <n v="76"/>
    <n v="159"/>
    <n v="0"/>
    <n v="159"/>
    <n v="0"/>
    <n v="0"/>
    <n v="0"/>
    <n v="0"/>
    <n v="0"/>
    <n v="0"/>
    <n v="0"/>
    <n v="0"/>
    <n v="0"/>
    <n v="0"/>
    <n v="0"/>
    <n v="0"/>
    <n v="159"/>
  </r>
  <r>
    <d v="2024-07-07T00:00:00"/>
    <x v="6"/>
    <n v="83"/>
    <n v="85"/>
    <n v="168"/>
    <n v="66"/>
    <n v="101"/>
    <n v="0.39285714285714285"/>
    <n v="0"/>
    <n v="0"/>
    <n v="0"/>
    <n v="0"/>
    <n v="6"/>
    <n v="0"/>
    <n v="0"/>
    <n v="0"/>
    <n v="1"/>
    <n v="60"/>
    <n v="0"/>
    <n v="146"/>
  </r>
  <r>
    <d v="2024-07-08T00:00:00"/>
    <x v="0"/>
    <n v="48"/>
    <n v="59"/>
    <n v="107"/>
    <n v="12"/>
    <n v="95"/>
    <n v="0.11214953271028037"/>
    <n v="0"/>
    <n v="0"/>
    <n v="0"/>
    <n v="0"/>
    <n v="3"/>
    <n v="0"/>
    <n v="0"/>
    <n v="0"/>
    <n v="0"/>
    <n v="8"/>
    <n v="1"/>
    <n v="71"/>
  </r>
  <r>
    <d v="2024-07-09T00:00:00"/>
    <x v="1"/>
    <n v="34"/>
    <n v="4"/>
    <n v="38"/>
    <n v="0"/>
    <n v="38"/>
    <n v="0"/>
    <n v="0"/>
    <n v="0"/>
    <n v="0"/>
    <n v="0"/>
    <n v="0"/>
    <n v="0"/>
    <n v="0"/>
    <n v="0"/>
    <n v="0"/>
    <n v="0"/>
    <n v="0"/>
    <n v="0"/>
  </r>
  <r>
    <d v="2024-07-10T00:00:00"/>
    <x v="2"/>
    <n v="96"/>
    <n v="49"/>
    <n v="145"/>
    <n v="96"/>
    <n v="49"/>
    <n v="0.66206896551724137"/>
    <n v="0"/>
    <n v="0"/>
    <n v="0"/>
    <n v="0"/>
    <n v="0"/>
    <n v="0"/>
    <n v="96"/>
    <n v="0"/>
    <n v="0"/>
    <n v="0"/>
    <n v="0"/>
    <n v="21"/>
  </r>
  <r>
    <d v="2024-07-11T00:00:00"/>
    <x v="3"/>
    <n v="62"/>
    <n v="66"/>
    <n v="128"/>
    <n v="1"/>
    <n v="127"/>
    <n v="7.8125E-3"/>
    <n v="1"/>
    <n v="0"/>
    <n v="0"/>
    <n v="0"/>
    <n v="0"/>
    <n v="0"/>
    <n v="0"/>
    <n v="0"/>
    <n v="0"/>
    <n v="0"/>
    <n v="0"/>
    <n v="125"/>
  </r>
  <r>
    <d v="2024-07-12T00:00:00"/>
    <x v="4"/>
    <n v="87"/>
    <n v="78"/>
    <n v="165"/>
    <n v="36"/>
    <n v="127"/>
    <n v="0.21818181818181817"/>
    <n v="0"/>
    <n v="0"/>
    <n v="0"/>
    <n v="2"/>
    <n v="20"/>
    <n v="0"/>
    <n v="0"/>
    <n v="0"/>
    <n v="2"/>
    <n v="13"/>
    <n v="1"/>
    <n v="66"/>
  </r>
  <r>
    <d v="2024-07-13T00:00:00"/>
    <x v="5"/>
    <n v="76"/>
    <n v="74"/>
    <n v="150"/>
    <n v="0"/>
    <n v="150"/>
    <n v="0"/>
    <n v="0"/>
    <n v="0"/>
    <n v="0"/>
    <n v="0"/>
    <n v="0"/>
    <n v="0"/>
    <n v="0"/>
    <n v="0"/>
    <n v="0"/>
    <n v="0"/>
    <n v="0"/>
    <n v="146"/>
  </r>
  <r>
    <d v="2024-07-14T00:00:00"/>
    <x v="6"/>
    <n v="71"/>
    <n v="75"/>
    <n v="146"/>
    <n v="21"/>
    <n v="124"/>
    <n v="0.14383561643835616"/>
    <n v="0"/>
    <n v="0"/>
    <n v="0"/>
    <n v="0"/>
    <n v="17"/>
    <n v="0"/>
    <n v="0"/>
    <n v="0"/>
    <n v="1"/>
    <n v="0"/>
    <n v="4"/>
    <n v="108"/>
  </r>
  <r>
    <d v="2024-07-15T00:00:00"/>
    <x v="0"/>
    <n v="0"/>
    <n v="59"/>
    <n v="59"/>
    <n v="0"/>
    <n v="59"/>
    <n v="0"/>
    <n v="0"/>
    <n v="0"/>
    <n v="0"/>
    <n v="0"/>
    <n v="0"/>
    <n v="0"/>
    <n v="0"/>
    <n v="0"/>
    <n v="0"/>
    <n v="0"/>
    <n v="0"/>
    <n v="0"/>
  </r>
  <r>
    <d v="2024-07-16T00:00:00"/>
    <x v="1"/>
    <n v="51"/>
    <n v="28"/>
    <n v="79"/>
    <n v="0"/>
    <n v="78"/>
    <n v="0"/>
    <n v="0"/>
    <n v="0"/>
    <n v="0"/>
    <n v="0"/>
    <n v="0"/>
    <n v="0"/>
    <n v="0"/>
    <n v="0"/>
    <n v="1"/>
    <n v="0"/>
    <n v="0"/>
    <n v="0"/>
  </r>
  <r>
    <d v="2024-07-17T00:00:00"/>
    <x v="2"/>
    <n v="63"/>
    <n v="61"/>
    <n v="124"/>
    <n v="62"/>
    <n v="62"/>
    <n v="0.5"/>
    <n v="0"/>
    <n v="0"/>
    <n v="0"/>
    <n v="0"/>
    <n v="2"/>
    <n v="0"/>
    <n v="0"/>
    <n v="0"/>
    <n v="0"/>
    <n v="58"/>
    <n v="2"/>
    <n v="53"/>
  </r>
  <r>
    <d v="2024-07-18T00:00:00"/>
    <x v="3"/>
    <n v="70"/>
    <n v="71"/>
    <n v="141"/>
    <n v="0"/>
    <n v="141"/>
    <n v="0"/>
    <n v="0"/>
    <n v="0"/>
    <n v="0"/>
    <n v="0"/>
    <n v="0"/>
    <n v="0"/>
    <n v="0"/>
    <n v="0"/>
    <n v="0"/>
    <n v="0"/>
    <n v="0"/>
    <n v="136"/>
  </r>
  <r>
    <d v="2024-07-19T00:00:00"/>
    <x v="4"/>
    <n v="92"/>
    <n v="50"/>
    <n v="142"/>
    <n v="37"/>
    <n v="105"/>
    <n v="0.26056338028169013"/>
    <n v="1"/>
    <n v="0"/>
    <n v="0"/>
    <n v="0"/>
    <n v="36"/>
    <n v="0"/>
    <n v="0"/>
    <n v="0"/>
    <n v="0"/>
    <n v="0"/>
    <n v="0"/>
    <n v="68"/>
  </r>
  <r>
    <d v="2024-07-20T00:00:00"/>
    <x v="5"/>
    <n v="43"/>
    <n v="46"/>
    <n v="89"/>
    <n v="0"/>
    <n v="89"/>
    <n v="0"/>
    <n v="0"/>
    <n v="0"/>
    <n v="0"/>
    <n v="0"/>
    <n v="0"/>
    <n v="0"/>
    <n v="0"/>
    <n v="0"/>
    <n v="0"/>
    <n v="0"/>
    <n v="0"/>
    <n v="85"/>
  </r>
  <r>
    <d v="2024-07-21T00:00:00"/>
    <x v="6"/>
    <n v="89"/>
    <n v="74"/>
    <n v="163"/>
    <n v="23"/>
    <n v="140"/>
    <n v="0.1411042944785276"/>
    <n v="0"/>
    <n v="0"/>
    <n v="0"/>
    <n v="0"/>
    <n v="20"/>
    <n v="0"/>
    <n v="0"/>
    <n v="0"/>
    <n v="0"/>
    <n v="0"/>
    <n v="3"/>
    <n v="134"/>
  </r>
  <r>
    <d v="2024-07-22T00:00:00"/>
    <x v="0"/>
    <n v="33"/>
    <n v="77"/>
    <n v="110"/>
    <n v="12"/>
    <n v="95"/>
    <n v="0.10909090909090909"/>
    <n v="2"/>
    <n v="0"/>
    <n v="0"/>
    <n v="0"/>
    <n v="7"/>
    <n v="0"/>
    <n v="0"/>
    <n v="0"/>
    <n v="3"/>
    <n v="2"/>
    <n v="1"/>
    <n v="69"/>
  </r>
  <r>
    <d v="2024-07-23T00:00:00"/>
    <x v="1"/>
    <n v="81"/>
    <n v="40"/>
    <n v="121"/>
    <n v="0"/>
    <n v="120"/>
    <n v="0"/>
    <n v="0"/>
    <n v="0"/>
    <n v="0"/>
    <n v="0"/>
    <n v="0"/>
    <n v="0"/>
    <n v="0"/>
    <n v="0"/>
    <n v="1"/>
    <n v="0"/>
    <n v="0"/>
    <n v="0"/>
  </r>
  <r>
    <d v="2024-07-24T00:00:00"/>
    <x v="2"/>
    <n v="46"/>
    <n v="35"/>
    <n v="81"/>
    <n v="17"/>
    <n v="63"/>
    <n v="0.20987654320987653"/>
    <n v="0"/>
    <n v="4"/>
    <n v="0"/>
    <n v="0"/>
    <n v="5"/>
    <n v="0"/>
    <n v="0"/>
    <n v="0"/>
    <n v="1"/>
    <n v="0"/>
    <n v="8"/>
    <n v="14"/>
  </r>
  <r>
    <d v="2024-07-25T00:00:00"/>
    <x v="3"/>
    <n v="53"/>
    <n v="56"/>
    <n v="109"/>
    <n v="1"/>
    <n v="108"/>
    <n v="9.1743119266055051E-3"/>
    <n v="0"/>
    <n v="1"/>
    <n v="0"/>
    <n v="0"/>
    <n v="0"/>
    <n v="0"/>
    <n v="0"/>
    <n v="0"/>
    <n v="0"/>
    <n v="0"/>
    <n v="0"/>
    <n v="103"/>
  </r>
  <r>
    <d v="2024-07-26T00:00:00"/>
    <x v="4"/>
    <n v="89"/>
    <n v="56"/>
    <n v="145"/>
    <n v="35"/>
    <n v="109"/>
    <n v="0.2413793103448276"/>
    <n v="0"/>
    <n v="0"/>
    <n v="0"/>
    <n v="3"/>
    <n v="32"/>
    <n v="0"/>
    <n v="0"/>
    <n v="0"/>
    <n v="1"/>
    <n v="0"/>
    <n v="0"/>
    <n v="62"/>
  </r>
  <r>
    <d v="2024-07-27T00:00:00"/>
    <x v="5"/>
    <n v="61"/>
    <n v="53"/>
    <n v="114"/>
    <n v="0"/>
    <n v="114"/>
    <n v="0"/>
    <n v="0"/>
    <n v="0"/>
    <n v="0"/>
    <n v="0"/>
    <n v="0"/>
    <n v="0"/>
    <n v="0"/>
    <n v="0"/>
    <n v="0"/>
    <n v="0"/>
    <n v="0"/>
    <n v="100"/>
  </r>
  <r>
    <d v="2024-07-28T00:00:00"/>
    <x v="6"/>
    <n v="62"/>
    <n v="76"/>
    <n v="138"/>
    <n v="17"/>
    <n v="121"/>
    <n v="0.12318840579710146"/>
    <n v="0"/>
    <n v="0"/>
    <n v="0"/>
    <n v="0"/>
    <n v="13"/>
    <n v="0"/>
    <n v="0"/>
    <n v="0"/>
    <n v="0"/>
    <n v="2"/>
    <n v="2"/>
    <n v="103"/>
  </r>
  <r>
    <d v="2024-07-29T00:00:00"/>
    <x v="0"/>
    <n v="28"/>
    <n v="57"/>
    <n v="85"/>
    <n v="2"/>
    <n v="83"/>
    <n v="2.3529411764705882E-2"/>
    <n v="0"/>
    <n v="0"/>
    <n v="0"/>
    <n v="0"/>
    <n v="0"/>
    <n v="0"/>
    <n v="0"/>
    <n v="0"/>
    <n v="0"/>
    <n v="0"/>
    <n v="2"/>
    <n v="40"/>
  </r>
  <r>
    <d v="2024-07-30T00:00:00"/>
    <x v="1"/>
    <n v="84"/>
    <n v="28"/>
    <n v="112"/>
    <n v="0"/>
    <n v="112"/>
    <n v="0"/>
    <n v="0"/>
    <n v="0"/>
    <n v="0"/>
    <n v="0"/>
    <n v="0"/>
    <n v="0"/>
    <n v="0"/>
    <n v="0"/>
    <n v="0"/>
    <n v="0"/>
    <n v="0"/>
    <n v="0"/>
  </r>
  <r>
    <d v="2024-07-31T00:00:00"/>
    <x v="2"/>
    <n v="51"/>
    <n v="28"/>
    <n v="79"/>
    <n v="23"/>
    <n v="56"/>
    <n v="0.29113924050632911"/>
    <n v="0"/>
    <n v="0"/>
    <n v="1"/>
    <n v="0"/>
    <n v="14"/>
    <n v="0"/>
    <n v="0"/>
    <n v="0"/>
    <n v="0"/>
    <n v="6"/>
    <n v="2"/>
    <n v="14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11-01T00:00:00"/>
    <x v="0"/>
    <n v="101"/>
    <n v="78"/>
    <n v="179"/>
    <n v="51"/>
    <n v="128"/>
    <n v="0.28491620111731841"/>
    <n v="1"/>
    <n v="0"/>
    <n v="0"/>
    <n v="4"/>
    <n v="27"/>
    <n v="8"/>
    <n v="0"/>
    <n v="0"/>
    <n v="0"/>
    <n v="7"/>
    <n v="4"/>
    <n v="80"/>
  </r>
  <r>
    <d v="2024-11-02T00:00:00"/>
    <x v="1"/>
    <n v="103"/>
    <n v="61"/>
    <n v="164"/>
    <n v="0"/>
    <n v="164"/>
    <n v="0"/>
    <n v="0"/>
    <n v="0"/>
    <n v="0"/>
    <n v="0"/>
    <n v="0"/>
    <n v="0"/>
    <n v="0"/>
    <n v="0"/>
    <n v="0"/>
    <n v="0"/>
    <n v="0"/>
    <n v="143"/>
  </r>
  <r>
    <d v="2024-11-03T00:00:00"/>
    <x v="2"/>
    <n v="77"/>
    <n v="68"/>
    <n v="145"/>
    <n v="48"/>
    <n v="96"/>
    <n v="0.33103448275862069"/>
    <n v="0"/>
    <n v="0"/>
    <n v="0"/>
    <n v="0"/>
    <n v="19"/>
    <n v="0"/>
    <n v="0"/>
    <n v="28"/>
    <n v="1"/>
    <n v="0"/>
    <n v="1"/>
    <n v="96"/>
  </r>
  <r>
    <d v="2024-11-04T00:00:00"/>
    <x v="3"/>
    <n v="71"/>
    <n v="55"/>
    <n v="126"/>
    <n v="15"/>
    <n v="111"/>
    <n v="0.11904761904761904"/>
    <n v="0"/>
    <n v="0"/>
    <n v="0"/>
    <n v="0"/>
    <n v="11"/>
    <n v="0"/>
    <n v="0"/>
    <n v="0"/>
    <n v="0"/>
    <n v="4"/>
    <n v="0"/>
    <n v="66"/>
  </r>
  <r>
    <d v="2024-11-05T00:00:00"/>
    <x v="4"/>
    <n v="93"/>
    <n v="80"/>
    <n v="173"/>
    <n v="35"/>
    <n v="136"/>
    <n v="0.20231213872832371"/>
    <n v="0"/>
    <n v="0"/>
    <n v="2"/>
    <n v="0"/>
    <n v="29"/>
    <n v="0"/>
    <n v="0"/>
    <n v="0"/>
    <n v="2"/>
    <n v="0"/>
    <n v="4"/>
    <n v="140"/>
  </r>
  <r>
    <d v="2024-11-06T00:00:00"/>
    <x v="5"/>
    <n v="21"/>
    <n v="55"/>
    <n v="76"/>
    <n v="12"/>
    <n v="64"/>
    <n v="0.15789473684210525"/>
    <n v="0"/>
    <n v="0"/>
    <n v="2"/>
    <n v="0"/>
    <n v="10"/>
    <n v="0"/>
    <n v="0"/>
    <n v="0"/>
    <n v="0"/>
    <n v="0"/>
    <n v="0"/>
    <n v="0"/>
  </r>
  <r>
    <d v="2024-11-07T00:00:00"/>
    <x v="6"/>
    <n v="68"/>
    <n v="73"/>
    <n v="141"/>
    <n v="3"/>
    <n v="138"/>
    <n v="2.1276595744680851E-2"/>
    <n v="0"/>
    <n v="0"/>
    <n v="0"/>
    <n v="2"/>
    <n v="1"/>
    <n v="0"/>
    <n v="0"/>
    <n v="0"/>
    <n v="0"/>
    <n v="0"/>
    <n v="0"/>
    <n v="131"/>
  </r>
  <r>
    <d v="2024-11-08T00:00:00"/>
    <x v="0"/>
    <n v="87"/>
    <n v="85"/>
    <n v="172"/>
    <n v="52"/>
    <n v="120"/>
    <n v="0.30232558139534882"/>
    <n v="0"/>
    <n v="0"/>
    <n v="1"/>
    <n v="0"/>
    <n v="23"/>
    <n v="0"/>
    <n v="28"/>
    <n v="0"/>
    <n v="0"/>
    <n v="0"/>
    <n v="0"/>
    <n v="47"/>
  </r>
  <r>
    <d v="2024-11-09T00:00:00"/>
    <x v="1"/>
    <n v="97"/>
    <n v="68"/>
    <n v="165"/>
    <n v="0"/>
    <n v="165"/>
    <n v="0"/>
    <n v="0"/>
    <n v="0"/>
    <n v="0"/>
    <n v="0"/>
    <n v="0"/>
    <n v="0"/>
    <n v="0"/>
    <n v="0"/>
    <n v="0"/>
    <n v="0"/>
    <n v="0"/>
    <n v="161"/>
  </r>
  <r>
    <d v="2024-11-10T00:00:00"/>
    <x v="2"/>
    <n v="96"/>
    <n v="90"/>
    <n v="186"/>
    <n v="30"/>
    <n v="156"/>
    <n v="0.16129032258064516"/>
    <n v="0"/>
    <n v="0"/>
    <n v="0"/>
    <n v="0"/>
    <n v="30"/>
    <n v="0"/>
    <n v="0"/>
    <n v="0"/>
    <n v="0"/>
    <n v="0"/>
    <n v="0"/>
    <n v="138"/>
  </r>
  <r>
    <d v="2024-11-11T00:00:00"/>
    <x v="3"/>
    <n v="0"/>
    <n v="76"/>
    <n v="76"/>
    <n v="24"/>
    <n v="52"/>
    <n v="0.31578947368421051"/>
    <n v="0"/>
    <n v="0"/>
    <n v="0"/>
    <n v="0"/>
    <n v="0"/>
    <n v="0"/>
    <n v="0"/>
    <n v="24"/>
    <n v="0"/>
    <n v="0"/>
    <n v="0"/>
    <n v="44"/>
  </r>
  <r>
    <d v="2024-11-12T00:00:00"/>
    <x v="4"/>
    <n v="103"/>
    <n v="56"/>
    <n v="159"/>
    <n v="16"/>
    <n v="143"/>
    <n v="0.10062893081761007"/>
    <n v="0"/>
    <n v="0"/>
    <n v="14"/>
    <n v="0"/>
    <n v="0"/>
    <n v="0"/>
    <n v="0"/>
    <n v="0"/>
    <n v="0"/>
    <n v="2"/>
    <n v="0"/>
    <n v="0"/>
  </r>
  <r>
    <d v="2024-11-13T00:00:00"/>
    <x v="5"/>
    <n v="88"/>
    <n v="67"/>
    <n v="155"/>
    <n v="101"/>
    <n v="54"/>
    <n v="0.65161290322580645"/>
    <n v="0"/>
    <n v="0"/>
    <n v="0"/>
    <n v="0"/>
    <n v="5"/>
    <n v="0"/>
    <n v="88"/>
    <n v="0"/>
    <n v="0"/>
    <n v="0"/>
    <n v="8"/>
    <n v="0"/>
  </r>
  <r>
    <d v="2024-11-14T00:00:00"/>
    <x v="6"/>
    <n v="80"/>
    <n v="85"/>
    <n v="165"/>
    <n v="4"/>
    <n v="161"/>
    <n v="2.4242424242424242E-2"/>
    <n v="0"/>
    <n v="0"/>
    <n v="0"/>
    <n v="0"/>
    <n v="0"/>
    <n v="0"/>
    <n v="0"/>
    <n v="0"/>
    <n v="0"/>
    <n v="0"/>
    <n v="4"/>
    <n v="149"/>
  </r>
  <r>
    <d v="2024-11-15T00:00:00"/>
    <x v="0"/>
    <n v="107"/>
    <n v="90"/>
    <n v="197"/>
    <n v="95"/>
    <n v="102"/>
    <n v="0.48223350253807107"/>
    <n v="0"/>
    <n v="0"/>
    <n v="0"/>
    <n v="0"/>
    <n v="44"/>
    <n v="0"/>
    <n v="44"/>
    <n v="0"/>
    <n v="0"/>
    <n v="7"/>
    <n v="0"/>
    <n v="50"/>
  </r>
  <r>
    <d v="2024-11-16T00:00:00"/>
    <x v="1"/>
    <n v="101"/>
    <n v="61"/>
    <n v="162"/>
    <n v="0"/>
    <n v="162"/>
    <n v="0"/>
    <n v="0"/>
    <n v="0"/>
    <n v="0"/>
    <n v="0"/>
    <n v="0"/>
    <n v="0"/>
    <n v="0"/>
    <n v="0"/>
    <n v="0"/>
    <n v="0"/>
    <n v="0"/>
    <n v="152"/>
  </r>
  <r>
    <d v="2024-11-17T00:00:00"/>
    <x v="2"/>
    <n v="81"/>
    <n v="55"/>
    <n v="136"/>
    <n v="17"/>
    <n v="116"/>
    <n v="0.125"/>
    <n v="0"/>
    <n v="0"/>
    <n v="0"/>
    <n v="0"/>
    <n v="17"/>
    <n v="0"/>
    <n v="0"/>
    <n v="0"/>
    <n v="3"/>
    <n v="0"/>
    <n v="0"/>
    <n v="92"/>
  </r>
  <r>
    <d v="2024-11-18T00:00:00"/>
    <x v="3"/>
    <n v="53"/>
    <n v="71"/>
    <n v="124"/>
    <n v="33"/>
    <n v="91"/>
    <n v="0.2661290322580645"/>
    <n v="0"/>
    <n v="4"/>
    <n v="1"/>
    <n v="0"/>
    <n v="22"/>
    <n v="0"/>
    <n v="0"/>
    <n v="0"/>
    <n v="0"/>
    <n v="0"/>
    <n v="6"/>
    <n v="71"/>
  </r>
  <r>
    <d v="2024-11-19T00:00:00"/>
    <x v="4"/>
    <n v="100"/>
    <n v="34"/>
    <n v="134"/>
    <n v="0"/>
    <n v="134"/>
    <n v="0"/>
    <n v="0"/>
    <n v="0"/>
    <n v="0"/>
    <n v="0"/>
    <n v="0"/>
    <n v="0"/>
    <n v="0"/>
    <n v="0"/>
    <n v="0"/>
    <n v="0"/>
    <n v="0"/>
    <n v="0"/>
  </r>
  <r>
    <d v="2024-11-20T00:00:00"/>
    <x v="5"/>
    <n v="96"/>
    <n v="67"/>
    <n v="163"/>
    <n v="114"/>
    <n v="49"/>
    <n v="0.69938650306748462"/>
    <n v="0"/>
    <n v="0"/>
    <n v="16"/>
    <n v="2"/>
    <n v="0"/>
    <n v="0"/>
    <n v="96"/>
    <n v="0"/>
    <n v="0"/>
    <n v="0"/>
    <n v="0"/>
    <n v="0"/>
  </r>
  <r>
    <d v="2024-11-21T00:00:00"/>
    <x v="6"/>
    <n v="85"/>
    <n v="81"/>
    <n v="166"/>
    <n v="0"/>
    <n v="166"/>
    <n v="0"/>
    <n v="0"/>
    <n v="0"/>
    <n v="0"/>
    <n v="0"/>
    <n v="0"/>
    <n v="0"/>
    <n v="0"/>
    <n v="0"/>
    <n v="0"/>
    <n v="0"/>
    <n v="0"/>
    <n v="152"/>
  </r>
  <r>
    <d v="2024-11-22T00:00:00"/>
    <x v="0"/>
    <n v="89"/>
    <n v="58"/>
    <n v="147"/>
    <n v="35"/>
    <n v="112"/>
    <n v="0.23809523809523808"/>
    <n v="0"/>
    <n v="0"/>
    <n v="0"/>
    <n v="0"/>
    <n v="30"/>
    <n v="0"/>
    <n v="0"/>
    <n v="0"/>
    <n v="0"/>
    <n v="5"/>
    <n v="0"/>
    <n v="56"/>
  </r>
  <r>
    <d v="2024-11-23T00:00:00"/>
    <x v="1"/>
    <n v="86"/>
    <n v="18"/>
    <n v="104"/>
    <n v="0"/>
    <n v="104"/>
    <n v="0"/>
    <n v="0"/>
    <n v="0"/>
    <n v="0"/>
    <n v="0"/>
    <n v="0"/>
    <n v="0"/>
    <n v="0"/>
    <n v="0"/>
    <n v="0"/>
    <n v="0"/>
    <n v="0"/>
    <n v="83"/>
  </r>
  <r>
    <d v="2024-11-24T00:00:0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4-11-25T00:00:0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4-11-26T00:00:0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4-11-27T00:00:0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4-11-28T00:00:0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4-11-29T00:00:0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4-11-30T00:00:00"/>
    <x v="1"/>
    <n v="92"/>
    <n v="46"/>
    <n v="138"/>
    <n v="0"/>
    <n v="138"/>
    <n v="0"/>
    <n v="0"/>
    <n v="0"/>
    <n v="0"/>
    <n v="0"/>
    <n v="0"/>
    <n v="0"/>
    <n v="0"/>
    <n v="0"/>
    <n v="0"/>
    <n v="0"/>
    <n v="0"/>
    <n v="83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n v="109"/>
    <n v="56"/>
    <n v="165"/>
    <n v="0"/>
    <n v="165"/>
    <n v="0"/>
    <n v="0"/>
    <n v="0"/>
    <n v="0"/>
    <n v="0"/>
    <n v="0"/>
    <n v="0"/>
    <n v="0"/>
    <n v="0"/>
    <n v="0"/>
    <n v="0"/>
    <n v="0"/>
    <n v="131"/>
  </r>
  <r>
    <x v="1"/>
    <n v="53"/>
    <n v="80"/>
    <n v="133"/>
    <n v="28"/>
    <n v="105"/>
    <n v="0.21052631578947367"/>
    <n v="4"/>
    <n v="0"/>
    <n v="2"/>
    <n v="0"/>
    <n v="11"/>
    <n v="0"/>
    <n v="0"/>
    <n v="11"/>
    <n v="0"/>
    <n v="0"/>
    <n v="0"/>
    <n v="68"/>
  </r>
  <r>
    <x v="2"/>
    <n v="152"/>
    <n v="0"/>
    <n v="152"/>
    <n v="14"/>
    <n v="138"/>
    <n v="9.2105263157894732E-2"/>
    <n v="0"/>
    <n v="0"/>
    <n v="0"/>
    <n v="0"/>
    <n v="14"/>
    <n v="0"/>
    <n v="0"/>
    <n v="0"/>
    <n v="0"/>
    <n v="0"/>
    <n v="0"/>
    <n v="0"/>
  </r>
  <r>
    <x v="3"/>
    <n v="46"/>
    <n v="94"/>
    <n v="140"/>
    <n v="94"/>
    <n v="46"/>
    <n v="0.67142857142857137"/>
    <n v="0"/>
    <n v="0"/>
    <n v="0"/>
    <n v="0"/>
    <n v="0"/>
    <n v="0"/>
    <n v="94"/>
    <n v="0"/>
    <n v="0"/>
    <n v="0"/>
    <n v="0"/>
    <n v="0"/>
  </r>
  <r>
    <x v="4"/>
    <n v="85"/>
    <n v="83"/>
    <n v="168"/>
    <n v="1"/>
    <n v="167"/>
    <n v="5.9523809523809521E-3"/>
    <n v="0"/>
    <n v="0"/>
    <n v="0"/>
    <n v="0"/>
    <n v="0"/>
    <n v="0"/>
    <n v="0"/>
    <n v="0"/>
    <n v="0"/>
    <n v="0"/>
    <n v="1"/>
    <n v="156"/>
  </r>
  <r>
    <x v="5"/>
    <n v="81"/>
    <n v="58"/>
    <n v="139"/>
    <n v="38"/>
    <n v="101"/>
    <n v="0.2733812949640288"/>
    <n v="0"/>
    <n v="0"/>
    <n v="0"/>
    <n v="0"/>
    <n v="36"/>
    <n v="0"/>
    <n v="0"/>
    <n v="0"/>
    <n v="0"/>
    <n v="0"/>
    <n v="2"/>
    <n v="56"/>
  </r>
  <r>
    <x v="6"/>
    <n v="97"/>
    <n v="85"/>
    <n v="182"/>
    <n v="0"/>
    <n v="182"/>
    <n v="0"/>
    <n v="0"/>
    <n v="0"/>
    <n v="0"/>
    <n v="0"/>
    <n v="0"/>
    <n v="0"/>
    <n v="0"/>
    <n v="0"/>
    <n v="0"/>
    <n v="0"/>
    <n v="0"/>
    <n v="161"/>
  </r>
  <r>
    <x v="0"/>
    <n v="96"/>
    <n v="83"/>
    <n v="179"/>
    <n v="37"/>
    <n v="142"/>
    <n v="0.20670391061452514"/>
    <n v="0"/>
    <n v="0"/>
    <n v="0"/>
    <n v="1"/>
    <n v="28"/>
    <n v="0"/>
    <n v="0"/>
    <n v="0"/>
    <n v="0"/>
    <n v="0"/>
    <n v="8"/>
    <n v="160"/>
  </r>
  <r>
    <x v="1"/>
    <n v="49"/>
    <n v="46"/>
    <n v="95"/>
    <n v="9"/>
    <n v="86"/>
    <n v="9.4736842105263161E-2"/>
    <n v="0"/>
    <n v="0"/>
    <n v="0"/>
    <n v="0"/>
    <n v="1"/>
    <n v="0"/>
    <n v="0"/>
    <n v="0"/>
    <n v="0"/>
    <n v="8"/>
    <n v="0"/>
    <n v="48"/>
  </r>
  <r>
    <x v="2"/>
    <n v="104"/>
    <n v="25"/>
    <n v="129"/>
    <n v="2"/>
    <n v="127"/>
    <n v="1.5503875968992248E-2"/>
    <n v="0"/>
    <n v="0"/>
    <n v="1"/>
    <n v="0"/>
    <n v="0"/>
    <n v="0"/>
    <n v="0"/>
    <n v="0"/>
    <n v="0"/>
    <n v="0"/>
    <n v="1"/>
    <n v="0"/>
  </r>
  <r>
    <x v="3"/>
    <n v="60"/>
    <n v="156"/>
    <n v="216"/>
    <n v="56"/>
    <n v="159"/>
    <n v="0.25925925925925924"/>
    <n v="1"/>
    <n v="4"/>
    <n v="4"/>
    <n v="0"/>
    <n v="41"/>
    <n v="0"/>
    <n v="0"/>
    <n v="0"/>
    <n v="1"/>
    <n v="2"/>
    <n v="4"/>
    <n v="46"/>
  </r>
  <r>
    <x v="4"/>
    <n v="83"/>
    <n v="70"/>
    <n v="153"/>
    <n v="0"/>
    <n v="153"/>
    <n v="0"/>
    <n v="0"/>
    <n v="0"/>
    <n v="0"/>
    <n v="0"/>
    <n v="0"/>
    <n v="0"/>
    <n v="0"/>
    <n v="0"/>
    <n v="0"/>
    <n v="0"/>
    <n v="0"/>
    <n v="152"/>
  </r>
  <r>
    <x v="5"/>
    <n v="144"/>
    <n v="61"/>
    <n v="205"/>
    <n v="157"/>
    <n v="47"/>
    <n v="0.76585365853658538"/>
    <n v="0"/>
    <n v="0"/>
    <n v="0"/>
    <n v="0"/>
    <n v="7"/>
    <n v="0"/>
    <n v="144"/>
    <n v="0"/>
    <n v="1"/>
    <n v="0"/>
    <n v="6"/>
    <n v="0"/>
  </r>
  <r>
    <x v="6"/>
    <n v="80"/>
    <n v="95"/>
    <n v="175"/>
    <n v="79"/>
    <n v="96"/>
    <n v="0.4514285714285714"/>
    <n v="0"/>
    <n v="0"/>
    <n v="0"/>
    <n v="0"/>
    <n v="79"/>
    <n v="0"/>
    <n v="0"/>
    <n v="0"/>
    <n v="0"/>
    <n v="0"/>
    <n v="0"/>
    <n v="148"/>
  </r>
  <r>
    <x v="0"/>
    <n v="103"/>
    <n v="80"/>
    <n v="183"/>
    <n v="25"/>
    <n v="158"/>
    <n v="0.13661202185792351"/>
    <n v="0"/>
    <n v="0"/>
    <n v="0"/>
    <n v="0"/>
    <n v="23"/>
    <n v="0"/>
    <n v="0"/>
    <n v="0"/>
    <n v="0"/>
    <n v="2"/>
    <n v="0"/>
    <n v="164"/>
  </r>
  <r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79"/>
    <n v="78"/>
    <n v="157"/>
    <n v="0"/>
    <n v="157"/>
    <n v="0"/>
    <n v="0"/>
    <n v="0"/>
    <n v="0"/>
    <n v="0"/>
    <n v="0"/>
    <n v="0"/>
    <n v="0"/>
    <n v="0"/>
    <n v="0"/>
    <n v="0"/>
    <n v="0"/>
    <n v="155"/>
  </r>
  <r>
    <x v="5"/>
    <n v="92"/>
    <n v="62"/>
    <n v="154"/>
    <n v="21"/>
    <n v="133"/>
    <n v="0.13636363636363635"/>
    <n v="0"/>
    <n v="0"/>
    <n v="0"/>
    <n v="0"/>
    <n v="19"/>
    <n v="0"/>
    <n v="0"/>
    <n v="0"/>
    <n v="0"/>
    <n v="1"/>
    <n v="1"/>
    <n v="88"/>
  </r>
  <r>
    <x v="6"/>
    <n v="83"/>
    <n v="72"/>
    <n v="155"/>
    <n v="4"/>
    <n v="151"/>
    <n v="2.5806451612903226E-2"/>
    <n v="0"/>
    <n v="0"/>
    <n v="0"/>
    <n v="0"/>
    <n v="0"/>
    <n v="0"/>
    <n v="0"/>
    <n v="0"/>
    <n v="0"/>
    <n v="0"/>
    <n v="4"/>
    <n v="146"/>
  </r>
  <r>
    <x v="0"/>
    <n v="97"/>
    <n v="80"/>
    <n v="177"/>
    <n v="25"/>
    <n v="151"/>
    <n v="0.14124293785310735"/>
    <n v="0"/>
    <n v="0"/>
    <n v="0"/>
    <n v="0"/>
    <n v="25"/>
    <n v="0"/>
    <n v="0"/>
    <n v="0"/>
    <n v="1"/>
    <n v="0"/>
    <n v="0"/>
    <n v="153"/>
  </r>
  <r>
    <x v="1"/>
    <n v="71"/>
    <n v="79"/>
    <n v="150"/>
    <n v="45"/>
    <n v="105"/>
    <n v="0.3"/>
    <n v="0"/>
    <n v="0"/>
    <n v="1"/>
    <n v="0"/>
    <n v="33"/>
    <n v="0"/>
    <n v="0"/>
    <n v="0"/>
    <n v="0"/>
    <n v="5"/>
    <n v="6"/>
    <n v="68"/>
  </r>
  <r>
    <x v="2"/>
    <n v="34"/>
    <n v="3"/>
    <n v="37"/>
    <n v="0"/>
    <n v="37"/>
    <n v="0"/>
    <n v="0"/>
    <n v="0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63"/>
    <n v="1"/>
    <n v="64"/>
    <n v="10"/>
    <n v="54"/>
    <n v="0.15625"/>
    <n v="0"/>
    <n v="0"/>
    <n v="0"/>
    <n v="0"/>
    <n v="10"/>
    <n v="0"/>
    <n v="0"/>
    <n v="0"/>
    <n v="0"/>
    <n v="0"/>
    <n v="0"/>
    <n v="56"/>
  </r>
  <r>
    <x v="5"/>
    <n v="104"/>
    <n v="75"/>
    <n v="179"/>
    <n v="60"/>
    <n v="119"/>
    <n v="0.33519553072625696"/>
    <n v="0"/>
    <n v="0"/>
    <n v="0"/>
    <n v="0"/>
    <n v="54"/>
    <n v="0"/>
    <n v="0"/>
    <n v="0"/>
    <n v="0"/>
    <n v="4"/>
    <n v="2"/>
    <n v="99"/>
  </r>
  <r>
    <x v="6"/>
    <n v="89"/>
    <n v="55"/>
    <n v="144"/>
    <n v="2"/>
    <n v="142"/>
    <n v="1.3888888888888888E-2"/>
    <n v="0"/>
    <n v="0"/>
    <n v="0"/>
    <n v="0"/>
    <n v="0"/>
    <n v="0"/>
    <n v="0"/>
    <n v="0"/>
    <n v="0"/>
    <n v="0"/>
    <n v="2"/>
    <n v="136"/>
  </r>
  <r>
    <x v="0"/>
    <n v="103"/>
    <n v="85"/>
    <n v="188"/>
    <n v="46"/>
    <n v="142"/>
    <n v="0.24468085106382978"/>
    <n v="0"/>
    <n v="0"/>
    <n v="0"/>
    <n v="0"/>
    <n v="37"/>
    <n v="0"/>
    <n v="0"/>
    <n v="0"/>
    <n v="0"/>
    <n v="0"/>
    <n v="9"/>
    <n v="155"/>
  </r>
  <r>
    <x v="1"/>
    <n v="100"/>
    <n v="100"/>
    <n v="200"/>
    <n v="200"/>
    <n v="0"/>
    <n v="1"/>
    <n v="0"/>
    <n v="0"/>
    <n v="0"/>
    <n v="0"/>
    <n v="0"/>
    <n v="0"/>
    <n v="0"/>
    <n v="200"/>
    <n v="0"/>
    <n v="0"/>
    <n v="0"/>
    <n v="0"/>
  </r>
  <r>
    <x v="2"/>
    <n v="100"/>
    <n v="80"/>
    <n v="180"/>
    <n v="109"/>
    <n v="70"/>
    <n v="0.60555555555555551"/>
    <n v="0"/>
    <n v="0"/>
    <n v="0"/>
    <n v="0"/>
    <n v="9"/>
    <n v="0"/>
    <n v="0"/>
    <n v="10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5430C-D815-47F1-BA2F-DD8D5695226F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8:R96" firstHeaderRow="0" firstDataRow="1" firstDataCol="1"/>
  <pivotFields count="20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9D236-986C-4840-A7CB-B90467AA95B1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R48" firstHeaderRow="0" firstDataRow="1" firstDataCol="1"/>
  <pivotFields count="20"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E08E9-330D-4755-A336-FD3B79CCBAAE}" name="PivotTable1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R24" firstHeaderRow="0" firstDataRow="1" firstDataCol="1"/>
  <pivotFields count="20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DF896-AF79-4A0B-9477-B207FC793A2A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4:R132" firstHeaderRow="0" firstDataRow="1" firstDataCol="1"/>
  <pivotFields count="20">
    <pivotField numFmtId="14"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D7263-E7F3-483E-ACFA-F2B1171258EA}" name="PivotTable1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R84" firstHeaderRow="0" firstDataRow="1" firstDataCol="1"/>
  <pivotFields count="20"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8E0E9-DC00-4E12-A535-04CBE0F8CB54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R60" firstHeaderRow="0" firstDataRow="1" firstDataCol="1"/>
  <pivotFields count="20">
    <pivotField numFmtId="14"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772E0-4765-4C3F-9B52-32E8E5FA6E6A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R36" firstHeaderRow="0" firstDataRow="1" firstDataCol="1"/>
  <pivotFields count="20">
    <pivotField numFmtId="14"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7509-A481-4A4E-A029-C752FA9477EA}" name="PivotTable2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R72" firstHeaderRow="0" firstDataRow="1" firstDataCol="1"/>
  <pivotFields count="20">
    <pivotField numFmtId="14"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823FA-141D-410A-A58E-5BDB55636EE8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6:R144" firstHeaderRow="0" firstDataRow="1" firstDataCol="1"/>
  <pivotFields count="19"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1" baseField="0" baseItem="0"/>
    <dataField name="Sum of PM FIELD" fld="2" baseField="0" baseItem="0"/>
    <dataField name="Sum of TOTAL FIELD" fld="3" baseField="0" baseItem="0"/>
    <dataField name="Sum of No. GUESTS" fld="4" baseField="0" baseItem="0"/>
    <dataField name="Sum of MEMBER" fld="5" baseField="0" baseItem="0"/>
    <dataField name="Sum of MANAGER INTRO" fld="7" baseField="0" baseItem="0"/>
    <dataField name="Sum of INTERSTATE" fld="8" baseField="0" baseItem="0"/>
    <dataField name="Sum of INTERNATIONAL" fld="9" baseField="0" baseItem="0"/>
    <dataField name="Sum of INDUSTRY GUEST" fld="10" baseField="0" baseItem="0"/>
    <dataField name="Sum of MEMB GUEST MICLUB" fld="11" baseField="0" baseItem="0"/>
    <dataField name="Sum of MEMB GUEST UNACCOMPANIED" fld="12" baseField="0" baseItem="0"/>
    <dataField name="Sum of CORPORATE" fld="13" baseField="0" baseItem="0"/>
    <dataField name="Sum of EVENT" fld="14" baseField="0" baseItem="0"/>
    <dataField name="Sum of NON-PLAYING" fld="15" baseField="0" baseItem="0"/>
    <dataField name="Sum of VOUCHER" fld="16" baseField="0" baseItem="0"/>
    <dataField name="Sum of RECIP" fld="17" baseField="0" baseItem="0"/>
    <dataField name="Sum of COMP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44FFD-FBB3-42EA-A575-EB4ACCD8B3C1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2:R120" firstHeaderRow="0" firstDataRow="1" firstDataCol="1"/>
  <pivotFields count="20">
    <pivotField numFmtId="14"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09566-CAEC-4E36-A789-D61D0DEDE1DE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R12" firstHeaderRow="0" firstDataRow="1" firstDataCol="1"/>
  <pivotFields count="20"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87FCD-A9EC-4343-B435-C48B162CA287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0:R108" firstHeaderRow="0" firstDataRow="1" firstDataCol="1"/>
  <pivotFields count="20">
    <pivotField numFmtId="14"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20CD-5D93-4159-9A14-9CCB27C46C73}">
  <dimension ref="B3:U25"/>
  <sheetViews>
    <sheetView showGridLines="0" workbookViewId="0">
      <selection activeCell="D15" sqref="D15"/>
    </sheetView>
  </sheetViews>
  <sheetFormatPr defaultColWidth="9.140625" defaultRowHeight="21" x14ac:dyDescent="0.25"/>
  <cols>
    <col min="1" max="1" width="9.140625" style="71"/>
    <col min="2" max="2" width="20" style="71" customWidth="1"/>
    <col min="3" max="3" width="9.7109375" style="71" bestFit="1" customWidth="1"/>
    <col min="4" max="4" width="13.85546875" style="71" bestFit="1" customWidth="1"/>
    <col min="5" max="5" width="9.140625" style="71"/>
    <col min="6" max="6" width="20.42578125" style="71" bestFit="1" customWidth="1"/>
    <col min="7" max="7" width="12.28515625" style="71" customWidth="1"/>
    <col min="8" max="8" width="12" style="71" bestFit="1" customWidth="1"/>
    <col min="9" max="9" width="9.140625" style="71"/>
    <col min="10" max="10" width="24.7109375" style="71" customWidth="1"/>
    <col min="11" max="11" width="9.5703125" style="71" bestFit="1" customWidth="1"/>
    <col min="12" max="12" width="12" style="71" bestFit="1" customWidth="1"/>
    <col min="13" max="13" width="9.140625" style="71"/>
    <col min="14" max="14" width="25.42578125" style="71" customWidth="1"/>
    <col min="15" max="15" width="9.5703125" style="71" bestFit="1" customWidth="1"/>
    <col min="16" max="17" width="9.140625" style="71"/>
    <col min="18" max="18" width="6.140625" style="71" bestFit="1" customWidth="1"/>
    <col min="19" max="19" width="10.42578125" style="71" bestFit="1" customWidth="1"/>
    <col min="20" max="20" width="16.28515625" style="71" bestFit="1" customWidth="1"/>
    <col min="21" max="21" width="12.140625" style="71" bestFit="1" customWidth="1"/>
    <col min="22" max="16384" width="9.140625" style="71"/>
  </cols>
  <sheetData>
    <row r="3" spans="2:21" x14ac:dyDescent="0.25">
      <c r="B3" s="101"/>
      <c r="C3" s="101"/>
    </row>
    <row r="4" spans="2:21" x14ac:dyDescent="0.25">
      <c r="B4" s="102" t="s">
        <v>0</v>
      </c>
      <c r="C4" s="102"/>
      <c r="F4" s="102" t="s">
        <v>85</v>
      </c>
      <c r="G4" s="102"/>
      <c r="J4" s="102" t="s">
        <v>86</v>
      </c>
      <c r="K4" s="102"/>
      <c r="N4" s="102" t="s">
        <v>104</v>
      </c>
      <c r="O4" s="102"/>
      <c r="R4" s="97" t="s">
        <v>111</v>
      </c>
      <c r="S4" s="98"/>
      <c r="T4" s="98"/>
      <c r="U4" s="99"/>
    </row>
    <row r="5" spans="2:21" x14ac:dyDescent="0.25">
      <c r="B5" s="100"/>
      <c r="C5" s="100"/>
      <c r="F5" s="100"/>
      <c r="G5" s="100"/>
      <c r="J5" s="100"/>
      <c r="K5" s="100"/>
      <c r="N5" s="100"/>
      <c r="O5" s="100"/>
      <c r="R5" s="100"/>
      <c r="S5" s="100"/>
      <c r="T5" s="100"/>
      <c r="U5" s="100"/>
    </row>
    <row r="6" spans="2:21" x14ac:dyDescent="0.25">
      <c r="B6" s="39" t="s">
        <v>1</v>
      </c>
      <c r="C6" s="72">
        <f>'Monthly Totals'!C5+'Monthly Totals'!F5+'Monthly Totals'!I5+'Monthly Totals'!L5+'Monthly Totals'!O5+'Monthly Totals'!R5+'Monthly Totals'!C27+'Monthly Totals'!F27+'Monthly Totals'!I27+'Monthly Totals'!L27+'Monthly Totals'!O27+'Monthly Totals'!R27</f>
        <v>26916</v>
      </c>
      <c r="F6" s="39" t="s">
        <v>1</v>
      </c>
      <c r="G6" s="52">
        <f t="shared" ref="G6:G7" si="0">C6 / 12</f>
        <v>2243</v>
      </c>
      <c r="H6" s="75"/>
      <c r="I6" s="75"/>
      <c r="J6" s="76" t="s">
        <v>1</v>
      </c>
      <c r="K6" s="52">
        <f>C6 / 52</f>
        <v>517.61538461538464</v>
      </c>
      <c r="L6" s="75"/>
      <c r="M6" s="75"/>
      <c r="N6" s="76" t="s">
        <v>1</v>
      </c>
      <c r="O6" s="52">
        <f>C6 / 365</f>
        <v>73.742465753424653</v>
      </c>
      <c r="R6" s="39" t="s">
        <v>112</v>
      </c>
      <c r="S6" s="39" t="s">
        <v>18</v>
      </c>
      <c r="T6" s="39" t="s">
        <v>19</v>
      </c>
      <c r="U6" s="39" t="s">
        <v>20</v>
      </c>
    </row>
    <row r="7" spans="2:21" x14ac:dyDescent="0.25">
      <c r="B7" s="39" t="s">
        <v>2</v>
      </c>
      <c r="C7" s="72">
        <f>'Monthly Totals'!C6+'Monthly Totals'!F6+'Monthly Totals'!I6+'Monthly Totals'!L6+'Monthly Totals'!O6+'Monthly Totals'!R6+'Monthly Totals'!C28+'Monthly Totals'!F28+'Monthly Totals'!I28+'Monthly Totals'!L28+'Monthly Totals'!O28+'Monthly Totals'!R28</f>
        <v>23285</v>
      </c>
      <c r="F7" s="39" t="s">
        <v>2</v>
      </c>
      <c r="G7" s="52">
        <f t="shared" si="0"/>
        <v>1940.4166666666667</v>
      </c>
      <c r="H7" s="75"/>
      <c r="I7" s="75"/>
      <c r="J7" s="76" t="s">
        <v>2</v>
      </c>
      <c r="K7" s="52">
        <f t="shared" ref="K7:K23" si="1">C7 / 52</f>
        <v>447.78846153846155</v>
      </c>
      <c r="L7" s="75"/>
      <c r="M7" s="75"/>
      <c r="N7" s="76" t="s">
        <v>2</v>
      </c>
      <c r="O7" s="52">
        <f t="shared" ref="O7:O23" si="2">C7 / 365</f>
        <v>63.794520547945204</v>
      </c>
      <c r="R7" s="39" t="s">
        <v>23</v>
      </c>
      <c r="S7" s="72">
        <f>'Occupancy Report Summarised'!L4+'Occupancy Report Summarised'!L8+'Occupancy Report Summarised'!L12+'Occupancy Report Summarised'!L16+'Occupancy Report Summarised'!L20+'Occupancy Report Summarised'!L24+'Occupancy Report Summarised'!L28+'Occupancy Report Summarised'!L32+'Occupancy Report Summarised'!L36+'Occupancy Report Summarised'!L40+'Occupancy Report Summarised'!L44+'Occupancy Report Summarised'!L48</f>
        <v>26916</v>
      </c>
      <c r="T7" s="72">
        <f>'Occupancy Report Summarised'!M4+'Occupancy Report Summarised'!M8+'Occupancy Report Summarised'!M12+'Occupancy Report Summarised'!M16+'Occupancy Report Summarised'!M20+'Occupancy Report Summarised'!M24+'Occupancy Report Summarised'!M28+'Occupancy Report Summarised'!M32+'Occupancy Report Summarised'!M36+'Occupancy Report Summarised'!M40+'Occupancy Report Summarised'!M44+'Occupancy Report Summarised'!M48</f>
        <v>32756</v>
      </c>
      <c r="U7" s="43">
        <f>SUM(S7/T7)</f>
        <v>0.82171205275369397</v>
      </c>
    </row>
    <row r="8" spans="2:21" x14ac:dyDescent="0.25">
      <c r="B8" s="39" t="s">
        <v>3</v>
      </c>
      <c r="C8" s="72">
        <f>'Monthly Totals'!C7+'Monthly Totals'!F7+'Monthly Totals'!I7+'Monthly Totals'!L7+'Monthly Totals'!O7+'Monthly Totals'!R7+'Monthly Totals'!C29+'Monthly Totals'!F29+'Monthly Totals'!I29+'Monthly Totals'!L29+'Monthly Totals'!O29+'Monthly Totals'!R29</f>
        <v>50201</v>
      </c>
      <c r="F8" s="39" t="s">
        <v>3</v>
      </c>
      <c r="G8" s="52">
        <f>C8 / 12</f>
        <v>4183.416666666667</v>
      </c>
      <c r="H8" s="75"/>
      <c r="I8" s="75"/>
      <c r="J8" s="76" t="s">
        <v>3</v>
      </c>
      <c r="K8" s="52">
        <f t="shared" si="1"/>
        <v>965.40384615384619</v>
      </c>
      <c r="L8" s="75"/>
      <c r="M8" s="75"/>
      <c r="N8" s="76" t="s">
        <v>3</v>
      </c>
      <c r="O8" s="52">
        <f t="shared" si="2"/>
        <v>137.53698630136986</v>
      </c>
      <c r="R8" s="39" t="s">
        <v>24</v>
      </c>
      <c r="S8" s="72">
        <f>'Occupancy Report Summarised'!L5+'Occupancy Report Summarised'!L9+'Occupancy Report Summarised'!L13+'Occupancy Report Summarised'!L17+'Occupancy Report Summarised'!L21+'Occupancy Report Summarised'!L25+'Occupancy Report Summarised'!L29+'Occupancy Report Summarised'!L33+'Occupancy Report Summarised'!L37+'Occupancy Report Summarised'!L41+'Occupancy Report Summarised'!L45+'Occupancy Report Summarised'!L49</f>
        <v>23285</v>
      </c>
      <c r="T8" s="72">
        <f>'Occupancy Report Summarised'!M5+'Occupancy Report Summarised'!M9+'Occupancy Report Summarised'!M13+'Occupancy Report Summarised'!M17+'Occupancy Report Summarised'!M21+'Occupancy Report Summarised'!M25+'Occupancy Report Summarised'!M29+'Occupancy Report Summarised'!M33+'Occupancy Report Summarised'!M37+'Occupancy Report Summarised'!M41+'Occupancy Report Summarised'!M45+'Occupancy Report Summarised'!M49</f>
        <v>31584</v>
      </c>
      <c r="U8" s="43">
        <f t="shared" ref="U8:U9" si="3">SUM(S8/T8)</f>
        <v>0.73724037487335359</v>
      </c>
    </row>
    <row r="9" spans="2:21" x14ac:dyDescent="0.25">
      <c r="B9" s="39" t="s">
        <v>82</v>
      </c>
      <c r="C9" s="72">
        <f>'Monthly Totals'!C8+'Monthly Totals'!F8+'Monthly Totals'!I8+'Monthly Totals'!L8+'Monthly Totals'!O8+'Monthly Totals'!R8+'Monthly Totals'!C30+'Monthly Totals'!F30+'Monthly Totals'!I30+'Monthly Totals'!L30+'Monthly Totals'!O30+'Monthly Totals'!R30</f>
        <v>9577</v>
      </c>
      <c r="F9" s="39" t="s">
        <v>82</v>
      </c>
      <c r="G9" s="52">
        <f t="shared" ref="G9:G23" si="4">C9 / 12</f>
        <v>798.08333333333337</v>
      </c>
      <c r="H9" s="75"/>
      <c r="I9" s="75"/>
      <c r="J9" s="76" t="s">
        <v>82</v>
      </c>
      <c r="K9" s="52">
        <f t="shared" si="1"/>
        <v>184.17307692307693</v>
      </c>
      <c r="L9" s="75"/>
      <c r="M9" s="75"/>
      <c r="N9" s="76" t="s">
        <v>82</v>
      </c>
      <c r="O9" s="52">
        <f t="shared" si="2"/>
        <v>26.238356164383561</v>
      </c>
      <c r="R9" s="39" t="s">
        <v>113</v>
      </c>
      <c r="S9" s="80">
        <f>SUM(S7:S8)</f>
        <v>50201</v>
      </c>
      <c r="T9" s="80">
        <f>SUM(T7:T8)</f>
        <v>64340</v>
      </c>
      <c r="U9" s="43">
        <f t="shared" si="3"/>
        <v>0.78024557040721165</v>
      </c>
    </row>
    <row r="10" spans="2:21" ht="33" x14ac:dyDescent="0.25">
      <c r="B10" s="53" t="s">
        <v>74</v>
      </c>
      <c r="C10" s="43">
        <f>SUM(C9/C8)</f>
        <v>0.19077309216947869</v>
      </c>
      <c r="E10" s="73"/>
      <c r="F10" s="53" t="s">
        <v>74</v>
      </c>
      <c r="G10" s="52" t="s">
        <v>105</v>
      </c>
      <c r="H10" s="75"/>
      <c r="I10" s="75"/>
      <c r="J10" s="77" t="s">
        <v>74</v>
      </c>
      <c r="K10" s="52" t="s">
        <v>105</v>
      </c>
      <c r="L10" s="75"/>
      <c r="M10" s="75"/>
      <c r="N10" s="77" t="s">
        <v>74</v>
      </c>
      <c r="O10" s="52" t="s">
        <v>105</v>
      </c>
    </row>
    <row r="11" spans="2:21" x14ac:dyDescent="0.25">
      <c r="B11" s="35" t="s">
        <v>4</v>
      </c>
      <c r="C11" s="72">
        <f>'Monthly Totals'!C10+'Monthly Totals'!F10+'Monthly Totals'!I10+'Monthly Totals'!L10+'Monthly Totals'!O10+'Monthly Totals'!R10+'Monthly Totals'!C32+'Monthly Totals'!F32+'Monthly Totals'!I32+'Monthly Totals'!L32+'Monthly Totals'!O32+'Monthly Totals'!R32</f>
        <v>40395</v>
      </c>
      <c r="F11" s="35" t="s">
        <v>4</v>
      </c>
      <c r="G11" s="52">
        <f t="shared" si="4"/>
        <v>3366.25</v>
      </c>
      <c r="H11" s="75"/>
      <c r="I11" s="75"/>
      <c r="J11" s="78" t="s">
        <v>4</v>
      </c>
      <c r="K11" s="52">
        <f t="shared" si="1"/>
        <v>776.82692307692309</v>
      </c>
      <c r="L11" s="75"/>
      <c r="M11" s="75"/>
      <c r="N11" s="78" t="s">
        <v>4</v>
      </c>
      <c r="O11" s="52">
        <f t="shared" si="2"/>
        <v>110.67123287671232</v>
      </c>
    </row>
    <row r="12" spans="2:21" x14ac:dyDescent="0.25">
      <c r="B12" s="39" t="s">
        <v>83</v>
      </c>
      <c r="C12" s="72">
        <f>'Monthly Totals'!C11+'Monthly Totals'!F11+'Monthly Totals'!I11+'Monthly Totals'!L11+'Monthly Totals'!O11+'Monthly Totals'!R11+'Monthly Totals'!C33+'Monthly Totals'!F33+'Monthly Totals'!I33+'Monthly Totals'!L33+'Monthly Totals'!O33+'Monthly Totals'!R33</f>
        <v>191</v>
      </c>
      <c r="F12" s="39" t="s">
        <v>83</v>
      </c>
      <c r="G12" s="52">
        <f t="shared" si="4"/>
        <v>15.916666666666666</v>
      </c>
      <c r="H12" s="75"/>
      <c r="I12" s="75"/>
      <c r="J12" s="76" t="s">
        <v>83</v>
      </c>
      <c r="K12" s="52">
        <f t="shared" si="1"/>
        <v>3.6730769230769229</v>
      </c>
      <c r="L12" s="75"/>
      <c r="M12" s="75"/>
      <c r="N12" s="76" t="s">
        <v>83</v>
      </c>
      <c r="O12" s="52">
        <f t="shared" si="2"/>
        <v>0.52328767123287667</v>
      </c>
    </row>
    <row r="13" spans="2:21" x14ac:dyDescent="0.25">
      <c r="B13" s="39" t="s">
        <v>75</v>
      </c>
      <c r="C13" s="72">
        <f>'Monthly Totals'!C12+'Monthly Totals'!F12+'Monthly Totals'!I12+'Monthly Totals'!L12+'Monthly Totals'!O12+'Monthly Totals'!R12+'Monthly Totals'!C34+'Monthly Totals'!F34+'Monthly Totals'!I34+'Monthly Totals'!L34+'Monthly Totals'!O34+'Monthly Totals'!R34</f>
        <v>147</v>
      </c>
      <c r="D13" s="85"/>
      <c r="F13" s="39" t="s">
        <v>75</v>
      </c>
      <c r="G13" s="52">
        <f t="shared" si="4"/>
        <v>12.25</v>
      </c>
      <c r="H13" s="75"/>
      <c r="I13" s="75"/>
      <c r="J13" s="76" t="s">
        <v>75</v>
      </c>
      <c r="K13" s="52">
        <f t="shared" si="1"/>
        <v>2.8269230769230771</v>
      </c>
      <c r="L13" s="75"/>
      <c r="M13" s="75"/>
      <c r="N13" s="76" t="s">
        <v>75</v>
      </c>
      <c r="O13" s="52">
        <f t="shared" si="2"/>
        <v>0.40273972602739727</v>
      </c>
    </row>
    <row r="14" spans="2:21" x14ac:dyDescent="0.25">
      <c r="B14" s="39" t="s">
        <v>76</v>
      </c>
      <c r="C14" s="72">
        <f>'Monthly Totals'!C13+'Monthly Totals'!F13+'Monthly Totals'!I13+'Monthly Totals'!L13+'Monthly Totals'!O13+'Monthly Totals'!R13+'Monthly Totals'!C35+'Monthly Totals'!F35+'Monthly Totals'!I35+'Monthly Totals'!L35+'Monthly Totals'!O35+'Monthly Totals'!R35</f>
        <v>332</v>
      </c>
      <c r="D14" s="85"/>
      <c r="F14" s="39" t="s">
        <v>76</v>
      </c>
      <c r="G14" s="52">
        <f t="shared" si="4"/>
        <v>27.666666666666668</v>
      </c>
      <c r="H14" s="75"/>
      <c r="I14" s="75"/>
      <c r="J14" s="76" t="s">
        <v>76</v>
      </c>
      <c r="K14" s="52">
        <f t="shared" si="1"/>
        <v>6.384615384615385</v>
      </c>
      <c r="L14" s="75"/>
      <c r="M14" s="75"/>
      <c r="N14" s="76" t="s">
        <v>76</v>
      </c>
      <c r="O14" s="52">
        <f t="shared" si="2"/>
        <v>0.90958904109589045</v>
      </c>
    </row>
    <row r="15" spans="2:21" x14ac:dyDescent="0.25">
      <c r="B15" s="39" t="s">
        <v>77</v>
      </c>
      <c r="C15" s="72">
        <f>'Monthly Totals'!C14+'Monthly Totals'!F14+'Monthly Totals'!I14+'Monthly Totals'!L14+'Monthly Totals'!O14+'Monthly Totals'!R14+'Monthly Totals'!C36+'Monthly Totals'!F36+'Monthly Totals'!I36+'Monthly Totals'!L36+'Monthly Totals'!O36+'Monthly Totals'!R36</f>
        <v>101</v>
      </c>
      <c r="F15" s="39" t="s">
        <v>77</v>
      </c>
      <c r="G15" s="52">
        <f t="shared" si="4"/>
        <v>8.4166666666666661</v>
      </c>
      <c r="H15" s="75"/>
      <c r="I15" s="75"/>
      <c r="J15" s="76" t="s">
        <v>77</v>
      </c>
      <c r="K15" s="52">
        <f t="shared" si="1"/>
        <v>1.9423076923076923</v>
      </c>
      <c r="L15" s="75"/>
      <c r="M15" s="75"/>
      <c r="N15" s="76" t="s">
        <v>77</v>
      </c>
      <c r="O15" s="52">
        <f t="shared" si="2"/>
        <v>0.27671232876712326</v>
      </c>
    </row>
    <row r="16" spans="2:21" x14ac:dyDescent="0.25">
      <c r="B16" s="39" t="s">
        <v>5</v>
      </c>
      <c r="C16" s="72">
        <f>'Monthly Totals'!C15+'Monthly Totals'!F15+'Monthly Totals'!I15+'Monthly Totals'!L15+'Monthly Totals'!O15+'Monthly Totals'!R15+'Monthly Totals'!C37+'Monthly Totals'!F37+'Monthly Totals'!I37+'Monthly Totals'!L37+'Monthly Totals'!O37+'Monthly Totals'!R37</f>
        <v>3702</v>
      </c>
      <c r="D16" s="85"/>
      <c r="F16" s="39" t="s">
        <v>5</v>
      </c>
      <c r="G16" s="52">
        <f t="shared" si="4"/>
        <v>308.5</v>
      </c>
      <c r="H16" s="75"/>
      <c r="I16" s="75"/>
      <c r="J16" s="76" t="s">
        <v>5</v>
      </c>
      <c r="K16" s="52">
        <f t="shared" si="1"/>
        <v>71.192307692307693</v>
      </c>
      <c r="L16" s="75"/>
      <c r="M16" s="75"/>
      <c r="N16" s="76" t="s">
        <v>5</v>
      </c>
      <c r="O16" s="52">
        <f t="shared" si="2"/>
        <v>10.142465753424657</v>
      </c>
    </row>
    <row r="17" spans="2:15" ht="33" x14ac:dyDescent="0.25">
      <c r="B17" s="35" t="s">
        <v>78</v>
      </c>
      <c r="C17" s="72">
        <f>'Monthly Totals'!C16+'Monthly Totals'!F16+'Monthly Totals'!I16+'Monthly Totals'!L16+'Monthly Totals'!O16+'Monthly Totals'!R16+'Monthly Totals'!C38+'Monthly Totals'!F38+'Monthly Totals'!I38+'Monthly Totals'!L38+'Monthly Totals'!O38+'Monthly Totals'!R38</f>
        <v>44</v>
      </c>
      <c r="F17" s="35" t="s">
        <v>78</v>
      </c>
      <c r="G17" s="52">
        <f t="shared" si="4"/>
        <v>3.6666666666666665</v>
      </c>
      <c r="H17" s="79"/>
      <c r="I17" s="75"/>
      <c r="J17" s="78" t="s">
        <v>78</v>
      </c>
      <c r="K17" s="52">
        <f t="shared" si="1"/>
        <v>0.84615384615384615</v>
      </c>
      <c r="L17" s="79"/>
      <c r="M17" s="75"/>
      <c r="N17" s="78" t="s">
        <v>78</v>
      </c>
      <c r="O17" s="52">
        <f t="shared" si="2"/>
        <v>0.12054794520547946</v>
      </c>
    </row>
    <row r="18" spans="2:15" x14ac:dyDescent="0.25">
      <c r="B18" s="39" t="s">
        <v>6</v>
      </c>
      <c r="C18" s="72">
        <f>'Monthly Totals'!C17+'Monthly Totals'!F17+'Monthly Totals'!I17+'Monthly Totals'!L17+'Monthly Totals'!O17+'Monthly Totals'!R17+'Monthly Totals'!C39+'Monthly Totals'!F39+'Monthly Totals'!I39+'Monthly Totals'!L39+'Monthly Totals'!O39+'Monthly Totals'!R39</f>
        <v>2652</v>
      </c>
      <c r="F18" s="39" t="s">
        <v>6</v>
      </c>
      <c r="G18" s="52">
        <f t="shared" si="4"/>
        <v>221</v>
      </c>
      <c r="H18" s="75"/>
      <c r="I18" s="75"/>
      <c r="J18" s="76" t="s">
        <v>6</v>
      </c>
      <c r="K18" s="52">
        <f t="shared" si="1"/>
        <v>51</v>
      </c>
      <c r="L18" s="75"/>
      <c r="M18" s="75"/>
      <c r="N18" s="76" t="s">
        <v>6</v>
      </c>
      <c r="O18" s="52">
        <f t="shared" si="2"/>
        <v>7.2657534246575342</v>
      </c>
    </row>
    <row r="19" spans="2:15" x14ac:dyDescent="0.25">
      <c r="B19" s="39" t="s">
        <v>114</v>
      </c>
      <c r="C19" s="72">
        <f>'Monthly Totals'!C18+'Monthly Totals'!F18+'Monthly Totals'!I18+'Monthly Totals'!L18+'Monthly Totals'!O18+'Monthly Totals'!R18+'Monthly Totals'!C40+'Monthly Totals'!F40+'Monthly Totals'!I40+'Monthly Totals'!L40+'Monthly Totals'!O40+'Monthly Totals'!R40</f>
        <v>1003</v>
      </c>
      <c r="F19" s="39" t="s">
        <v>114</v>
      </c>
      <c r="G19" s="52">
        <f t="shared" si="4"/>
        <v>83.583333333333329</v>
      </c>
      <c r="H19" s="75"/>
      <c r="I19" s="75"/>
      <c r="J19" s="39" t="s">
        <v>114</v>
      </c>
      <c r="K19" s="52">
        <f t="shared" si="1"/>
        <v>19.28846153846154</v>
      </c>
      <c r="L19" s="75"/>
      <c r="M19" s="75"/>
      <c r="N19" s="39" t="s">
        <v>114</v>
      </c>
      <c r="O19" s="52">
        <f t="shared" si="2"/>
        <v>2.7479452054794522</v>
      </c>
    </row>
    <row r="20" spans="2:15" x14ac:dyDescent="0.25">
      <c r="B20" s="39" t="s">
        <v>84</v>
      </c>
      <c r="C20" s="72">
        <f>'Monthly Totals'!C19+'Monthly Totals'!F19+'Monthly Totals'!I19+'Monthly Totals'!L19+'Monthly Totals'!O19+'Monthly Totals'!R19+'Monthly Totals'!C41+'Monthly Totals'!F41+'Monthly Totals'!I41+'Monthly Totals'!L41+'Monthly Totals'!O41+'Monthly Totals'!R41</f>
        <v>229</v>
      </c>
      <c r="F20" s="39" t="s">
        <v>84</v>
      </c>
      <c r="G20" s="52">
        <f t="shared" si="4"/>
        <v>19.083333333333332</v>
      </c>
      <c r="H20" s="75"/>
      <c r="I20" s="75"/>
      <c r="J20" s="76" t="s">
        <v>84</v>
      </c>
      <c r="K20" s="52">
        <f t="shared" si="1"/>
        <v>4.4038461538461542</v>
      </c>
      <c r="L20" s="75"/>
      <c r="M20" s="75"/>
      <c r="N20" s="76" t="s">
        <v>84</v>
      </c>
      <c r="O20" s="52">
        <f t="shared" si="2"/>
        <v>0.62739726027397258</v>
      </c>
    </row>
    <row r="21" spans="2:15" x14ac:dyDescent="0.25">
      <c r="B21" s="39" t="s">
        <v>79</v>
      </c>
      <c r="C21" s="72">
        <f>'Monthly Totals'!C20+'Monthly Totals'!F20+'Monthly Totals'!I20+'Monthly Totals'!L20+'Monthly Totals'!O20+'Monthly Totals'!R20+'Monthly Totals'!C42+'Monthly Totals'!F42+'Monthly Totals'!I42+'Monthly Totals'!L42+'Monthly Totals'!O42+'Monthly Totals'!R42</f>
        <v>628</v>
      </c>
      <c r="F21" s="39" t="s">
        <v>79</v>
      </c>
      <c r="G21" s="52">
        <f t="shared" si="4"/>
        <v>52.333333333333336</v>
      </c>
      <c r="H21" s="75"/>
      <c r="I21" s="75"/>
      <c r="J21" s="76" t="s">
        <v>79</v>
      </c>
      <c r="K21" s="52">
        <f t="shared" si="1"/>
        <v>12.076923076923077</v>
      </c>
      <c r="L21" s="75"/>
      <c r="M21" s="75"/>
      <c r="N21" s="76" t="s">
        <v>79</v>
      </c>
      <c r="O21" s="52">
        <f t="shared" si="2"/>
        <v>1.7205479452054795</v>
      </c>
    </row>
    <row r="22" spans="2:15" x14ac:dyDescent="0.25">
      <c r="B22" s="39" t="s">
        <v>7</v>
      </c>
      <c r="C22" s="72">
        <f>'Monthly Totals'!C21+'Monthly Totals'!F21+'Monthly Totals'!I21+'Monthly Totals'!L21+'Monthly Totals'!O21+'Monthly Totals'!R21+'Monthly Totals'!C43+'Monthly Totals'!F43+'Monthly Totals'!I43+'Monthly Totals'!L43+'Monthly Totals'!O43+'Monthly Totals'!R43</f>
        <v>777</v>
      </c>
      <c r="F22" s="39" t="s">
        <v>7</v>
      </c>
      <c r="G22" s="52">
        <f t="shared" si="4"/>
        <v>64.75</v>
      </c>
      <c r="H22" s="75"/>
      <c r="I22" s="75"/>
      <c r="J22" s="76" t="s">
        <v>7</v>
      </c>
      <c r="K22" s="52">
        <f t="shared" si="1"/>
        <v>14.942307692307692</v>
      </c>
      <c r="L22" s="75"/>
      <c r="M22" s="75"/>
      <c r="N22" s="76" t="s">
        <v>7</v>
      </c>
      <c r="O22" s="52">
        <f t="shared" si="2"/>
        <v>2.128767123287671</v>
      </c>
    </row>
    <row r="23" spans="2:15" x14ac:dyDescent="0.25">
      <c r="B23" s="39" t="s">
        <v>80</v>
      </c>
      <c r="C23" s="72">
        <f>'Monthly Totals'!C22+'Monthly Totals'!F22+'Monthly Totals'!I22+'Monthly Totals'!L22+'Monthly Totals'!O22+'Monthly Totals'!R22+'Monthly Totals'!C44+'Monthly Totals'!F44+'Monthly Totals'!I44+'Monthly Totals'!L44+'Monthly Totals'!O44+'Monthly Totals'!R44</f>
        <v>26767</v>
      </c>
      <c r="F23" s="39" t="s">
        <v>80</v>
      </c>
      <c r="G23" s="52">
        <f t="shared" si="4"/>
        <v>2230.5833333333335</v>
      </c>
      <c r="H23" s="75"/>
      <c r="I23" s="75"/>
      <c r="J23" s="76" t="s">
        <v>80</v>
      </c>
      <c r="K23" s="52">
        <f t="shared" si="1"/>
        <v>514.75</v>
      </c>
      <c r="L23" s="75"/>
      <c r="M23" s="75"/>
      <c r="N23" s="76" t="s">
        <v>80</v>
      </c>
      <c r="O23" s="52">
        <f t="shared" si="2"/>
        <v>73.334246575342462</v>
      </c>
    </row>
    <row r="25" spans="2:15" x14ac:dyDescent="0.25">
      <c r="D25" s="74"/>
    </row>
  </sheetData>
  <mergeCells count="11">
    <mergeCell ref="R4:U4"/>
    <mergeCell ref="R5:U5"/>
    <mergeCell ref="B3:C3"/>
    <mergeCell ref="N4:O4"/>
    <mergeCell ref="N5:O5"/>
    <mergeCell ref="B4:C4"/>
    <mergeCell ref="B5:C5"/>
    <mergeCell ref="F4:G4"/>
    <mergeCell ref="F5:G5"/>
    <mergeCell ref="J4:K4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8681-3F4E-4E58-98B6-76F1C5B0A556}">
  <dimension ref="B1:U123"/>
  <sheetViews>
    <sheetView showGridLines="0" topLeftCell="I88" zoomScaleNormal="100" workbookViewId="0">
      <selection activeCell="K35" sqref="K35:M92"/>
    </sheetView>
  </sheetViews>
  <sheetFormatPr defaultColWidth="9.140625" defaultRowHeight="16.5" x14ac:dyDescent="0.3"/>
  <cols>
    <col min="1" max="1" width="3.28515625" style="2" customWidth="1"/>
    <col min="2" max="2" width="34.28515625" style="2" bestFit="1" customWidth="1"/>
    <col min="3" max="3" width="11" style="2" bestFit="1" customWidth="1"/>
    <col min="4" max="6" width="17.85546875" style="5" customWidth="1"/>
    <col min="7" max="7" width="20.42578125" style="2" bestFit="1" customWidth="1"/>
    <col min="8" max="8" width="9.140625" style="2"/>
    <col min="9" max="9" width="34.28515625" style="2" bestFit="1" customWidth="1"/>
    <col min="10" max="10" width="11" style="2" bestFit="1" customWidth="1"/>
    <col min="11" max="11" width="14.7109375" style="2" bestFit="1" customWidth="1"/>
    <col min="12" max="12" width="23.28515625" style="2" bestFit="1" customWidth="1"/>
    <col min="13" max="13" width="18.5703125" style="2" bestFit="1" customWidth="1"/>
    <col min="14" max="14" width="27.42578125" style="2" customWidth="1"/>
    <col min="15" max="15" width="20.42578125" style="2" bestFit="1" customWidth="1"/>
    <col min="16" max="16" width="30.140625" style="2" bestFit="1" customWidth="1"/>
    <col min="17" max="17" width="11" style="6" bestFit="1" customWidth="1"/>
    <col min="18" max="18" width="14.7109375" style="2" bestFit="1" customWidth="1"/>
    <col min="19" max="19" width="23.28515625" style="2" bestFit="1" customWidth="1"/>
    <col min="20" max="20" width="18.140625" style="2" bestFit="1" customWidth="1"/>
    <col min="21" max="21" width="20.42578125" style="2" bestFit="1" customWidth="1"/>
    <col min="22" max="16384" width="9.140625" style="2"/>
  </cols>
  <sheetData>
    <row r="1" spans="2:21" ht="18" x14ac:dyDescent="0.35">
      <c r="C1" s="4"/>
      <c r="J1" s="4"/>
    </row>
    <row r="2" spans="2:21" ht="45" x14ac:dyDescent="0.4">
      <c r="B2" s="1" t="s">
        <v>8</v>
      </c>
      <c r="C2" s="7"/>
      <c r="D2" s="8" t="s">
        <v>18</v>
      </c>
      <c r="E2" s="8" t="s">
        <v>19</v>
      </c>
      <c r="F2" s="8" t="s">
        <v>20</v>
      </c>
      <c r="G2" s="7" t="s">
        <v>21</v>
      </c>
      <c r="H2" s="9"/>
      <c r="I2" s="1" t="s">
        <v>81</v>
      </c>
      <c r="J2" s="7"/>
      <c r="K2" s="8" t="s">
        <v>18</v>
      </c>
      <c r="L2" s="8" t="s">
        <v>19</v>
      </c>
      <c r="M2" s="8" t="s">
        <v>20</v>
      </c>
      <c r="N2" s="7" t="s">
        <v>21</v>
      </c>
      <c r="P2" s="1" t="s">
        <v>9</v>
      </c>
      <c r="Q2" s="10"/>
      <c r="R2" s="7" t="s">
        <v>18</v>
      </c>
      <c r="S2" s="8" t="s">
        <v>19</v>
      </c>
      <c r="T2" s="7" t="s">
        <v>20</v>
      </c>
      <c r="U2" s="7" t="s">
        <v>21</v>
      </c>
    </row>
    <row r="3" spans="2:21" ht="17.25" thickBot="1" x14ac:dyDescent="0.35">
      <c r="K3" s="5"/>
      <c r="L3" s="5"/>
      <c r="M3" s="5"/>
    </row>
    <row r="4" spans="2:21" x14ac:dyDescent="0.3">
      <c r="B4" s="103" t="s">
        <v>22</v>
      </c>
      <c r="C4" s="11" t="s">
        <v>23</v>
      </c>
      <c r="D4" s="12">
        <f>GETPIVOTDATA("Sum of AM FIELD",'Pivot Table'!$A$4,"DAY","Mon")</f>
        <v>303</v>
      </c>
      <c r="E4" s="12">
        <f>SUM(104+80+88+92+88)</f>
        <v>452</v>
      </c>
      <c r="F4" s="13">
        <f>SUM(D4/E4)</f>
        <v>0.67035398230088494</v>
      </c>
      <c r="G4" s="14"/>
      <c r="I4" s="103" t="s">
        <v>22</v>
      </c>
      <c r="J4" s="11" t="s">
        <v>23</v>
      </c>
      <c r="K4" s="12">
        <f>GETPIVOTDATA("Sum of AM FIELD",'Pivot Table'!$A$16,"DAY","Mon")</f>
        <v>182</v>
      </c>
      <c r="L4" s="12">
        <f>SUM(88+0+88+88)</f>
        <v>264</v>
      </c>
      <c r="M4" s="13">
        <f>SUM(K4/L4)</f>
        <v>0.68939393939393945</v>
      </c>
      <c r="N4" s="14"/>
      <c r="P4" s="103" t="s">
        <v>22</v>
      </c>
      <c r="Q4" s="11" t="s">
        <v>23</v>
      </c>
      <c r="R4" s="12">
        <f>GETPIVOTDATA("Sum of AM FIELD",'Pivot Table'!$A$28,"DAY","Mon")</f>
        <v>224</v>
      </c>
      <c r="S4" s="12">
        <f>SUM(88+96+104+0)</f>
        <v>288</v>
      </c>
      <c r="T4" s="13">
        <f>SUM(R4/S4)</f>
        <v>0.77777777777777779</v>
      </c>
      <c r="U4" s="14"/>
    </row>
    <row r="5" spans="2:21" ht="17.25" thickBot="1" x14ac:dyDescent="0.35">
      <c r="B5" s="104"/>
      <c r="C5" s="15" t="s">
        <v>24</v>
      </c>
      <c r="D5" s="16">
        <f>GETPIVOTDATA("Sum of PM FIELD",'Pivot Table'!$A$4,"DAY","Mon")</f>
        <v>312</v>
      </c>
      <c r="E5" s="16">
        <f>SUM(84+96+84+88+88)</f>
        <v>440</v>
      </c>
      <c r="F5" s="17">
        <f>SUM(D5/E5)</f>
        <v>0.70909090909090911</v>
      </c>
      <c r="G5" s="18"/>
      <c r="I5" s="104"/>
      <c r="J5" s="15" t="s">
        <v>24</v>
      </c>
      <c r="K5" s="16">
        <f>GETPIVOTDATA("Sum of PM FIELD",'Pivot Table'!$A$16,"DAY","Mon")</f>
        <v>284</v>
      </c>
      <c r="L5" s="16">
        <f>SUM(88+88+88+88)</f>
        <v>352</v>
      </c>
      <c r="M5" s="17">
        <f>SUM(K5/L5)</f>
        <v>0.80681818181818177</v>
      </c>
      <c r="N5" s="18"/>
      <c r="P5" s="104"/>
      <c r="Q5" s="15" t="s">
        <v>24</v>
      </c>
      <c r="R5" s="16">
        <f>GETPIVOTDATA("Sum of PM FIELD",'Pivot Table'!$A$28,"DAY","Mon")</f>
        <v>246</v>
      </c>
      <c r="S5" s="16">
        <f>SUM(88+96+96+80)</f>
        <v>360</v>
      </c>
      <c r="T5" s="17">
        <f>SUM(R5/S5)</f>
        <v>0.68333333333333335</v>
      </c>
      <c r="U5" s="18"/>
    </row>
    <row r="6" spans="2:21" ht="18" thickTop="1" thickBot="1" x14ac:dyDescent="0.35">
      <c r="B6" s="86" t="s">
        <v>25</v>
      </c>
      <c r="C6" s="19"/>
      <c r="D6" s="20">
        <f>SUM(D3:D5)</f>
        <v>615</v>
      </c>
      <c r="E6" s="20">
        <f>SUM(E3:E5)</f>
        <v>892</v>
      </c>
      <c r="F6" s="21">
        <f>SUM(D6/E6)</f>
        <v>0.6894618834080718</v>
      </c>
      <c r="G6" s="22"/>
      <c r="I6" s="86" t="s">
        <v>25</v>
      </c>
      <c r="J6" s="19"/>
      <c r="K6" s="20">
        <f>SUM(K3:K5)</f>
        <v>466</v>
      </c>
      <c r="L6" s="20">
        <f>SUM(L3:L5)</f>
        <v>616</v>
      </c>
      <c r="M6" s="21">
        <f>SUM(K6/L6)</f>
        <v>0.75649350649350644</v>
      </c>
      <c r="N6" s="22"/>
      <c r="P6" s="86" t="s">
        <v>25</v>
      </c>
      <c r="Q6" s="19"/>
      <c r="R6" s="20">
        <f>SUM(R3:R5)</f>
        <v>470</v>
      </c>
      <c r="S6" s="20">
        <f>SUM(S4:S5)</f>
        <v>648</v>
      </c>
      <c r="T6" s="21">
        <f>SUM(R6/S6)</f>
        <v>0.72530864197530864</v>
      </c>
      <c r="U6" s="22"/>
    </row>
    <row r="7" spans="2:21" ht="17.25" thickBot="1" x14ac:dyDescent="0.35">
      <c r="B7" s="6"/>
      <c r="C7" s="23"/>
      <c r="I7" s="6"/>
      <c r="J7" s="23"/>
      <c r="K7" s="5"/>
      <c r="L7" s="5"/>
      <c r="M7" s="5"/>
      <c r="P7" s="6"/>
      <c r="Q7" s="23"/>
      <c r="R7" s="5"/>
      <c r="S7" s="5"/>
      <c r="T7" s="5"/>
    </row>
    <row r="8" spans="2:21" x14ac:dyDescent="0.3">
      <c r="B8" s="103" t="s">
        <v>27</v>
      </c>
      <c r="C8" s="11" t="s">
        <v>23</v>
      </c>
      <c r="D8" s="12">
        <f>GETPIVOTDATA("Sum of AM FIELD",'Pivot Table'!$A$4,"DAY","Tue")</f>
        <v>413</v>
      </c>
      <c r="E8" s="12">
        <f>SUM(112+112+112+112+112)</f>
        <v>560</v>
      </c>
      <c r="F8" s="13">
        <f>SUM(D8/E8)</f>
        <v>0.73750000000000004</v>
      </c>
      <c r="G8" s="14"/>
      <c r="I8" s="103" t="s">
        <v>27</v>
      </c>
      <c r="J8" s="11" t="s">
        <v>23</v>
      </c>
      <c r="K8" s="12">
        <f>GETPIVOTDATA("Sum of AM FIELD",'Pivot Table'!$A$16,"DAY","Tue")</f>
        <v>358</v>
      </c>
      <c r="L8" s="12">
        <f>SUM(112+112+112+112)</f>
        <v>448</v>
      </c>
      <c r="M8" s="13">
        <f>SUM(K8/L8)</f>
        <v>0.7991071428571429</v>
      </c>
      <c r="N8" s="14"/>
      <c r="P8" s="103" t="s">
        <v>27</v>
      </c>
      <c r="Q8" s="11" t="s">
        <v>23</v>
      </c>
      <c r="R8" s="12">
        <f>GETPIVOTDATA("Sum of AM FIELD",'Pivot Table'!$A$28,"DAY","Tue")</f>
        <v>403</v>
      </c>
      <c r="S8" s="12">
        <f>SUM(112+112+112+100)</f>
        <v>436</v>
      </c>
      <c r="T8" s="13">
        <f>SUM(R8/S8)</f>
        <v>0.92431192660550454</v>
      </c>
      <c r="U8" s="14"/>
    </row>
    <row r="9" spans="2:21" ht="17.25" thickBot="1" x14ac:dyDescent="0.35">
      <c r="B9" s="104"/>
      <c r="C9" s="15" t="s">
        <v>24</v>
      </c>
      <c r="D9" s="16">
        <f>GETPIVOTDATA("Sum of PM FIELD",'Pivot Table'!$A$4,"DAY","Tue")</f>
        <v>120</v>
      </c>
      <c r="E9" s="16">
        <f>SUM(84+84+84+84+84)</f>
        <v>420</v>
      </c>
      <c r="F9" s="17">
        <f>SUM(D9/E9)</f>
        <v>0.2857142857142857</v>
      </c>
      <c r="G9" s="18"/>
      <c r="I9" s="104"/>
      <c r="J9" s="15" t="s">
        <v>24</v>
      </c>
      <c r="K9" s="16">
        <f>GETPIVOTDATA("Sum of PM FIELD",'Pivot Table'!$A$16,"DAY","Tue")</f>
        <v>116</v>
      </c>
      <c r="L9" s="16">
        <f>SUM(84+84+84+84)</f>
        <v>336</v>
      </c>
      <c r="M9" s="17">
        <f>SUM(K9/L9)</f>
        <v>0.34523809523809523</v>
      </c>
      <c r="N9" s="18"/>
      <c r="P9" s="104"/>
      <c r="Q9" s="15" t="s">
        <v>24</v>
      </c>
      <c r="R9" s="16">
        <f>GETPIVOTDATA("Sum of PM FIELD",'Pivot Table'!$A$28,"DAY","Tue")</f>
        <v>77</v>
      </c>
      <c r="S9" s="16">
        <f>SUM(84+84+84+32)</f>
        <v>284</v>
      </c>
      <c r="T9" s="17">
        <f>SUM(R9/S9)</f>
        <v>0.27112676056338031</v>
      </c>
      <c r="U9" s="18"/>
    </row>
    <row r="10" spans="2:21" ht="18" thickTop="1" thickBot="1" x14ac:dyDescent="0.35">
      <c r="B10" s="86" t="s">
        <v>25</v>
      </c>
      <c r="C10" s="25"/>
      <c r="D10" s="26">
        <f>SUM(D7:D9)</f>
        <v>533</v>
      </c>
      <c r="E10" s="26">
        <f>SUM(E7:E9)</f>
        <v>980</v>
      </c>
      <c r="F10" s="27">
        <f>SUM(D10/E10)</f>
        <v>0.54387755102040813</v>
      </c>
      <c r="G10" s="28"/>
      <c r="I10" s="86" t="s">
        <v>25</v>
      </c>
      <c r="J10" s="25"/>
      <c r="K10" s="26">
        <f>SUM(K7:K9)</f>
        <v>474</v>
      </c>
      <c r="L10" s="26">
        <f>SUM(L7:L9)</f>
        <v>784</v>
      </c>
      <c r="M10" s="27">
        <f>SUM(K10/L10)</f>
        <v>0.60459183673469385</v>
      </c>
      <c r="N10" s="28"/>
      <c r="P10" s="86" t="s">
        <v>25</v>
      </c>
      <c r="Q10" s="25"/>
      <c r="R10" s="26">
        <f>SUM(R7:R9)</f>
        <v>480</v>
      </c>
      <c r="S10" s="26">
        <f>SUM(S7:S9)</f>
        <v>720</v>
      </c>
      <c r="T10" s="27">
        <f>SUM(R10/S10)</f>
        <v>0.66666666666666663</v>
      </c>
      <c r="U10" s="28"/>
    </row>
    <row r="11" spans="2:21" ht="17.25" thickBot="1" x14ac:dyDescent="0.35">
      <c r="B11" s="6"/>
      <c r="C11" s="23"/>
      <c r="I11" s="6"/>
      <c r="J11" s="23"/>
      <c r="K11" s="5"/>
      <c r="L11" s="5"/>
      <c r="M11" s="5"/>
      <c r="P11" s="6"/>
      <c r="Q11" s="23"/>
      <c r="R11" s="5"/>
      <c r="S11" s="5"/>
      <c r="T11" s="5"/>
    </row>
    <row r="12" spans="2:21" x14ac:dyDescent="0.3">
      <c r="B12" s="103" t="s">
        <v>29</v>
      </c>
      <c r="C12" s="11" t="s">
        <v>23</v>
      </c>
      <c r="D12" s="12">
        <f>GETPIVOTDATA("Sum of AM FIELD",'Pivot Table'!$A$4,"DAY","Wed")</f>
        <v>384</v>
      </c>
      <c r="E12" s="12">
        <f>SUM(108+108+88+88+108)</f>
        <v>500</v>
      </c>
      <c r="F12" s="13">
        <f>SUM(D12/E12)</f>
        <v>0.76800000000000002</v>
      </c>
      <c r="G12" s="14"/>
      <c r="I12" s="103" t="s">
        <v>29</v>
      </c>
      <c r="J12" s="11" t="s">
        <v>23</v>
      </c>
      <c r="K12" s="12">
        <f>GETPIVOTDATA("Sum of AM FIELD",'Pivot Table'!$A$16,"DAY","Wed")</f>
        <v>258</v>
      </c>
      <c r="L12" s="12">
        <f>SUM(104+104+104+96)</f>
        <v>408</v>
      </c>
      <c r="M12" s="13">
        <f>SUM(K12/L12)</f>
        <v>0.63235294117647056</v>
      </c>
      <c r="N12" s="14"/>
      <c r="P12" s="103" t="s">
        <v>29</v>
      </c>
      <c r="Q12" s="11" t="s">
        <v>23</v>
      </c>
      <c r="R12" s="12">
        <f>GETPIVOTDATA("Sum of AM FIELD",'Pivot Table'!$A$28,"DAY","Wed")</f>
        <v>252</v>
      </c>
      <c r="S12" s="12">
        <f>SUM(96+104+72+104)</f>
        <v>376</v>
      </c>
      <c r="T12" s="13">
        <f>SUM(R12/S12)</f>
        <v>0.67021276595744683</v>
      </c>
      <c r="U12" s="14"/>
    </row>
    <row r="13" spans="2:21" ht="17.25" thickBot="1" x14ac:dyDescent="0.35">
      <c r="B13" s="104"/>
      <c r="C13" s="15" t="s">
        <v>24</v>
      </c>
      <c r="D13" s="16">
        <f>GETPIVOTDATA("Sum of PM FIELD",'Pivot Table'!$A$4,"DAY","Wed")</f>
        <v>439</v>
      </c>
      <c r="E13" s="16">
        <f>SUM(88+88+164+164+88)</f>
        <v>592</v>
      </c>
      <c r="F13" s="17">
        <f>SUM(D13/E13)</f>
        <v>0.74155405405405406</v>
      </c>
      <c r="G13" s="18"/>
      <c r="I13" s="104"/>
      <c r="J13" s="15" t="s">
        <v>24</v>
      </c>
      <c r="K13" s="16">
        <f>GETPIVOTDATA("Sum of PM FIELD",'Pivot Table'!$A$16,"DAY","Wed")</f>
        <v>390</v>
      </c>
      <c r="L13" s="16">
        <f>SUM(92+180+96+56)</f>
        <v>424</v>
      </c>
      <c r="M13" s="17">
        <f>SUM(K13/L13)</f>
        <v>0.91981132075471694</v>
      </c>
      <c r="N13" s="18"/>
      <c r="P13" s="104"/>
      <c r="Q13" s="15" t="s">
        <v>24</v>
      </c>
      <c r="R13" s="16">
        <f>GETPIVOTDATA("Sum of PM FIELD",'Pivot Table'!$A$28,"DAY","Wed")</f>
        <v>317</v>
      </c>
      <c r="S13" s="16">
        <f>SUM(92+88+88+100)</f>
        <v>368</v>
      </c>
      <c r="T13" s="17">
        <f>SUM(R13/S13)</f>
        <v>0.86141304347826086</v>
      </c>
      <c r="U13" s="18"/>
    </row>
    <row r="14" spans="2:21" ht="18" thickTop="1" thickBot="1" x14ac:dyDescent="0.35">
      <c r="B14" s="86" t="s">
        <v>25</v>
      </c>
      <c r="C14" s="25"/>
      <c r="D14" s="26">
        <f>SUM(D11:D13)</f>
        <v>823</v>
      </c>
      <c r="E14" s="26">
        <f>SUM(E11:E13)</f>
        <v>1092</v>
      </c>
      <c r="F14" s="27">
        <f>SUM(D14/E14)</f>
        <v>0.75366300366300365</v>
      </c>
      <c r="G14" s="28"/>
      <c r="I14" s="86" t="s">
        <v>25</v>
      </c>
      <c r="J14" s="25"/>
      <c r="K14" s="26">
        <f>SUM(K11:K13)</f>
        <v>648</v>
      </c>
      <c r="L14" s="26">
        <f>SUM(L11:L13)</f>
        <v>832</v>
      </c>
      <c r="M14" s="27">
        <f>SUM(K14/L14)</f>
        <v>0.77884615384615385</v>
      </c>
      <c r="N14" s="28"/>
      <c r="P14" s="86" t="s">
        <v>25</v>
      </c>
      <c r="Q14" s="25"/>
      <c r="R14" s="26">
        <f>SUM(R11:R13)</f>
        <v>569</v>
      </c>
      <c r="S14" s="26">
        <f>SUM(S11:S13)</f>
        <v>744</v>
      </c>
      <c r="T14" s="27">
        <f>SUM(R14/S14)</f>
        <v>0.76478494623655913</v>
      </c>
      <c r="U14" s="28"/>
    </row>
    <row r="15" spans="2:21" ht="17.25" thickBot="1" x14ac:dyDescent="0.35">
      <c r="B15" s="6"/>
      <c r="C15" s="23"/>
      <c r="I15" s="6"/>
      <c r="J15" s="23"/>
      <c r="K15" s="5"/>
      <c r="L15" s="5"/>
      <c r="M15" s="5"/>
      <c r="P15" s="6"/>
      <c r="Q15" s="23"/>
      <c r="R15" s="5"/>
      <c r="S15" s="5"/>
      <c r="T15" s="5"/>
    </row>
    <row r="16" spans="2:21" x14ac:dyDescent="0.3">
      <c r="B16" s="103" t="s">
        <v>31</v>
      </c>
      <c r="C16" s="11" t="s">
        <v>23</v>
      </c>
      <c r="D16" s="12">
        <f>GETPIVOTDATA("Sum of AM FIELD",'Pivot Table'!$A$4,"DAY","Thu")</f>
        <v>313</v>
      </c>
      <c r="E16" s="12">
        <f>SUM(88+88+88+88)</f>
        <v>352</v>
      </c>
      <c r="F16" s="13">
        <f>SUM(D16/E16)</f>
        <v>0.88920454545454541</v>
      </c>
      <c r="G16" s="14"/>
      <c r="I16" s="103" t="s">
        <v>31</v>
      </c>
      <c r="J16" s="11" t="s">
        <v>23</v>
      </c>
      <c r="K16" s="12">
        <f>GETPIVOTDATA("Sum of AM FIELD",'Pivot Table'!$A$16,"DAY","Thu")</f>
        <v>396</v>
      </c>
      <c r="L16" s="12">
        <f>SUM(88+88+88+88+88)</f>
        <v>440</v>
      </c>
      <c r="M16" s="13">
        <f>SUM(K16/L16)</f>
        <v>0.9</v>
      </c>
      <c r="N16" s="14"/>
      <c r="P16" s="103" t="s">
        <v>31</v>
      </c>
      <c r="Q16" s="11" t="s">
        <v>23</v>
      </c>
      <c r="R16" s="12">
        <f>GETPIVOTDATA("Sum of AM FIELD",'Pivot Table'!$A$28,"DAY","Thu")</f>
        <v>325</v>
      </c>
      <c r="S16" s="12">
        <f>SUM(88+88+88+88)</f>
        <v>352</v>
      </c>
      <c r="T16" s="13">
        <f>SUM(R16/S16)</f>
        <v>0.92329545454545459</v>
      </c>
      <c r="U16" s="14"/>
    </row>
    <row r="17" spans="2:21" ht="17.25" thickBot="1" x14ac:dyDescent="0.35">
      <c r="B17" s="104"/>
      <c r="C17" s="15" t="s">
        <v>24</v>
      </c>
      <c r="D17" s="16">
        <f>GETPIVOTDATA("Sum of PM FIELD",'Pivot Table'!$A$4,"DAY","Thu")</f>
        <v>311</v>
      </c>
      <c r="E17" s="16">
        <f>SUM(96+96+96+96)</f>
        <v>384</v>
      </c>
      <c r="F17" s="17">
        <f t="shared" ref="F17:F29" si="0">SUM(D17/E17)</f>
        <v>0.80989583333333337</v>
      </c>
      <c r="G17" s="18"/>
      <c r="I17" s="104"/>
      <c r="J17" s="15" t="s">
        <v>24</v>
      </c>
      <c r="K17" s="16">
        <f>GETPIVOTDATA("Sum of PM FIELD",'Pivot Table'!$A$16,"DAY","Thu")</f>
        <v>372</v>
      </c>
      <c r="L17" s="16">
        <f>SUM(96+96+96+96+96)</f>
        <v>480</v>
      </c>
      <c r="M17" s="17">
        <f t="shared" ref="M17" si="1">SUM(K17/L17)</f>
        <v>0.77500000000000002</v>
      </c>
      <c r="N17" s="18"/>
      <c r="P17" s="104"/>
      <c r="Q17" s="15" t="s">
        <v>24</v>
      </c>
      <c r="R17" s="16">
        <f>GETPIVOTDATA("Sum of PM FIELD",'Pivot Table'!$A$28,"DAY","Thu")</f>
        <v>280</v>
      </c>
      <c r="S17" s="16">
        <f>SUM(96+96+96+96)</f>
        <v>384</v>
      </c>
      <c r="T17" s="17">
        <f t="shared" ref="T17" si="2">SUM(R17/S17)</f>
        <v>0.72916666666666663</v>
      </c>
      <c r="U17" s="18"/>
    </row>
    <row r="18" spans="2:21" ht="18" thickTop="1" thickBot="1" x14ac:dyDescent="0.35">
      <c r="B18" s="86" t="s">
        <v>25</v>
      </c>
      <c r="C18" s="25"/>
      <c r="D18" s="26">
        <f>SUM(D15:D17)</f>
        <v>624</v>
      </c>
      <c r="E18" s="26">
        <f>SUM(E15:E17)</f>
        <v>736</v>
      </c>
      <c r="F18" s="27">
        <f>SUM(D18/E18)</f>
        <v>0.84782608695652173</v>
      </c>
      <c r="G18" s="28"/>
      <c r="I18" s="86" t="s">
        <v>25</v>
      </c>
      <c r="J18" s="25"/>
      <c r="K18" s="26">
        <f>SUM(K15:K17)</f>
        <v>768</v>
      </c>
      <c r="L18" s="26">
        <f>SUM(L15:L17)</f>
        <v>920</v>
      </c>
      <c r="M18" s="27">
        <f>SUM(K18/L18)</f>
        <v>0.83478260869565213</v>
      </c>
      <c r="N18" s="28"/>
      <c r="P18" s="86" t="s">
        <v>25</v>
      </c>
      <c r="Q18" s="25"/>
      <c r="R18" s="26">
        <f>SUM(R15:R17)</f>
        <v>605</v>
      </c>
      <c r="S18" s="26">
        <f>SUM(S15:S17)</f>
        <v>736</v>
      </c>
      <c r="T18" s="27">
        <f>SUM(R18/S18)</f>
        <v>0.82201086956521741</v>
      </c>
      <c r="U18" s="28"/>
    </row>
    <row r="19" spans="2:21" ht="17.25" thickBot="1" x14ac:dyDescent="0.35">
      <c r="B19" s="6"/>
      <c r="C19" s="23"/>
      <c r="I19" s="6"/>
      <c r="J19" s="23"/>
      <c r="K19" s="5"/>
      <c r="L19" s="5"/>
      <c r="M19" s="5"/>
      <c r="P19" s="6"/>
      <c r="Q19" s="23"/>
      <c r="R19" s="5"/>
      <c r="S19" s="5"/>
      <c r="T19" s="5"/>
    </row>
    <row r="20" spans="2:21" x14ac:dyDescent="0.3">
      <c r="B20" s="103" t="s">
        <v>33</v>
      </c>
      <c r="C20" s="11" t="s">
        <v>23</v>
      </c>
      <c r="D20" s="12">
        <f>GETPIVOTDATA("Sum of AM FIELD",'Pivot Table'!$A$4,"DAY","Fri")</f>
        <v>377</v>
      </c>
      <c r="E20" s="12">
        <f>SUM(108+108+108+104)</f>
        <v>428</v>
      </c>
      <c r="F20" s="13">
        <f t="shared" si="0"/>
        <v>0.88084112149532712</v>
      </c>
      <c r="G20" s="14"/>
      <c r="I20" s="103" t="s">
        <v>33</v>
      </c>
      <c r="J20" s="11" t="s">
        <v>23</v>
      </c>
      <c r="K20" s="12">
        <f>GETPIVOTDATA("Sum of AM FIELD",'Pivot Table'!$A$16,"DAY","Fri")</f>
        <v>329</v>
      </c>
      <c r="L20" s="12">
        <f>SUM(104+100+100+54)</f>
        <v>358</v>
      </c>
      <c r="M20" s="13">
        <f t="shared" ref="M20:M21" si="3">SUM(K20/L20)</f>
        <v>0.91899441340782118</v>
      </c>
      <c r="N20" s="14"/>
      <c r="P20" s="103" t="s">
        <v>33</v>
      </c>
      <c r="Q20" s="11" t="s">
        <v>23</v>
      </c>
      <c r="R20" s="12">
        <f>GETPIVOTDATA("Sum of AM FIELD",'Pivot Table'!$A$28,"DAY","Fri")</f>
        <v>399</v>
      </c>
      <c r="S20" s="12">
        <f>SUM(104+104+56+104+88)</f>
        <v>456</v>
      </c>
      <c r="T20" s="13">
        <f t="shared" ref="T20:T21" si="4">SUM(R20/S20)</f>
        <v>0.875</v>
      </c>
      <c r="U20" s="14"/>
    </row>
    <row r="21" spans="2:21" ht="17.25" thickBot="1" x14ac:dyDescent="0.35">
      <c r="B21" s="104"/>
      <c r="C21" s="15" t="s">
        <v>24</v>
      </c>
      <c r="D21" s="16">
        <f>GETPIVOTDATA("Sum of PM FIELD",'Pivot Table'!$A$4,"DAY","Fri")</f>
        <v>309</v>
      </c>
      <c r="E21" s="16">
        <f>SUM(88+88+88+88)</f>
        <v>352</v>
      </c>
      <c r="F21" s="17">
        <f t="shared" si="0"/>
        <v>0.87784090909090906</v>
      </c>
      <c r="G21" s="18"/>
      <c r="I21" s="104"/>
      <c r="J21" s="15" t="s">
        <v>24</v>
      </c>
      <c r="K21" s="16">
        <f>GETPIVOTDATA("Sum of PM FIELD",'Pivot Table'!$A$16,"DAY","Fri")</f>
        <v>372</v>
      </c>
      <c r="L21" s="16">
        <f>SUM(176+96+104+68)</f>
        <v>444</v>
      </c>
      <c r="M21" s="17">
        <f t="shared" si="3"/>
        <v>0.83783783783783783</v>
      </c>
      <c r="N21" s="18"/>
      <c r="P21" s="104"/>
      <c r="Q21" s="15" t="s">
        <v>24</v>
      </c>
      <c r="R21" s="16">
        <f>GETPIVOTDATA("Sum of PM FIELD",'Pivot Table'!$A$28,"DAY","Fri")</f>
        <v>543</v>
      </c>
      <c r="S21" s="16">
        <f>SUM(136+168+80+96+96)</f>
        <v>576</v>
      </c>
      <c r="T21" s="17">
        <f t="shared" si="4"/>
        <v>0.94270833333333337</v>
      </c>
      <c r="U21" s="18"/>
    </row>
    <row r="22" spans="2:21" ht="18" thickTop="1" thickBot="1" x14ac:dyDescent="0.35">
      <c r="B22" s="86" t="s">
        <v>25</v>
      </c>
      <c r="C22" s="25"/>
      <c r="D22" s="26">
        <f>SUM(D19:D21)</f>
        <v>686</v>
      </c>
      <c r="E22" s="26">
        <f>SUM(E19:E21)</f>
        <v>780</v>
      </c>
      <c r="F22" s="27">
        <f>SUM(D22/E22)</f>
        <v>0.87948717948717947</v>
      </c>
      <c r="G22" s="28"/>
      <c r="I22" s="86" t="s">
        <v>25</v>
      </c>
      <c r="J22" s="25"/>
      <c r="K22" s="26">
        <f>SUM(K19:K21)</f>
        <v>701</v>
      </c>
      <c r="L22" s="26">
        <f>SUM(L19:L21)</f>
        <v>802</v>
      </c>
      <c r="M22" s="27">
        <f>SUM(K22/L22)</f>
        <v>0.87406483790523692</v>
      </c>
      <c r="N22" s="28"/>
      <c r="P22" s="86" t="s">
        <v>25</v>
      </c>
      <c r="Q22" s="25"/>
      <c r="R22" s="26">
        <f>SUM(R19:R21)</f>
        <v>942</v>
      </c>
      <c r="S22" s="26">
        <f>SUM(S19:S21)</f>
        <v>1032</v>
      </c>
      <c r="T22" s="27">
        <f>SUM(R22/S22)</f>
        <v>0.91279069767441856</v>
      </c>
      <c r="U22" s="28"/>
    </row>
    <row r="23" spans="2:21" ht="17.25" thickBot="1" x14ac:dyDescent="0.35">
      <c r="B23" s="6"/>
      <c r="C23" s="23"/>
      <c r="I23" s="6"/>
      <c r="J23" s="23"/>
      <c r="K23" s="5"/>
      <c r="L23" s="5"/>
      <c r="M23" s="5"/>
      <c r="P23" s="6"/>
      <c r="Q23" s="23"/>
      <c r="R23" s="5"/>
      <c r="S23" s="5"/>
      <c r="T23" s="5"/>
    </row>
    <row r="24" spans="2:21" x14ac:dyDescent="0.3">
      <c r="B24" s="103" t="s">
        <v>35</v>
      </c>
      <c r="C24" s="11" t="s">
        <v>23</v>
      </c>
      <c r="D24" s="12">
        <f>GETPIVOTDATA("Sum of AM FIELD",'Pivot Table'!$A$4,"DAY","Sat")</f>
        <v>376</v>
      </c>
      <c r="E24" s="12">
        <f>SUM(104+104+104+104)</f>
        <v>416</v>
      </c>
      <c r="F24" s="13">
        <f t="shared" si="0"/>
        <v>0.90384615384615385</v>
      </c>
      <c r="G24" s="14"/>
      <c r="I24" s="103" t="s">
        <v>35</v>
      </c>
      <c r="J24" s="11" t="s">
        <v>23</v>
      </c>
      <c r="K24" s="12">
        <f>GETPIVOTDATA("Sum of AM FIELD",'Pivot Table'!$A$16,"DAY","Sat")</f>
        <v>336</v>
      </c>
      <c r="L24" s="12">
        <f>SUM(104+104+68+80)</f>
        <v>356</v>
      </c>
      <c r="M24" s="13">
        <f t="shared" ref="M24:M25" si="5">SUM(K24/L24)</f>
        <v>0.9438202247191011</v>
      </c>
      <c r="N24" s="14"/>
      <c r="P24" s="103" t="s">
        <v>35</v>
      </c>
      <c r="Q24" s="11" t="s">
        <v>23</v>
      </c>
      <c r="R24" s="12">
        <f>GETPIVOTDATA("Sum of AM FIELD",'Pivot Table'!$A$28,"DAY","Sat")</f>
        <v>426</v>
      </c>
      <c r="S24" s="12">
        <f>SUM(104+96+96+88+88)</f>
        <v>472</v>
      </c>
      <c r="T24" s="13">
        <f t="shared" ref="T24:T25" si="6">SUM(R24/S24)</f>
        <v>0.90254237288135597</v>
      </c>
      <c r="U24" s="14"/>
    </row>
    <row r="25" spans="2:21" ht="17.25" thickBot="1" x14ac:dyDescent="0.35">
      <c r="B25" s="104"/>
      <c r="C25" s="15" t="s">
        <v>24</v>
      </c>
      <c r="D25" s="16">
        <f>GETPIVOTDATA("Sum of PM FIELD",'Pivot Table'!$A$4,"DAY","Sat")</f>
        <v>238</v>
      </c>
      <c r="E25" s="16">
        <f>SUM(92+88+88+88)</f>
        <v>356</v>
      </c>
      <c r="F25" s="17">
        <f t="shared" si="0"/>
        <v>0.6685393258426966</v>
      </c>
      <c r="G25" s="18"/>
      <c r="I25" s="104"/>
      <c r="J25" s="15" t="s">
        <v>24</v>
      </c>
      <c r="K25" s="16">
        <f>GETPIVOTDATA("Sum of PM FIELD",'Pivot Table'!$A$16,"DAY","Sat")</f>
        <v>341</v>
      </c>
      <c r="L25" s="16">
        <f>SUM(88+96+96+88)</f>
        <v>368</v>
      </c>
      <c r="M25" s="17">
        <f t="shared" si="5"/>
        <v>0.92663043478260865</v>
      </c>
      <c r="N25" s="18"/>
      <c r="P25" s="104"/>
      <c r="Q25" s="15" t="s">
        <v>24</v>
      </c>
      <c r="R25" s="16">
        <f>GETPIVOTDATA("Sum of PM FIELD",'Pivot Table'!$A$28,"DAY","Sat")</f>
        <v>268</v>
      </c>
      <c r="S25" s="16">
        <f>SUM(96+96+96+88+88)</f>
        <v>464</v>
      </c>
      <c r="T25" s="17">
        <f t="shared" si="6"/>
        <v>0.57758620689655171</v>
      </c>
      <c r="U25" s="18"/>
    </row>
    <row r="26" spans="2:21" ht="18" thickTop="1" thickBot="1" x14ac:dyDescent="0.35">
      <c r="B26" s="86" t="s">
        <v>25</v>
      </c>
      <c r="C26" s="25"/>
      <c r="D26" s="26">
        <f>SUM(D23:D25)</f>
        <v>614</v>
      </c>
      <c r="E26" s="26">
        <f>SUM(E23:E25)</f>
        <v>772</v>
      </c>
      <c r="F26" s="27">
        <f>SUM(D26/E26)</f>
        <v>0.79533678756476689</v>
      </c>
      <c r="G26" s="28"/>
      <c r="I26" s="86" t="s">
        <v>25</v>
      </c>
      <c r="J26" s="25"/>
      <c r="K26" s="26">
        <f>SUM(K23:K25)</f>
        <v>677</v>
      </c>
      <c r="L26" s="26">
        <f>SUM(L23:L25)</f>
        <v>724</v>
      </c>
      <c r="M26" s="27">
        <f>SUM(K26/L26)</f>
        <v>0.93508287292817682</v>
      </c>
      <c r="N26" s="28"/>
      <c r="P26" s="86" t="s">
        <v>25</v>
      </c>
      <c r="Q26" s="25"/>
      <c r="R26" s="26">
        <f>SUM(R23:R25)</f>
        <v>694</v>
      </c>
      <c r="S26" s="26">
        <f>SUM(S23:S25)</f>
        <v>936</v>
      </c>
      <c r="T26" s="27">
        <f>SUM(R26/S26)</f>
        <v>0.74145299145299148</v>
      </c>
      <c r="U26" s="28"/>
    </row>
    <row r="27" spans="2:21" ht="17.25" thickBot="1" x14ac:dyDescent="0.35">
      <c r="B27" s="6"/>
      <c r="C27" s="23"/>
      <c r="F27" s="29"/>
      <c r="I27" s="6"/>
      <c r="J27" s="23"/>
      <c r="K27" s="5"/>
      <c r="L27" s="5"/>
      <c r="M27" s="29"/>
      <c r="P27" s="6"/>
      <c r="Q27" s="23"/>
      <c r="R27" s="5"/>
      <c r="S27" s="5"/>
      <c r="T27" s="29"/>
    </row>
    <row r="28" spans="2:21" x14ac:dyDescent="0.3">
      <c r="B28" s="103" t="s">
        <v>37</v>
      </c>
      <c r="C28" s="11" t="s">
        <v>23</v>
      </c>
      <c r="D28" s="12">
        <f>GETPIVOTDATA("Sum of AM FIELD",'Pivot Table'!$A$4,"DAY","Sun")</f>
        <v>395</v>
      </c>
      <c r="E28" s="12">
        <f>SUM(104+104+104+104)</f>
        <v>416</v>
      </c>
      <c r="F28" s="13">
        <f t="shared" si="0"/>
        <v>0.94951923076923073</v>
      </c>
      <c r="G28" s="14"/>
      <c r="I28" s="103" t="s">
        <v>37</v>
      </c>
      <c r="J28" s="11" t="s">
        <v>23</v>
      </c>
      <c r="K28" s="12">
        <f>GETPIVOTDATA("Sum of AM FIELD",'Pivot Table'!$A$16,"DAY","Sun")</f>
        <v>389</v>
      </c>
      <c r="L28" s="12">
        <f>SUM(104+104+104+104)</f>
        <v>416</v>
      </c>
      <c r="M28" s="13">
        <f t="shared" ref="M28:M29" si="7">SUM(K28/L28)</f>
        <v>0.93509615384615385</v>
      </c>
      <c r="N28" s="14"/>
      <c r="P28" s="103" t="s">
        <v>37</v>
      </c>
      <c r="Q28" s="11" t="s">
        <v>23</v>
      </c>
      <c r="R28" s="12">
        <f>GETPIVOTDATA("Sum of AM FIELD",'Pivot Table'!$A$28,"DAY","Sun")</f>
        <v>356</v>
      </c>
      <c r="S28" s="57">
        <f>SUM(104+96+76+40+88)</f>
        <v>404</v>
      </c>
      <c r="T28" s="13">
        <f t="shared" ref="T28:T29" si="8">SUM(R28/S28)</f>
        <v>0.88118811881188119</v>
      </c>
      <c r="U28" s="14"/>
    </row>
    <row r="29" spans="2:21" ht="17.25" thickBot="1" x14ac:dyDescent="0.35">
      <c r="B29" s="104"/>
      <c r="C29" s="15" t="s">
        <v>24</v>
      </c>
      <c r="D29" s="16">
        <f>GETPIVOTDATA("Sum of PM FIELD",'Pivot Table'!$A$4,"DAY","Sun")</f>
        <v>315</v>
      </c>
      <c r="E29" s="16">
        <f>SUM(96+96+96+96)</f>
        <v>384</v>
      </c>
      <c r="F29" s="17">
        <f t="shared" si="0"/>
        <v>0.8203125</v>
      </c>
      <c r="G29" s="18"/>
      <c r="I29" s="104"/>
      <c r="J29" s="15" t="s">
        <v>24</v>
      </c>
      <c r="K29" s="16">
        <f>GETPIVOTDATA("Sum of PM FIELD",'Pivot Table'!$A$16,"DAY","Sun")</f>
        <v>290</v>
      </c>
      <c r="L29" s="16">
        <f>SUM(96+96+96+96)</f>
        <v>384</v>
      </c>
      <c r="M29" s="17">
        <f t="shared" si="7"/>
        <v>0.75520833333333337</v>
      </c>
      <c r="N29" s="18"/>
      <c r="P29" s="104"/>
      <c r="Q29" s="15" t="s">
        <v>24</v>
      </c>
      <c r="R29" s="16">
        <f>GETPIVOTDATA("Sum of PM FIELD",'Pivot Table'!$A$28,"DAY","Sun")</f>
        <v>298</v>
      </c>
      <c r="S29" s="16">
        <f>SUM(96+96+52+56+96)</f>
        <v>396</v>
      </c>
      <c r="T29" s="17">
        <f t="shared" si="8"/>
        <v>0.75252525252525249</v>
      </c>
      <c r="U29" s="18"/>
    </row>
    <row r="30" spans="2:21" ht="18" thickTop="1" thickBot="1" x14ac:dyDescent="0.35">
      <c r="B30" s="86" t="s">
        <v>25</v>
      </c>
      <c r="C30" s="25"/>
      <c r="D30" s="26">
        <f>SUM(D27:D29)</f>
        <v>710</v>
      </c>
      <c r="E30" s="26">
        <f>SUM(E27:E29)</f>
        <v>800</v>
      </c>
      <c r="F30" s="27">
        <f>SUM(D30/E30)</f>
        <v>0.88749999999999996</v>
      </c>
      <c r="G30" s="28"/>
      <c r="I30" s="86" t="s">
        <v>25</v>
      </c>
      <c r="J30" s="25"/>
      <c r="K30" s="26">
        <f>SUM(K27:K29)</f>
        <v>679</v>
      </c>
      <c r="L30" s="26">
        <f>SUM(L27:L29)</f>
        <v>800</v>
      </c>
      <c r="M30" s="27">
        <f>SUM(K30/L30)</f>
        <v>0.84875</v>
      </c>
      <c r="N30" s="28"/>
      <c r="P30" s="86" t="s">
        <v>25</v>
      </c>
      <c r="Q30" s="25"/>
      <c r="R30" s="26">
        <f>SUM(R27:R29)</f>
        <v>654</v>
      </c>
      <c r="S30" s="26">
        <f>SUM(S27:S29)</f>
        <v>800</v>
      </c>
      <c r="T30" s="27">
        <f>SUM(R30/S30)</f>
        <v>0.8175</v>
      </c>
      <c r="U30" s="28"/>
    </row>
    <row r="33" spans="2:21" ht="45" x14ac:dyDescent="0.4">
      <c r="B33" s="1" t="s">
        <v>10</v>
      </c>
      <c r="C33" s="7"/>
      <c r="D33" s="8" t="s">
        <v>18</v>
      </c>
      <c r="E33" s="8" t="s">
        <v>19</v>
      </c>
      <c r="F33" s="8" t="s">
        <v>20</v>
      </c>
      <c r="G33" s="7" t="s">
        <v>21</v>
      </c>
      <c r="I33" s="1" t="s">
        <v>11</v>
      </c>
      <c r="J33" s="7"/>
      <c r="K33" s="7" t="s">
        <v>18</v>
      </c>
      <c r="L33" s="7" t="s">
        <v>19</v>
      </c>
      <c r="M33" s="7" t="s">
        <v>20</v>
      </c>
      <c r="N33" s="7" t="s">
        <v>21</v>
      </c>
      <c r="P33" s="1" t="s">
        <v>12</v>
      </c>
      <c r="Q33" s="10"/>
      <c r="R33" s="7" t="s">
        <v>18</v>
      </c>
      <c r="S33" s="7" t="s">
        <v>19</v>
      </c>
      <c r="T33" s="7" t="s">
        <v>20</v>
      </c>
      <c r="U33" s="7" t="s">
        <v>21</v>
      </c>
    </row>
    <row r="34" spans="2:21" ht="17.25" thickBot="1" x14ac:dyDescent="0.35"/>
    <row r="35" spans="2:21" x14ac:dyDescent="0.3">
      <c r="B35" s="103" t="s">
        <v>22</v>
      </c>
      <c r="C35" s="11" t="s">
        <v>23</v>
      </c>
      <c r="D35" s="12">
        <f>GETPIVOTDATA("Sum of AM FIELD",'Pivot Table'!$A$40,"DAY","Mon")</f>
        <v>234</v>
      </c>
      <c r="E35" s="12">
        <f>SUM(88+88+0+64+32)</f>
        <v>272</v>
      </c>
      <c r="F35" s="13">
        <f>SUM(D35/E35)</f>
        <v>0.86029411764705888</v>
      </c>
      <c r="G35" s="14"/>
      <c r="I35" s="103" t="s">
        <v>22</v>
      </c>
      <c r="J35" s="11" t="s">
        <v>23</v>
      </c>
      <c r="K35" s="12">
        <f>GETPIVOTDATA("Sum of AM FIELD",'Pivot Table'!$A$52,"DAY","Mon")</f>
        <v>164</v>
      </c>
      <c r="L35" s="12">
        <f>SUM(88+88+88+0)</f>
        <v>264</v>
      </c>
      <c r="M35" s="13">
        <f>SUM(K35/L35)</f>
        <v>0.62121212121212122</v>
      </c>
      <c r="N35" s="14"/>
      <c r="P35" s="103" t="s">
        <v>22</v>
      </c>
      <c r="Q35" s="11" t="s">
        <v>23</v>
      </c>
      <c r="R35" s="12">
        <f>GETPIVOTDATA("Sum of AM FIELD",'Pivot Table'!$A$64,"DAY","Mon")</f>
        <v>159</v>
      </c>
      <c r="S35" s="12">
        <f>SUM(88+88+76+0)</f>
        <v>252</v>
      </c>
      <c r="T35" s="13">
        <f>SUM(R35/S35)</f>
        <v>0.63095238095238093</v>
      </c>
      <c r="U35" s="14"/>
    </row>
    <row r="36" spans="2:21" ht="17.25" thickBot="1" x14ac:dyDescent="0.35">
      <c r="B36" s="104"/>
      <c r="C36" s="15" t="s">
        <v>24</v>
      </c>
      <c r="D36" s="16">
        <f>GETPIVOTDATA("Sum of PM FIELD",'Pivot Table'!$A$40,"DAY","Mon")</f>
        <v>337</v>
      </c>
      <c r="E36" s="16">
        <f>SUM(96+80+80+88+80)</f>
        <v>424</v>
      </c>
      <c r="F36" s="17">
        <f>SUM(D36/E36)</f>
        <v>0.79481132075471694</v>
      </c>
      <c r="G36" s="18"/>
      <c r="I36" s="104"/>
      <c r="J36" s="15" t="s">
        <v>24</v>
      </c>
      <c r="K36" s="16">
        <f>GETPIVOTDATA("Sum of PM FIELD",'Pivot Table'!$A$52,"DAY","Mon")</f>
        <v>292</v>
      </c>
      <c r="L36" s="16">
        <f>SUM(80+80+80+80)</f>
        <v>320</v>
      </c>
      <c r="M36" s="17">
        <f>SUM(K36/L36)</f>
        <v>0.91249999999999998</v>
      </c>
      <c r="N36" s="18"/>
      <c r="P36" s="104"/>
      <c r="Q36" s="15" t="s">
        <v>24</v>
      </c>
      <c r="R36" s="16">
        <f>GETPIVOTDATA("Sum of PM FIELD",'Pivot Table'!$A$64,"DAY","Mon")</f>
        <v>299</v>
      </c>
      <c r="S36" s="16">
        <f>SUM(80+72+80+80)</f>
        <v>312</v>
      </c>
      <c r="T36" s="17">
        <f>SUM(R36/S36)</f>
        <v>0.95833333333333337</v>
      </c>
      <c r="U36" s="18"/>
    </row>
    <row r="37" spans="2:21" ht="18" thickTop="1" thickBot="1" x14ac:dyDescent="0.35">
      <c r="B37" s="86" t="s">
        <v>25</v>
      </c>
      <c r="C37" s="19"/>
      <c r="D37" s="20">
        <f>SUM(D34:D36)</f>
        <v>571</v>
      </c>
      <c r="E37" s="20">
        <f>SUM(E34:E36)</f>
        <v>696</v>
      </c>
      <c r="F37" s="21">
        <f>SUM(D37/E37)</f>
        <v>0.8204022988505747</v>
      </c>
      <c r="G37" s="22"/>
      <c r="I37" s="86" t="s">
        <v>25</v>
      </c>
      <c r="J37" s="19"/>
      <c r="K37" s="20">
        <f>SUM(K34:K36)</f>
        <v>456</v>
      </c>
      <c r="L37" s="20">
        <f>SUM(L34:L36)</f>
        <v>584</v>
      </c>
      <c r="M37" s="21">
        <f>SUM(K37/L37)</f>
        <v>0.78082191780821919</v>
      </c>
      <c r="N37" s="22"/>
      <c r="P37" s="86" t="s">
        <v>25</v>
      </c>
      <c r="Q37" s="19"/>
      <c r="R37" s="20">
        <f>SUM(R34:R36)</f>
        <v>458</v>
      </c>
      <c r="S37" s="20">
        <f>SUM(S34:S36)</f>
        <v>564</v>
      </c>
      <c r="T37" s="21">
        <f>SUM(R37/S37)</f>
        <v>0.81205673758865249</v>
      </c>
      <c r="U37" s="22"/>
    </row>
    <row r="38" spans="2:21" ht="17.25" thickBot="1" x14ac:dyDescent="0.35">
      <c r="B38" s="6"/>
      <c r="C38" s="23"/>
      <c r="I38" s="6"/>
      <c r="J38" s="23"/>
      <c r="K38" s="5"/>
      <c r="L38" s="5"/>
      <c r="M38" s="5"/>
      <c r="P38" s="6"/>
      <c r="Q38" s="23"/>
      <c r="R38" s="5"/>
      <c r="S38" s="5"/>
      <c r="T38" s="5"/>
    </row>
    <row r="39" spans="2:21" x14ac:dyDescent="0.3">
      <c r="B39" s="103" t="s">
        <v>27</v>
      </c>
      <c r="C39" s="11" t="s">
        <v>23</v>
      </c>
      <c r="D39" s="12">
        <f>GETPIVOTDATA("Sum of AM FIELD",'Pivot Table'!$A$40,"DAY","Tue")</f>
        <v>345</v>
      </c>
      <c r="E39" s="12">
        <f>SUM(112+112+112+112+64)</f>
        <v>512</v>
      </c>
      <c r="F39" s="13">
        <f>SUM(D39/E39)</f>
        <v>0.673828125</v>
      </c>
      <c r="G39" s="14"/>
      <c r="I39" s="103" t="s">
        <v>27</v>
      </c>
      <c r="J39" s="11" t="s">
        <v>23</v>
      </c>
      <c r="K39" s="12">
        <f>GETPIVOTDATA("Sum of AM FIELD",'Pivot Table'!$A$52,"DAY","Tue")</f>
        <v>342</v>
      </c>
      <c r="L39" s="12">
        <f>SUM(104+112+112+76)</f>
        <v>404</v>
      </c>
      <c r="M39" s="13">
        <f>SUM(K39/L39)</f>
        <v>0.84653465346534651</v>
      </c>
      <c r="N39" s="14"/>
      <c r="P39" s="103" t="s">
        <v>27</v>
      </c>
      <c r="Q39" s="11" t="s">
        <v>23</v>
      </c>
      <c r="R39" s="12">
        <f>GETPIVOTDATA("Sum of AM FIELD",'Pivot Table'!$A$64,"DAY","Tue")</f>
        <v>266</v>
      </c>
      <c r="S39" s="12">
        <f>SUM(112+112+84+112)</f>
        <v>420</v>
      </c>
      <c r="T39" s="13">
        <f>SUM(R39/S39)</f>
        <v>0.6333333333333333</v>
      </c>
      <c r="U39" s="14"/>
    </row>
    <row r="40" spans="2:21" ht="17.25" thickBot="1" x14ac:dyDescent="0.35">
      <c r="B40" s="104"/>
      <c r="C40" s="15" t="s">
        <v>24</v>
      </c>
      <c r="D40" s="16">
        <f>GETPIVOTDATA("Sum of PM FIELD",'Pivot Table'!$A$40,"DAY","Tue")</f>
        <v>204</v>
      </c>
      <c r="E40" s="16">
        <f>SUM(80+80+80+80)</f>
        <v>320</v>
      </c>
      <c r="F40" s="17">
        <f>SUM(D40/E40)</f>
        <v>0.63749999999999996</v>
      </c>
      <c r="G40" s="18"/>
      <c r="I40" s="104"/>
      <c r="J40" s="15" t="s">
        <v>24</v>
      </c>
      <c r="K40" s="16">
        <f>GETPIVOTDATA("Sum of PM FIELD",'Pivot Table'!$A$52,"DAY","Tue")</f>
        <v>147</v>
      </c>
      <c r="L40" s="16">
        <f>SUM(80+80+80+80)</f>
        <v>320</v>
      </c>
      <c r="M40" s="17">
        <f>SUM(K40/L40)</f>
        <v>0.45937499999999998</v>
      </c>
      <c r="N40" s="18"/>
      <c r="P40" s="104"/>
      <c r="Q40" s="15" t="s">
        <v>24</v>
      </c>
      <c r="R40" s="16">
        <f>GETPIVOTDATA("Sum of PM FIELD",'Pivot Table'!$A$64,"DAY","Tue")</f>
        <v>80</v>
      </c>
      <c r="S40" s="16">
        <f>SUM(80+80+0+80)</f>
        <v>240</v>
      </c>
      <c r="T40" s="17">
        <f>SUM(R40/S40)</f>
        <v>0.33333333333333331</v>
      </c>
      <c r="U40" s="18"/>
    </row>
    <row r="41" spans="2:21" ht="18" thickTop="1" thickBot="1" x14ac:dyDescent="0.35">
      <c r="B41" s="86" t="s">
        <v>25</v>
      </c>
      <c r="C41" s="25"/>
      <c r="D41" s="26">
        <f>SUM(D38:D40)</f>
        <v>549</v>
      </c>
      <c r="E41" s="26">
        <f>SUM(E38:E40)</f>
        <v>832</v>
      </c>
      <c r="F41" s="27">
        <f>SUM(D41/E41)</f>
        <v>0.65985576923076927</v>
      </c>
      <c r="G41" s="28"/>
      <c r="I41" s="86" t="s">
        <v>25</v>
      </c>
      <c r="J41" s="25"/>
      <c r="K41" s="26">
        <f>SUM(K38:K40)</f>
        <v>489</v>
      </c>
      <c r="L41" s="26">
        <f>SUM(L38:L40)</f>
        <v>724</v>
      </c>
      <c r="M41" s="27">
        <f>SUM(K41/L41)</f>
        <v>0.675414364640884</v>
      </c>
      <c r="N41" s="28"/>
      <c r="P41" s="86" t="s">
        <v>25</v>
      </c>
      <c r="Q41" s="25"/>
      <c r="R41" s="26">
        <f>SUM(R38:R40)</f>
        <v>346</v>
      </c>
      <c r="S41" s="26">
        <f>SUM(S38:S40)</f>
        <v>660</v>
      </c>
      <c r="T41" s="27">
        <f>SUM(R41/S41)</f>
        <v>0.52424242424242429</v>
      </c>
      <c r="U41" s="28"/>
    </row>
    <row r="42" spans="2:21" ht="17.25" thickBot="1" x14ac:dyDescent="0.35">
      <c r="B42" s="6"/>
      <c r="C42" s="23"/>
      <c r="I42" s="6"/>
      <c r="J42" s="23"/>
      <c r="K42" s="5"/>
      <c r="L42" s="5"/>
      <c r="M42" s="5"/>
      <c r="P42" s="6"/>
      <c r="Q42" s="23"/>
      <c r="R42" s="5"/>
      <c r="S42" s="5"/>
      <c r="T42" s="5"/>
    </row>
    <row r="43" spans="2:21" x14ac:dyDescent="0.3">
      <c r="B43" s="103" t="s">
        <v>29</v>
      </c>
      <c r="C43" s="11" t="s">
        <v>23</v>
      </c>
      <c r="D43" s="12">
        <f>GETPIVOTDATA("Sum of AM FIELD",'Pivot Table'!$A$40,"DAY","Wed")</f>
        <v>302</v>
      </c>
      <c r="E43" s="12">
        <f>SUM(108+96+108+104)</f>
        <v>416</v>
      </c>
      <c r="F43" s="13">
        <f>SUM(D43/E43)</f>
        <v>0.72596153846153844</v>
      </c>
      <c r="G43" s="14"/>
      <c r="I43" s="103" t="s">
        <v>29</v>
      </c>
      <c r="J43" s="11" t="s">
        <v>23</v>
      </c>
      <c r="K43" s="12">
        <f>GETPIVOTDATA("Sum of AM FIELD",'Pivot Table'!$A$52,"DAY","Wed")</f>
        <v>409</v>
      </c>
      <c r="L43" s="12">
        <f>SUM(90+104+112+108)</f>
        <v>414</v>
      </c>
      <c r="M43" s="13">
        <f>SUM(K43/L43)</f>
        <v>0.98792270531400961</v>
      </c>
      <c r="N43" s="14"/>
      <c r="P43" s="103" t="s">
        <v>29</v>
      </c>
      <c r="Q43" s="11" t="s">
        <v>23</v>
      </c>
      <c r="R43" s="12">
        <f>GETPIVOTDATA("Sum of AM FIELD",'Pivot Table'!$A$64,"DAY","Wed")</f>
        <v>246</v>
      </c>
      <c r="S43" s="12">
        <f>SUM(88+96+108+108)</f>
        <v>400</v>
      </c>
      <c r="T43" s="13">
        <f>SUM(R43/S43)</f>
        <v>0.61499999999999999</v>
      </c>
      <c r="U43" s="14"/>
    </row>
    <row r="44" spans="2:21" ht="17.25" thickBot="1" x14ac:dyDescent="0.35">
      <c r="B44" s="104"/>
      <c r="C44" s="15" t="s">
        <v>24</v>
      </c>
      <c r="D44" s="16">
        <f>GETPIVOTDATA("Sum of PM FIELD",'Pivot Table'!$A$40,"DAY","Wed")</f>
        <v>339</v>
      </c>
      <c r="E44" s="16">
        <f>SUM(88+96+88+124)</f>
        <v>396</v>
      </c>
      <c r="F44" s="17">
        <f>SUM(D44/E44)</f>
        <v>0.85606060606060608</v>
      </c>
      <c r="G44" s="18"/>
      <c r="I44" s="104"/>
      <c r="J44" s="15" t="s">
        <v>24</v>
      </c>
      <c r="K44" s="16">
        <f>GETPIVOTDATA("Sum of PM FIELD",'Pivot Table'!$A$52,"DAY","Wed")</f>
        <v>309</v>
      </c>
      <c r="L44" s="16">
        <f>SUM(104+88+100+88)</f>
        <v>380</v>
      </c>
      <c r="M44" s="17">
        <f>SUM(K44/L44)</f>
        <v>0.81315789473684208</v>
      </c>
      <c r="N44" s="18"/>
      <c r="P44" s="104"/>
      <c r="Q44" s="15" t="s">
        <v>24</v>
      </c>
      <c r="R44" s="16">
        <f>GETPIVOTDATA("Sum of PM FIELD",'Pivot Table'!$A$64,"DAY","Wed")</f>
        <v>280</v>
      </c>
      <c r="S44" s="16">
        <f>SUM(116+100+88+88)</f>
        <v>392</v>
      </c>
      <c r="T44" s="17">
        <f>SUM(R44/S44)</f>
        <v>0.7142857142857143</v>
      </c>
      <c r="U44" s="18"/>
    </row>
    <row r="45" spans="2:21" ht="18" thickTop="1" thickBot="1" x14ac:dyDescent="0.35">
      <c r="B45" s="86" t="s">
        <v>25</v>
      </c>
      <c r="C45" s="25"/>
      <c r="D45" s="26">
        <f>SUM(D42:D44)</f>
        <v>641</v>
      </c>
      <c r="E45" s="26">
        <f>SUM(E42:E44)</f>
        <v>812</v>
      </c>
      <c r="F45" s="27">
        <f>SUM(D45/E45)</f>
        <v>0.78940886699507384</v>
      </c>
      <c r="G45" s="28"/>
      <c r="I45" s="86" t="s">
        <v>25</v>
      </c>
      <c r="J45" s="25"/>
      <c r="K45" s="26">
        <f>SUM(K42:K44)</f>
        <v>718</v>
      </c>
      <c r="L45" s="26">
        <f>SUM(L42:L44)</f>
        <v>794</v>
      </c>
      <c r="M45" s="27">
        <f>SUM(K45/L45)</f>
        <v>0.90428211586901763</v>
      </c>
      <c r="N45" s="28"/>
      <c r="P45" s="86" t="s">
        <v>25</v>
      </c>
      <c r="Q45" s="25"/>
      <c r="R45" s="26">
        <f>SUM(R42:R44)</f>
        <v>526</v>
      </c>
      <c r="S45" s="26">
        <f>SUM(S42:S44)</f>
        <v>792</v>
      </c>
      <c r="T45" s="27">
        <f>SUM(R45/S45)</f>
        <v>0.66414141414141414</v>
      </c>
      <c r="U45" s="28"/>
    </row>
    <row r="46" spans="2:21" ht="17.25" thickBot="1" x14ac:dyDescent="0.35">
      <c r="B46" s="6"/>
      <c r="C46" s="23"/>
      <c r="I46" s="6"/>
      <c r="J46" s="23"/>
      <c r="K46" s="5"/>
      <c r="L46" s="5"/>
      <c r="M46" s="5"/>
      <c r="P46" s="6"/>
      <c r="Q46" s="23"/>
      <c r="R46" s="5"/>
      <c r="S46" s="5"/>
      <c r="T46" s="5"/>
    </row>
    <row r="47" spans="2:21" x14ac:dyDescent="0.3">
      <c r="B47" s="103" t="s">
        <v>31</v>
      </c>
      <c r="C47" s="11" t="s">
        <v>23</v>
      </c>
      <c r="D47" s="12">
        <f>GETPIVOTDATA("Sum of AM FIELD",'Pivot Table'!$A$40,"DAY","Thu")</f>
        <v>342</v>
      </c>
      <c r="E47" s="12">
        <f>SUM(88+80+80+104)</f>
        <v>352</v>
      </c>
      <c r="F47" s="13">
        <f>SUM(D47/E47)</f>
        <v>0.97159090909090906</v>
      </c>
      <c r="G47" s="14"/>
      <c r="I47" s="103" t="s">
        <v>31</v>
      </c>
      <c r="J47" s="11" t="s">
        <v>23</v>
      </c>
      <c r="K47" s="12">
        <f>GETPIVOTDATA("Sum of AM FIELD",'Pivot Table'!$A$52,"DAY","Thu")</f>
        <v>364</v>
      </c>
      <c r="L47" s="12">
        <f>SUM(80+80+80+80+80)</f>
        <v>400</v>
      </c>
      <c r="M47" s="13">
        <f>SUM(K47/L47)</f>
        <v>0.91</v>
      </c>
      <c r="N47" s="14"/>
      <c r="P47" s="103" t="s">
        <v>31</v>
      </c>
      <c r="Q47" s="11" t="s">
        <v>23</v>
      </c>
      <c r="R47" s="12">
        <f>GETPIVOTDATA("Sum of AM FIELD",'Pivot Table'!$A$64,"DAY","Thu")</f>
        <v>280</v>
      </c>
      <c r="S47" s="12">
        <f>SUM(80+80+80+80)</f>
        <v>320</v>
      </c>
      <c r="T47" s="13">
        <f>SUM(R47/S47)</f>
        <v>0.875</v>
      </c>
      <c r="U47" s="14"/>
    </row>
    <row r="48" spans="2:21" ht="17.25" thickBot="1" x14ac:dyDescent="0.35">
      <c r="B48" s="104"/>
      <c r="C48" s="15" t="s">
        <v>24</v>
      </c>
      <c r="D48" s="16">
        <f>GETPIVOTDATA("Sum of PM FIELD",'Pivot Table'!$A$40,"DAY","Thu")</f>
        <v>344</v>
      </c>
      <c r="E48" s="16">
        <f>SUM(96+96+96+96)</f>
        <v>384</v>
      </c>
      <c r="F48" s="17">
        <f t="shared" ref="F48" si="9">SUM(D48/E48)</f>
        <v>0.89583333333333337</v>
      </c>
      <c r="G48" s="18"/>
      <c r="I48" s="104"/>
      <c r="J48" s="15" t="s">
        <v>24</v>
      </c>
      <c r="K48" s="16">
        <f>GETPIVOTDATA("Sum of PM FIELD",'Pivot Table'!$A$52,"DAY","Thu")</f>
        <v>404</v>
      </c>
      <c r="L48" s="16">
        <f>SUM(96+100+96+96+96)</f>
        <v>484</v>
      </c>
      <c r="M48" s="17">
        <f t="shared" ref="M48" si="10">SUM(K48/L48)</f>
        <v>0.83471074380165289</v>
      </c>
      <c r="N48" s="18"/>
      <c r="P48" s="104"/>
      <c r="Q48" s="15" t="s">
        <v>24</v>
      </c>
      <c r="R48" s="16">
        <f>GETPIVOTDATA("Sum of PM FIELD",'Pivot Table'!$A$64,"DAY","Thu")</f>
        <v>292</v>
      </c>
      <c r="S48" s="16">
        <f>SUM(96+96+96+96)</f>
        <v>384</v>
      </c>
      <c r="T48" s="17">
        <f>SUM(R48/S48)</f>
        <v>0.76041666666666663</v>
      </c>
      <c r="U48" s="18"/>
    </row>
    <row r="49" spans="2:21" ht="18" thickTop="1" thickBot="1" x14ac:dyDescent="0.35">
      <c r="B49" s="86" t="s">
        <v>25</v>
      </c>
      <c r="C49" s="25"/>
      <c r="D49" s="26">
        <f>SUM(D46:D48)</f>
        <v>686</v>
      </c>
      <c r="E49" s="26">
        <f>SUM(E46:E48)</f>
        <v>736</v>
      </c>
      <c r="F49" s="27">
        <f>SUM(D49/E49)</f>
        <v>0.93206521739130432</v>
      </c>
      <c r="G49" s="28"/>
      <c r="I49" s="86" t="s">
        <v>25</v>
      </c>
      <c r="J49" s="25"/>
      <c r="K49" s="26">
        <f>SUM(K46:K48)</f>
        <v>768</v>
      </c>
      <c r="L49" s="26">
        <f>SUM(L46:L48)</f>
        <v>884</v>
      </c>
      <c r="M49" s="27">
        <f>SUM(K49/L49)</f>
        <v>0.86877828054298645</v>
      </c>
      <c r="N49" s="28"/>
      <c r="P49" s="86" t="s">
        <v>25</v>
      </c>
      <c r="Q49" s="25"/>
      <c r="R49" s="26">
        <f>SUM(R46:R48)</f>
        <v>572</v>
      </c>
      <c r="S49" s="26">
        <f>SUM(S46:S48)</f>
        <v>704</v>
      </c>
      <c r="T49" s="27">
        <f>SUM(R49/S49)</f>
        <v>0.8125</v>
      </c>
      <c r="U49" s="28"/>
    </row>
    <row r="50" spans="2:21" ht="17.25" thickBot="1" x14ac:dyDescent="0.35">
      <c r="B50" s="6"/>
      <c r="C50" s="23"/>
      <c r="I50" s="6"/>
      <c r="J50" s="23"/>
      <c r="K50" s="5"/>
      <c r="L50" s="5"/>
      <c r="M50" s="5"/>
      <c r="P50" s="6"/>
      <c r="Q50" s="23"/>
      <c r="R50" s="5"/>
      <c r="S50" s="5"/>
      <c r="T50" s="5"/>
    </row>
    <row r="51" spans="2:21" x14ac:dyDescent="0.3">
      <c r="B51" s="103" t="s">
        <v>33</v>
      </c>
      <c r="C51" s="11" t="s">
        <v>23</v>
      </c>
      <c r="D51" s="12">
        <f>GETPIVOTDATA("Sum of AM FIELD",'Pivot Table'!$A$40,"DAY","Fri")</f>
        <v>385</v>
      </c>
      <c r="E51" s="12">
        <f>SUM(108+104+108+108)</f>
        <v>428</v>
      </c>
      <c r="F51" s="13">
        <f t="shared" ref="F51:F52" si="11">SUM(D51/E51)</f>
        <v>0.89953271028037385</v>
      </c>
      <c r="G51" s="14"/>
      <c r="I51" s="103" t="s">
        <v>33</v>
      </c>
      <c r="J51" s="11" t="s">
        <v>23</v>
      </c>
      <c r="K51" s="12">
        <f>GETPIVOTDATA("Sum of AM FIELD",'Pivot Table'!$A$52,"DAY","Fri")</f>
        <v>498</v>
      </c>
      <c r="L51" s="12">
        <f>SUM(104+120+108+108+108)</f>
        <v>548</v>
      </c>
      <c r="M51" s="13">
        <f t="shared" ref="M51:M52" si="12">SUM(K51/L51)</f>
        <v>0.90875912408759119</v>
      </c>
      <c r="N51" s="14"/>
      <c r="P51" s="103" t="s">
        <v>33</v>
      </c>
      <c r="Q51" s="11" t="s">
        <v>23</v>
      </c>
      <c r="R51" s="12">
        <f>GETPIVOTDATA("Sum of AM FIELD",'Pivot Table'!$A$64,"DAY","Fri")</f>
        <v>346</v>
      </c>
      <c r="S51" s="12">
        <f>SUM(108+108+108+108)</f>
        <v>432</v>
      </c>
      <c r="T51" s="13">
        <f>SUM(R51/S51)</f>
        <v>0.80092592592592593</v>
      </c>
      <c r="U51" s="14"/>
    </row>
    <row r="52" spans="2:21" ht="17.25" thickBot="1" x14ac:dyDescent="0.35">
      <c r="B52" s="104"/>
      <c r="C52" s="15" t="s">
        <v>24</v>
      </c>
      <c r="D52" s="16">
        <f>GETPIVOTDATA("Sum of PM FIELD",'Pivot Table'!$A$40,"DAY","Fri")</f>
        <v>297</v>
      </c>
      <c r="E52" s="16">
        <f>SUM(88+56+88+88)</f>
        <v>320</v>
      </c>
      <c r="F52" s="17">
        <f t="shared" si="11"/>
        <v>0.92812499999999998</v>
      </c>
      <c r="G52" s="18"/>
      <c r="I52" s="104"/>
      <c r="J52" s="15" t="s">
        <v>24</v>
      </c>
      <c r="K52" s="16">
        <f>GETPIVOTDATA("Sum of PM FIELD",'Pivot Table'!$A$52,"DAY","Fri")</f>
        <v>367</v>
      </c>
      <c r="L52" s="16">
        <f>SUM(88+104+92+88+88)</f>
        <v>460</v>
      </c>
      <c r="M52" s="17">
        <f t="shared" si="12"/>
        <v>0.79782608695652169</v>
      </c>
      <c r="N52" s="18"/>
      <c r="P52" s="104"/>
      <c r="Q52" s="15" t="s">
        <v>24</v>
      </c>
      <c r="R52" s="16">
        <f>GETPIVOTDATA("Sum of PM FIELD",'Pivot Table'!$A$64,"DAY","Fri")</f>
        <v>258</v>
      </c>
      <c r="S52" s="16">
        <f>SUM(88+88+88+88)</f>
        <v>352</v>
      </c>
      <c r="T52" s="17">
        <f>SUM(R52/S52)</f>
        <v>0.73295454545454541</v>
      </c>
      <c r="U52" s="18"/>
    </row>
    <row r="53" spans="2:21" ht="18" thickTop="1" thickBot="1" x14ac:dyDescent="0.35">
      <c r="B53" s="86" t="s">
        <v>25</v>
      </c>
      <c r="C53" s="25"/>
      <c r="D53" s="26">
        <f>SUM(D50:D52)</f>
        <v>682</v>
      </c>
      <c r="E53" s="26">
        <f>SUM(E50:E52)</f>
        <v>748</v>
      </c>
      <c r="F53" s="27">
        <f>SUM(D53/E53)</f>
        <v>0.91176470588235292</v>
      </c>
      <c r="G53" s="28"/>
      <c r="I53" s="86" t="s">
        <v>25</v>
      </c>
      <c r="J53" s="25"/>
      <c r="K53" s="26">
        <f>SUM(K50:K52)</f>
        <v>865</v>
      </c>
      <c r="L53" s="26">
        <f>SUM(L50:L52)</f>
        <v>1008</v>
      </c>
      <c r="M53" s="27">
        <f>SUM(K53/L53)</f>
        <v>0.85813492063492058</v>
      </c>
      <c r="N53" s="28"/>
      <c r="P53" s="86" t="s">
        <v>25</v>
      </c>
      <c r="Q53" s="25"/>
      <c r="R53" s="26">
        <f>SUM(R50:R52)</f>
        <v>604</v>
      </c>
      <c r="S53" s="26">
        <f>SUM(S50:S52)</f>
        <v>784</v>
      </c>
      <c r="T53" s="27">
        <f>SUM(R53/S53)</f>
        <v>0.77040816326530615</v>
      </c>
      <c r="U53" s="28"/>
    </row>
    <row r="54" spans="2:21" ht="17.25" thickBot="1" x14ac:dyDescent="0.35">
      <c r="B54" s="6"/>
      <c r="C54" s="23"/>
      <c r="I54" s="6"/>
      <c r="J54" s="23"/>
      <c r="K54" s="5"/>
      <c r="L54" s="5"/>
      <c r="M54" s="5"/>
      <c r="P54" s="6"/>
      <c r="Q54" s="23"/>
      <c r="R54" s="5"/>
      <c r="S54" s="5"/>
      <c r="T54" s="5"/>
    </row>
    <row r="55" spans="2:21" x14ac:dyDescent="0.3">
      <c r="B55" s="103" t="s">
        <v>35</v>
      </c>
      <c r="C55" s="11" t="s">
        <v>23</v>
      </c>
      <c r="D55" s="12">
        <f>GETPIVOTDATA("Sum of AM FIELD",'Pivot Table'!$A$40,"DAY","Sat")</f>
        <v>324</v>
      </c>
      <c r="E55" s="12">
        <f>SUM(80+108+96+76)</f>
        <v>360</v>
      </c>
      <c r="F55" s="13">
        <f t="shared" ref="F55:F56" si="13">SUM(D55/E55)</f>
        <v>0.9</v>
      </c>
      <c r="G55" s="14"/>
      <c r="I55" s="103" t="s">
        <v>35</v>
      </c>
      <c r="J55" s="11" t="s">
        <v>23</v>
      </c>
      <c r="K55" s="12">
        <f>GETPIVOTDATA("Sum of AM FIELD",'Pivot Table'!$A$52,"DAY","Sat")</f>
        <v>356</v>
      </c>
      <c r="L55" s="12">
        <f>SUM(112+104+96+88)</f>
        <v>400</v>
      </c>
      <c r="M55" s="13">
        <f t="shared" ref="M55:M56" si="14">SUM(K55/L55)</f>
        <v>0.89</v>
      </c>
      <c r="N55" s="14"/>
      <c r="P55" s="103" t="s">
        <v>35</v>
      </c>
      <c r="Q55" s="11" t="s">
        <v>23</v>
      </c>
      <c r="R55" s="12">
        <f>GETPIVOTDATA("Sum of AM FIELD",'Pivot Table'!$A$64,"DAY","Sat")</f>
        <v>356</v>
      </c>
      <c r="S55" s="12">
        <f>SUM(88+88+88+72+80)</f>
        <v>416</v>
      </c>
      <c r="T55" s="13">
        <f>SUM(R55/S55)</f>
        <v>0.85576923076923073</v>
      </c>
      <c r="U55" s="14"/>
    </row>
    <row r="56" spans="2:21" ht="17.25" thickBot="1" x14ac:dyDescent="0.35">
      <c r="B56" s="104"/>
      <c r="C56" s="15" t="s">
        <v>24</v>
      </c>
      <c r="D56" s="16">
        <f>GETPIVOTDATA("Sum of PM FIELD",'Pivot Table'!$A$40,"DAY","Sat")</f>
        <v>287</v>
      </c>
      <c r="E56" s="16">
        <f>SUM(88+92+90+88)</f>
        <v>358</v>
      </c>
      <c r="F56" s="17">
        <f t="shared" si="13"/>
        <v>0.8016759776536313</v>
      </c>
      <c r="G56" s="18"/>
      <c r="I56" s="104"/>
      <c r="J56" s="15" t="s">
        <v>24</v>
      </c>
      <c r="K56" s="16">
        <f>GETPIVOTDATA("Sum of PM FIELD",'Pivot Table'!$A$52,"DAY","Sat")</f>
        <v>295</v>
      </c>
      <c r="L56" s="16">
        <f>SUM(96+88+88+88)</f>
        <v>360</v>
      </c>
      <c r="M56" s="17">
        <f t="shared" si="14"/>
        <v>0.81944444444444442</v>
      </c>
      <c r="N56" s="18"/>
      <c r="P56" s="104"/>
      <c r="Q56" s="15" t="s">
        <v>24</v>
      </c>
      <c r="R56" s="16">
        <f>GETPIVOTDATA("Sum of PM FIELD",'Pivot Table'!$A$64,"DAY","Sat")</f>
        <v>251</v>
      </c>
      <c r="S56" s="16">
        <f>SUM(80+88+88+80+88)</f>
        <v>424</v>
      </c>
      <c r="T56" s="17">
        <f>SUM(R56/S56)</f>
        <v>0.59198113207547165</v>
      </c>
      <c r="U56" s="18"/>
    </row>
    <row r="57" spans="2:21" ht="18" thickTop="1" thickBot="1" x14ac:dyDescent="0.35">
      <c r="B57" s="86" t="s">
        <v>25</v>
      </c>
      <c r="C57" s="25"/>
      <c r="D57" s="26">
        <f>SUM(D54:D56)</f>
        <v>611</v>
      </c>
      <c r="E57" s="26">
        <f>SUM(E55:E56)</f>
        <v>718</v>
      </c>
      <c r="F57" s="27">
        <f>SUM(D57/E57)</f>
        <v>0.85097493036211702</v>
      </c>
      <c r="G57" s="28"/>
      <c r="I57" s="86" t="s">
        <v>25</v>
      </c>
      <c r="J57" s="25"/>
      <c r="K57" s="26">
        <f>SUM(K54:K56)</f>
        <v>651</v>
      </c>
      <c r="L57" s="26">
        <f>SUM(L54:L56)</f>
        <v>760</v>
      </c>
      <c r="M57" s="27">
        <f>SUM(K57/L57)</f>
        <v>0.85657894736842111</v>
      </c>
      <c r="N57" s="28"/>
      <c r="P57" s="86" t="s">
        <v>25</v>
      </c>
      <c r="Q57" s="25"/>
      <c r="R57" s="26">
        <f>SUM(R54:R56)</f>
        <v>607</v>
      </c>
      <c r="S57" s="26">
        <f>SUM(S54:S56)</f>
        <v>840</v>
      </c>
      <c r="T57" s="27">
        <f>SUM(R57/S57)</f>
        <v>0.72261904761904761</v>
      </c>
      <c r="U57" s="28"/>
    </row>
    <row r="58" spans="2:21" ht="17.25" thickBot="1" x14ac:dyDescent="0.35">
      <c r="B58" s="6"/>
      <c r="C58" s="23"/>
      <c r="F58" s="29"/>
      <c r="I58" s="6"/>
      <c r="J58" s="23"/>
      <c r="K58" s="5"/>
      <c r="L58" s="5"/>
      <c r="M58" s="29"/>
      <c r="P58" s="6"/>
      <c r="Q58" s="23"/>
      <c r="R58" s="5"/>
      <c r="S58" s="5"/>
      <c r="T58" s="29"/>
    </row>
    <row r="59" spans="2:21" x14ac:dyDescent="0.3">
      <c r="B59" s="103" t="s">
        <v>37</v>
      </c>
      <c r="C59" s="11" t="s">
        <v>23</v>
      </c>
      <c r="D59" s="12">
        <f>GETPIVOTDATA("Sum of AM FIELD",'Pivot Table'!$A$40,"DAY","Sun")</f>
        <v>348</v>
      </c>
      <c r="E59" s="12">
        <f>SUM(104+56+104+104)</f>
        <v>368</v>
      </c>
      <c r="F59" s="13">
        <f t="shared" ref="F59:F60" si="15">SUM(D59/E59)</f>
        <v>0.94565217391304346</v>
      </c>
      <c r="G59" s="14"/>
      <c r="I59" s="103" t="s">
        <v>37</v>
      </c>
      <c r="J59" s="11" t="s">
        <v>23</v>
      </c>
      <c r="K59" s="12">
        <f>GETPIVOTDATA("Sum of AM FIELD",'Pivot Table'!$A$52,"DAY","Sun")</f>
        <v>354</v>
      </c>
      <c r="L59" s="12">
        <f>SUM(104+104+96+88)</f>
        <v>392</v>
      </c>
      <c r="M59" s="13">
        <f t="shared" ref="M59:M60" si="16">SUM(K59/L59)</f>
        <v>0.90306122448979587</v>
      </c>
      <c r="N59" s="14"/>
      <c r="P59" s="103" t="s">
        <v>37</v>
      </c>
      <c r="Q59" s="11" t="s">
        <v>23</v>
      </c>
      <c r="R59" s="12">
        <f>GETPIVOTDATA("Sum of AM FIELD",'Pivot Table'!$A$64,"DAY","Sun")</f>
        <v>393</v>
      </c>
      <c r="S59" s="12">
        <f>SUM(88+88+88+88+88)</f>
        <v>440</v>
      </c>
      <c r="T59" s="13">
        <f>SUM(R59/S59)</f>
        <v>0.89318181818181819</v>
      </c>
      <c r="U59" s="14"/>
    </row>
    <row r="60" spans="2:21" ht="17.25" thickBot="1" x14ac:dyDescent="0.35">
      <c r="B60" s="104"/>
      <c r="C60" s="15" t="s">
        <v>24</v>
      </c>
      <c r="D60" s="16">
        <f>GETPIVOTDATA("Sum of PM FIELD",'Pivot Table'!$A$40,"DAY","Sun")</f>
        <v>312</v>
      </c>
      <c r="E60" s="16">
        <f>SUM(96+80+96+96)</f>
        <v>368</v>
      </c>
      <c r="F60" s="17">
        <f t="shared" si="15"/>
        <v>0.84782608695652173</v>
      </c>
      <c r="G60" s="18"/>
      <c r="I60" s="104"/>
      <c r="J60" s="15" t="s">
        <v>24</v>
      </c>
      <c r="K60" s="16">
        <f>GETPIVOTDATA("Sum of PM FIELD",'Pivot Table'!$A$52,"DAY","Sun")</f>
        <v>359</v>
      </c>
      <c r="L60" s="16">
        <f>SUM(104+96+96+100)</f>
        <v>396</v>
      </c>
      <c r="M60" s="17">
        <f t="shared" si="16"/>
        <v>0.90656565656565657</v>
      </c>
      <c r="N60" s="18"/>
      <c r="P60" s="104"/>
      <c r="Q60" s="15" t="s">
        <v>24</v>
      </c>
      <c r="R60" s="16">
        <f>GETPIVOTDATA("Sum of PM FIELD",'Pivot Table'!$A$64,"DAY","Sun")</f>
        <v>399</v>
      </c>
      <c r="S60" s="16">
        <f>SUM(96+88+104+96+88)</f>
        <v>472</v>
      </c>
      <c r="T60" s="17">
        <f>SUM(R60/S60)</f>
        <v>0.84533898305084743</v>
      </c>
      <c r="U60" s="18"/>
    </row>
    <row r="61" spans="2:21" ht="18" thickTop="1" thickBot="1" x14ac:dyDescent="0.35">
      <c r="B61" s="86" t="s">
        <v>25</v>
      </c>
      <c r="C61" s="25"/>
      <c r="D61" s="26">
        <f>SUM(D58:D60)</f>
        <v>660</v>
      </c>
      <c r="E61" s="26">
        <f>SUM(E58:E60)</f>
        <v>736</v>
      </c>
      <c r="F61" s="27">
        <f>SUM(D61/E61)</f>
        <v>0.89673913043478259</v>
      </c>
      <c r="G61" s="28"/>
      <c r="I61" s="86" t="s">
        <v>25</v>
      </c>
      <c r="J61" s="25"/>
      <c r="K61" s="26">
        <f>SUM(K58:K60)</f>
        <v>713</v>
      </c>
      <c r="L61" s="26">
        <f>SUM(L58:L60)</f>
        <v>788</v>
      </c>
      <c r="M61" s="27">
        <f>SUM(K61/L61)</f>
        <v>0.90482233502538068</v>
      </c>
      <c r="N61" s="28"/>
      <c r="P61" s="86" t="s">
        <v>25</v>
      </c>
      <c r="Q61" s="25"/>
      <c r="R61" s="26">
        <f>SUM(R58:R60)</f>
        <v>792</v>
      </c>
      <c r="S61" s="26">
        <f>SUM(S58:S60)</f>
        <v>912</v>
      </c>
      <c r="T61" s="27">
        <f>SUM(R61/S61)</f>
        <v>0.86842105263157898</v>
      </c>
      <c r="U61" s="28"/>
    </row>
    <row r="64" spans="2:21" ht="45" x14ac:dyDescent="0.4">
      <c r="B64" s="1" t="s">
        <v>13</v>
      </c>
      <c r="C64" s="7"/>
      <c r="D64" s="8" t="s">
        <v>18</v>
      </c>
      <c r="E64" s="8" t="s">
        <v>19</v>
      </c>
      <c r="F64" s="8" t="s">
        <v>20</v>
      </c>
      <c r="G64" s="7" t="s">
        <v>21</v>
      </c>
      <c r="I64" s="1" t="s">
        <v>14</v>
      </c>
      <c r="J64" s="7"/>
      <c r="K64" s="8" t="s">
        <v>18</v>
      </c>
      <c r="L64" s="8" t="s">
        <v>19</v>
      </c>
      <c r="M64" s="8" t="s">
        <v>20</v>
      </c>
      <c r="N64" s="7" t="s">
        <v>21</v>
      </c>
      <c r="P64" s="1" t="s">
        <v>15</v>
      </c>
      <c r="Q64" s="7"/>
      <c r="R64" s="8" t="s">
        <v>18</v>
      </c>
      <c r="S64" s="8" t="s">
        <v>19</v>
      </c>
      <c r="T64" s="8" t="s">
        <v>20</v>
      </c>
      <c r="U64" s="7" t="s">
        <v>21</v>
      </c>
    </row>
    <row r="65" spans="2:21" ht="17.25" thickBot="1" x14ac:dyDescent="0.35">
      <c r="K65" s="5"/>
      <c r="L65" s="5"/>
      <c r="M65" s="5"/>
      <c r="Q65" s="2"/>
      <c r="R65" s="5"/>
      <c r="S65" s="5"/>
      <c r="T65" s="5"/>
    </row>
    <row r="66" spans="2:21" x14ac:dyDescent="0.3">
      <c r="B66" s="103" t="s">
        <v>22</v>
      </c>
      <c r="C66" s="11" t="s">
        <v>23</v>
      </c>
      <c r="D66" s="12">
        <f>GETPIVOTDATA("Sum of AM FIELD",'Pivot Table'!$A$76,"DAY","Mon")</f>
        <v>169</v>
      </c>
      <c r="E66" s="12">
        <f>SUM(60+88+0+88+88)</f>
        <v>324</v>
      </c>
      <c r="F66" s="13">
        <f>SUM(D66/E66)</f>
        <v>0.52160493827160492</v>
      </c>
      <c r="G66" s="14"/>
      <c r="I66" s="103" t="s">
        <v>22</v>
      </c>
      <c r="J66" s="11" t="s">
        <v>23</v>
      </c>
      <c r="K66" s="12">
        <f>GETPIVOTDATA("Sum of AM FIELD",'Pivot Table'!$A$88,"DAY","Mon")</f>
        <v>113</v>
      </c>
      <c r="L66" s="12">
        <f>SUM(88+88+88+0)</f>
        <v>264</v>
      </c>
      <c r="M66" s="13">
        <f>SUM(K66/L66)</f>
        <v>0.42803030303030304</v>
      </c>
      <c r="N66" s="14"/>
      <c r="P66" s="103" t="s">
        <v>22</v>
      </c>
      <c r="Q66" s="11" t="s">
        <v>23</v>
      </c>
      <c r="R66" s="12">
        <f>GETPIVOTDATA("Sum of AM FIELD",'Pivot Table'!$A$100,"DAY","Mon")</f>
        <v>170</v>
      </c>
      <c r="S66" s="12">
        <f>SUM(88+0+88+88+88)</f>
        <v>352</v>
      </c>
      <c r="T66" s="13">
        <f>SUM(R66/S66)</f>
        <v>0.48295454545454547</v>
      </c>
      <c r="U66" s="14"/>
    </row>
    <row r="67" spans="2:21" ht="17.25" thickBot="1" x14ac:dyDescent="0.35">
      <c r="B67" s="104"/>
      <c r="C67" s="15" t="s">
        <v>24</v>
      </c>
      <c r="D67" s="16">
        <f>GETPIVOTDATA("Sum of PM FIELD",'Pivot Table'!$A$76,"DAY","Mon")</f>
        <v>307</v>
      </c>
      <c r="E67" s="16">
        <f>SUM(80+80+80+80+80)</f>
        <v>400</v>
      </c>
      <c r="F67" s="17">
        <f>SUM(D67/E67)</f>
        <v>0.76749999999999996</v>
      </c>
      <c r="G67" s="18"/>
      <c r="I67" s="104"/>
      <c r="J67" s="15" t="s">
        <v>24</v>
      </c>
      <c r="K67" s="16">
        <f>GETPIVOTDATA("Sum of PM FIELD",'Pivot Table'!$A$88,"DAY","Mon")</f>
        <v>238</v>
      </c>
      <c r="L67" s="16">
        <f>SUM(80+80+80+80)</f>
        <v>320</v>
      </c>
      <c r="M67" s="17">
        <f>SUM(K67/L67)</f>
        <v>0.74375000000000002</v>
      </c>
      <c r="N67" s="18"/>
      <c r="P67" s="104"/>
      <c r="Q67" s="15" t="s">
        <v>24</v>
      </c>
      <c r="R67" s="16">
        <f>GETPIVOTDATA("Sum of PM FIELD",'Pivot Table'!$A$100,"DAY","Mon")</f>
        <v>341</v>
      </c>
      <c r="S67" s="16">
        <f>SUM(84+80+88+88+84)</f>
        <v>424</v>
      </c>
      <c r="T67" s="17">
        <f>SUM(R67/S67)</f>
        <v>0.80424528301886788</v>
      </c>
      <c r="U67" s="18"/>
    </row>
    <row r="68" spans="2:21" ht="18" thickTop="1" thickBot="1" x14ac:dyDescent="0.35">
      <c r="B68" s="86" t="s">
        <v>25</v>
      </c>
      <c r="C68" s="19"/>
      <c r="D68" s="20">
        <f>SUM(D65:D67)</f>
        <v>476</v>
      </c>
      <c r="E68" s="26">
        <f>SUM(E66:E67)</f>
        <v>724</v>
      </c>
      <c r="F68" s="21">
        <f>SUM(D68/E68)</f>
        <v>0.65745856353591159</v>
      </c>
      <c r="G68" s="22"/>
      <c r="I68" s="86" t="s">
        <v>25</v>
      </c>
      <c r="J68" s="19"/>
      <c r="K68" s="20">
        <f>SUM(K65:K67)</f>
        <v>351</v>
      </c>
      <c r="L68" s="26">
        <f>SUM(L66:L67)</f>
        <v>584</v>
      </c>
      <c r="M68" s="21">
        <f>SUM(K68/L68)</f>
        <v>0.60102739726027399</v>
      </c>
      <c r="N68" s="22"/>
      <c r="P68" s="86" t="s">
        <v>25</v>
      </c>
      <c r="Q68" s="19"/>
      <c r="R68" s="20">
        <f>SUM(R65:R67)</f>
        <v>511</v>
      </c>
      <c r="S68" s="26">
        <f>SUM(S66:S67)</f>
        <v>776</v>
      </c>
      <c r="T68" s="21">
        <f>SUM(R68/S68)</f>
        <v>0.65850515463917525</v>
      </c>
      <c r="U68" s="22"/>
    </row>
    <row r="69" spans="2:21" ht="17.25" thickBot="1" x14ac:dyDescent="0.35">
      <c r="B69" s="6"/>
      <c r="C69" s="23"/>
      <c r="I69" s="6"/>
      <c r="J69" s="23"/>
      <c r="K69" s="5"/>
      <c r="L69" s="5"/>
      <c r="M69" s="5"/>
      <c r="P69" s="6"/>
      <c r="Q69" s="23"/>
      <c r="R69" s="5"/>
      <c r="S69" s="5"/>
      <c r="T69" s="5"/>
    </row>
    <row r="70" spans="2:21" x14ac:dyDescent="0.3">
      <c r="B70" s="103" t="s">
        <v>27</v>
      </c>
      <c r="C70" s="11" t="s">
        <v>23</v>
      </c>
      <c r="D70" s="12">
        <f>GETPIVOTDATA("Sum of AM FIELD",'Pivot Table'!$A$76,"DAY","Tue")</f>
        <v>331</v>
      </c>
      <c r="E70" s="12">
        <f>SUM(112+112+112+112+112)</f>
        <v>560</v>
      </c>
      <c r="F70" s="13">
        <f>SUM(D70/E70)</f>
        <v>0.59107142857142858</v>
      </c>
      <c r="G70" s="14"/>
      <c r="I70" s="103" t="s">
        <v>27</v>
      </c>
      <c r="J70" s="11" t="s">
        <v>23</v>
      </c>
      <c r="K70" s="12">
        <f>GETPIVOTDATA("Sum of AM FIELD",'Pivot Table'!$A$88,"DAY","Tue")</f>
        <v>316</v>
      </c>
      <c r="L70" s="12">
        <f>SUM(112+100+112+112)</f>
        <v>436</v>
      </c>
      <c r="M70" s="13">
        <f>SUM(K70/L70)</f>
        <v>0.72477064220183485</v>
      </c>
      <c r="N70" s="14"/>
      <c r="P70" s="103" t="s">
        <v>27</v>
      </c>
      <c r="Q70" s="11" t="s">
        <v>23</v>
      </c>
      <c r="R70" s="12">
        <f>GETPIVOTDATA("Sum of AM FIELD",'Pivot Table'!$A$100,"DAY","Tue")</f>
        <v>327</v>
      </c>
      <c r="S70" s="12">
        <f>SUM(84+108+112+112)</f>
        <v>416</v>
      </c>
      <c r="T70" s="13">
        <f>SUM(R70/S70)</f>
        <v>0.78605769230769229</v>
      </c>
      <c r="U70" s="14"/>
    </row>
    <row r="71" spans="2:21" ht="17.25" thickBot="1" x14ac:dyDescent="0.35">
      <c r="B71" s="104"/>
      <c r="C71" s="15" t="s">
        <v>24</v>
      </c>
      <c r="D71" s="16">
        <f>GETPIVOTDATA("Sum of PM FIELD",'Pivot Table'!$A$76,"DAY","Tue")</f>
        <v>133</v>
      </c>
      <c r="E71" s="16">
        <f>SUM(84+84+80+80+80)</f>
        <v>408</v>
      </c>
      <c r="F71" s="17">
        <f>SUM(D71/E71)</f>
        <v>0.32598039215686275</v>
      </c>
      <c r="G71" s="18"/>
      <c r="I71" s="104"/>
      <c r="J71" s="15" t="s">
        <v>24</v>
      </c>
      <c r="K71" s="16">
        <f>GETPIVOTDATA("Sum of PM FIELD",'Pivot Table'!$A$88,"DAY","Tue")</f>
        <v>118</v>
      </c>
      <c r="L71" s="16">
        <f>SUM(88+88+88+88)</f>
        <v>352</v>
      </c>
      <c r="M71" s="17">
        <f>SUM(K71/L71)</f>
        <v>0.33522727272727271</v>
      </c>
      <c r="N71" s="18"/>
      <c r="P71" s="104"/>
      <c r="Q71" s="15" t="s">
        <v>24</v>
      </c>
      <c r="R71" s="16">
        <f>GETPIVOTDATA("Sum of PM FIELD",'Pivot Table'!$A$100,"DAY","Tue")</f>
        <v>115</v>
      </c>
      <c r="S71" s="16">
        <f>SUM(8+84+80+80)</f>
        <v>252</v>
      </c>
      <c r="T71" s="17">
        <f>SUM(R71/S71)</f>
        <v>0.45634920634920634</v>
      </c>
      <c r="U71" s="18"/>
    </row>
    <row r="72" spans="2:21" ht="18" thickTop="1" thickBot="1" x14ac:dyDescent="0.35">
      <c r="B72" s="86" t="s">
        <v>25</v>
      </c>
      <c r="C72" s="25"/>
      <c r="D72" s="26">
        <f>SUM(D69:D71)</f>
        <v>464</v>
      </c>
      <c r="E72" s="26">
        <f>SUM(E70:E71)</f>
        <v>968</v>
      </c>
      <c r="F72" s="27">
        <f>SUM(D72/E72)</f>
        <v>0.47933884297520662</v>
      </c>
      <c r="G72" s="28"/>
      <c r="I72" s="86" t="s">
        <v>25</v>
      </c>
      <c r="J72" s="25"/>
      <c r="K72" s="26">
        <f>SUM(K69:K71)</f>
        <v>434</v>
      </c>
      <c r="L72" s="26">
        <f>SUM(L70:L71)</f>
        <v>788</v>
      </c>
      <c r="M72" s="27">
        <f>SUM(K72/L72)</f>
        <v>0.550761421319797</v>
      </c>
      <c r="N72" s="28"/>
      <c r="P72" s="86" t="s">
        <v>25</v>
      </c>
      <c r="Q72" s="25"/>
      <c r="R72" s="26">
        <f>SUM(R69:R71)</f>
        <v>442</v>
      </c>
      <c r="S72" s="26">
        <f>SUM(S70:S71)</f>
        <v>668</v>
      </c>
      <c r="T72" s="27">
        <f>SUM(R72/S72)</f>
        <v>0.66167664670658688</v>
      </c>
      <c r="U72" s="28"/>
    </row>
    <row r="73" spans="2:21" ht="17.25" thickBot="1" x14ac:dyDescent="0.35">
      <c r="B73" s="6"/>
      <c r="C73" s="23"/>
      <c r="I73" s="6"/>
      <c r="J73" s="23"/>
      <c r="K73" s="5"/>
      <c r="L73" s="5"/>
      <c r="M73" s="5"/>
      <c r="P73" s="6"/>
      <c r="Q73" s="23"/>
      <c r="R73" s="5"/>
      <c r="S73" s="5"/>
      <c r="T73" s="5"/>
    </row>
    <row r="74" spans="2:21" x14ac:dyDescent="0.3">
      <c r="B74" s="103" t="s">
        <v>29</v>
      </c>
      <c r="C74" s="11" t="s">
        <v>23</v>
      </c>
      <c r="D74" s="12">
        <f>GETPIVOTDATA("Sum of AM FIELD",'Pivot Table'!$A$76,"DAY","Wed")</f>
        <v>284</v>
      </c>
      <c r="E74" s="12">
        <f>SUM(80+96+104+108+108)</f>
        <v>496</v>
      </c>
      <c r="F74" s="13">
        <f>SUM(D74/E74)</f>
        <v>0.57258064516129037</v>
      </c>
      <c r="G74" s="14"/>
      <c r="I74" s="103" t="s">
        <v>29</v>
      </c>
      <c r="J74" s="11" t="s">
        <v>23</v>
      </c>
      <c r="K74" s="12">
        <f>GETPIVOTDATA("Sum of AM FIELD",'Pivot Table'!$A$88,"DAY","Wed")</f>
        <v>230</v>
      </c>
      <c r="L74" s="12">
        <f>SUM(108+108+92+112)</f>
        <v>420</v>
      </c>
      <c r="M74" s="13">
        <f>SUM(K74/L74)</f>
        <v>0.54761904761904767</v>
      </c>
      <c r="N74" s="14"/>
      <c r="P74" s="103" t="s">
        <v>29</v>
      </c>
      <c r="Q74" s="11" t="s">
        <v>23</v>
      </c>
      <c r="R74" s="12">
        <f>GETPIVOTDATA("Sum of AM FIELD",'Pivot Table'!$A$100,"DAY","Wed")</f>
        <v>363</v>
      </c>
      <c r="S74" s="12">
        <f>SUM(112+104+112+84)</f>
        <v>412</v>
      </c>
      <c r="T74" s="13">
        <f>SUM(R74/S74)</f>
        <v>0.8810679611650486</v>
      </c>
      <c r="U74" s="14"/>
    </row>
    <row r="75" spans="2:21" ht="17.25" thickBot="1" x14ac:dyDescent="0.35">
      <c r="B75" s="104"/>
      <c r="C75" s="15" t="s">
        <v>24</v>
      </c>
      <c r="D75" s="16">
        <f>GETPIVOTDATA("Sum of PM FIELD",'Pivot Table'!$A$76,"DAY","Wed")</f>
        <v>269</v>
      </c>
      <c r="E75" s="16">
        <f>SUM(96+64+100+88+88)</f>
        <v>436</v>
      </c>
      <c r="F75" s="17">
        <f>SUM(D75/E75)</f>
        <v>0.6169724770642202</v>
      </c>
      <c r="G75" s="18"/>
      <c r="I75" s="104"/>
      <c r="J75" s="15" t="s">
        <v>24</v>
      </c>
      <c r="K75" s="16">
        <f>GETPIVOTDATA("Sum of PM FIELD",'Pivot Table'!$A$88,"DAY","Wed")</f>
        <v>176</v>
      </c>
      <c r="L75" s="16">
        <f>SUM(88+88+104+96)</f>
        <v>376</v>
      </c>
      <c r="M75" s="17">
        <f>SUM(K75/L75)</f>
        <v>0.46808510638297873</v>
      </c>
      <c r="N75" s="18"/>
      <c r="P75" s="104"/>
      <c r="Q75" s="15" t="s">
        <v>24</v>
      </c>
      <c r="R75" s="16">
        <f>GETPIVOTDATA("Sum of PM FIELD",'Pivot Table'!$A$100,"DAY","Wed")</f>
        <v>239</v>
      </c>
      <c r="S75" s="16">
        <f>SUM(92+96+100+104)</f>
        <v>392</v>
      </c>
      <c r="T75" s="17">
        <f>SUM(R75/S75)</f>
        <v>0.60969387755102045</v>
      </c>
      <c r="U75" s="18"/>
    </row>
    <row r="76" spans="2:21" ht="18" thickTop="1" thickBot="1" x14ac:dyDescent="0.35">
      <c r="B76" s="86" t="s">
        <v>25</v>
      </c>
      <c r="C76" s="25"/>
      <c r="D76" s="26">
        <f>SUM(D73:D75)</f>
        <v>553</v>
      </c>
      <c r="E76" s="26">
        <f>SUM(E74:E75)</f>
        <v>932</v>
      </c>
      <c r="F76" s="27">
        <f>SUM(D76/E76)</f>
        <v>0.5933476394849786</v>
      </c>
      <c r="G76" s="28"/>
      <c r="I76" s="86" t="s">
        <v>25</v>
      </c>
      <c r="J76" s="25"/>
      <c r="K76" s="26">
        <f>SUM(K73:K75)</f>
        <v>406</v>
      </c>
      <c r="L76" s="26">
        <f>SUM(L74:L75)</f>
        <v>796</v>
      </c>
      <c r="M76" s="27">
        <f>SUM(K76/L76)</f>
        <v>0.51005025125628145</v>
      </c>
      <c r="N76" s="28"/>
      <c r="P76" s="86" t="s">
        <v>25</v>
      </c>
      <c r="Q76" s="25"/>
      <c r="R76" s="26">
        <f>SUM(R73:R75)</f>
        <v>602</v>
      </c>
      <c r="S76" s="26">
        <f>SUM(S74:S75)</f>
        <v>804</v>
      </c>
      <c r="T76" s="27">
        <f>SUM(R76/S76)</f>
        <v>0.74875621890547261</v>
      </c>
      <c r="U76" s="28"/>
    </row>
    <row r="77" spans="2:21" ht="17.25" thickBot="1" x14ac:dyDescent="0.35">
      <c r="B77" s="6"/>
      <c r="C77" s="23"/>
      <c r="I77" s="6"/>
      <c r="J77" s="23"/>
      <c r="K77" s="5"/>
      <c r="L77" s="5"/>
      <c r="M77" s="5"/>
      <c r="P77" s="6"/>
      <c r="Q77" s="23"/>
      <c r="R77" s="5"/>
      <c r="S77" s="5"/>
      <c r="T77" s="5"/>
    </row>
    <row r="78" spans="2:21" x14ac:dyDescent="0.3">
      <c r="B78" s="103" t="s">
        <v>31</v>
      </c>
      <c r="C78" s="11" t="s">
        <v>23</v>
      </c>
      <c r="D78" s="12">
        <f>GETPIVOTDATA("Sum of AM FIELD",'Pivot Table'!$A$76,"DAY","Thu")</f>
        <v>252</v>
      </c>
      <c r="E78" s="12">
        <f>SUM(80+80+80+80)</f>
        <v>320</v>
      </c>
      <c r="F78" s="13">
        <f>SUM(D78/E78)</f>
        <v>0.78749999999999998</v>
      </c>
      <c r="G78" s="14"/>
      <c r="I78" s="103" t="s">
        <v>31</v>
      </c>
      <c r="J78" s="11" t="s">
        <v>23</v>
      </c>
      <c r="K78" s="12">
        <f>GETPIVOTDATA("Sum of AM FIELD",'Pivot Table'!$A$88,"DAY","Thu")</f>
        <v>367</v>
      </c>
      <c r="L78" s="12">
        <f>SUM(80+84+80+80+80)</f>
        <v>404</v>
      </c>
      <c r="M78" s="13">
        <f>SUM(K78/L78)</f>
        <v>0.90841584158415845</v>
      </c>
      <c r="N78" s="14"/>
      <c r="P78" s="103" t="s">
        <v>31</v>
      </c>
      <c r="Q78" s="11" t="s">
        <v>23</v>
      </c>
      <c r="R78" s="12">
        <f>GETPIVOTDATA("Sum of AM FIELD",'Pivot Table'!$A$100,"DAY","Thu")</f>
        <v>285</v>
      </c>
      <c r="S78" s="12">
        <f>SUM(80+80+80+80)</f>
        <v>320</v>
      </c>
      <c r="T78" s="13">
        <f>SUM(R78/S78)</f>
        <v>0.890625</v>
      </c>
      <c r="U78" s="14"/>
    </row>
    <row r="79" spans="2:21" ht="17.25" thickBot="1" x14ac:dyDescent="0.35">
      <c r="B79" s="104"/>
      <c r="C79" s="15" t="s">
        <v>24</v>
      </c>
      <c r="D79" s="16">
        <f>GETPIVOTDATA("Sum of PM FIELD",'Pivot Table'!$A$76,"DAY","Thu")</f>
        <v>265</v>
      </c>
      <c r="E79" s="16">
        <f>SUM(96+96+96+96)</f>
        <v>384</v>
      </c>
      <c r="F79" s="17">
        <f t="shared" ref="F79" si="17">SUM(D79/E79)</f>
        <v>0.69010416666666663</v>
      </c>
      <c r="G79" s="18"/>
      <c r="I79" s="104"/>
      <c r="J79" s="15" t="s">
        <v>24</v>
      </c>
      <c r="K79" s="16">
        <f>GETPIVOTDATA("Sum of PM FIELD",'Pivot Table'!$A$88,"DAY","Thu")</f>
        <v>334</v>
      </c>
      <c r="L79" s="16">
        <f>SUM(96+96+96+96+96)</f>
        <v>480</v>
      </c>
      <c r="M79" s="17">
        <f t="shared" ref="M79" si="18">SUM(K79/L79)</f>
        <v>0.6958333333333333</v>
      </c>
      <c r="N79" s="18"/>
      <c r="P79" s="104"/>
      <c r="Q79" s="15" t="s">
        <v>24</v>
      </c>
      <c r="R79" s="16">
        <f>GETPIVOTDATA("Sum of PM FIELD",'Pivot Table'!$A$100,"DAY","Thu")</f>
        <v>303</v>
      </c>
      <c r="S79" s="16">
        <f>SUM(96+96+96+96)</f>
        <v>384</v>
      </c>
      <c r="T79" s="17">
        <f t="shared" ref="T79" si="19">SUM(R79/S79)</f>
        <v>0.7890625</v>
      </c>
      <c r="U79" s="18"/>
    </row>
    <row r="80" spans="2:21" ht="18" thickTop="1" thickBot="1" x14ac:dyDescent="0.35">
      <c r="B80" s="86" t="s">
        <v>25</v>
      </c>
      <c r="C80" s="25"/>
      <c r="D80" s="26">
        <f>SUM(D77:D79)</f>
        <v>517</v>
      </c>
      <c r="E80" s="26">
        <f>SUM(E78:E79)</f>
        <v>704</v>
      </c>
      <c r="F80" s="27">
        <f>SUM(D80/E80)</f>
        <v>0.734375</v>
      </c>
      <c r="G80" s="28"/>
      <c r="I80" s="86" t="s">
        <v>25</v>
      </c>
      <c r="J80" s="25"/>
      <c r="K80" s="26">
        <f>SUM(K77:K79)</f>
        <v>701</v>
      </c>
      <c r="L80" s="26">
        <f>SUM(L78:L79)</f>
        <v>884</v>
      </c>
      <c r="M80" s="27">
        <f>SUM(K80/L80)</f>
        <v>0.79298642533936647</v>
      </c>
      <c r="N80" s="28"/>
      <c r="P80" s="86" t="s">
        <v>25</v>
      </c>
      <c r="Q80" s="25"/>
      <c r="R80" s="26">
        <f>SUM(R77:R79)</f>
        <v>588</v>
      </c>
      <c r="S80" s="26">
        <f>SUM(S78:S79)</f>
        <v>704</v>
      </c>
      <c r="T80" s="27">
        <f>SUM(R80/S80)</f>
        <v>0.83522727272727271</v>
      </c>
      <c r="U80" s="28"/>
    </row>
    <row r="81" spans="2:21" ht="17.25" thickBot="1" x14ac:dyDescent="0.35">
      <c r="B81" s="6"/>
      <c r="C81" s="23"/>
      <c r="I81" s="6"/>
      <c r="J81" s="23"/>
      <c r="K81" s="5"/>
      <c r="L81" s="5"/>
      <c r="M81" s="5"/>
      <c r="P81" s="6"/>
      <c r="Q81" s="23"/>
      <c r="R81" s="5"/>
      <c r="S81" s="5"/>
      <c r="T81" s="5"/>
    </row>
    <row r="82" spans="2:21" x14ac:dyDescent="0.3">
      <c r="B82" s="103" t="s">
        <v>33</v>
      </c>
      <c r="C82" s="11" t="s">
        <v>23</v>
      </c>
      <c r="D82" s="12">
        <f>GETPIVOTDATA("Sum of AM FIELD",'Pivot Table'!$A$76,"DAY","Fri")</f>
        <v>362</v>
      </c>
      <c r="E82" s="12">
        <f>SUM(104+104+104+104)</f>
        <v>416</v>
      </c>
      <c r="F82" s="13">
        <f t="shared" ref="F82:F83" si="20">SUM(D82/E82)</f>
        <v>0.87019230769230771</v>
      </c>
      <c r="G82" s="14"/>
      <c r="I82" s="103" t="s">
        <v>33</v>
      </c>
      <c r="J82" s="11" t="s">
        <v>23</v>
      </c>
      <c r="K82" s="12">
        <f>GETPIVOTDATA("Sum of AM FIELD",'Pivot Table'!$A$88,"DAY","Fri")</f>
        <v>412</v>
      </c>
      <c r="L82" s="12">
        <f>SUM(108+80+96+108+108)</f>
        <v>500</v>
      </c>
      <c r="M82" s="13">
        <f t="shared" ref="M82:M83" si="21">SUM(K82/L82)</f>
        <v>0.82399999999999995</v>
      </c>
      <c r="N82" s="14"/>
      <c r="P82" s="103" t="s">
        <v>33</v>
      </c>
      <c r="Q82" s="11" t="s">
        <v>23</v>
      </c>
      <c r="R82" s="12">
        <f>GETPIVOTDATA("Sum of AM FIELD",'Pivot Table'!$A$100,"DAY","Fri")</f>
        <v>379</v>
      </c>
      <c r="S82" s="12">
        <f>SUM(108+108+108+104)</f>
        <v>428</v>
      </c>
      <c r="T82" s="13">
        <f t="shared" ref="T82:T83" si="22">SUM(R82/S82)</f>
        <v>0.88551401869158874</v>
      </c>
      <c r="U82" s="14"/>
    </row>
    <row r="83" spans="2:21" ht="17.25" thickBot="1" x14ac:dyDescent="0.35">
      <c r="B83" s="104"/>
      <c r="C83" s="15" t="s">
        <v>24</v>
      </c>
      <c r="D83" s="16">
        <f>GETPIVOTDATA("Sum of PM FIELD",'Pivot Table'!$A$76,"DAY","Fri")</f>
        <v>251</v>
      </c>
      <c r="E83" s="16">
        <f>SUM(88+88+88+88)</f>
        <v>352</v>
      </c>
      <c r="F83" s="17">
        <f t="shared" si="20"/>
        <v>0.71306818181818177</v>
      </c>
      <c r="G83" s="18"/>
      <c r="I83" s="104"/>
      <c r="J83" s="15" t="s">
        <v>24</v>
      </c>
      <c r="K83" s="16">
        <f>GETPIVOTDATA("Sum of PM FIELD",'Pivot Table'!$A$88,"DAY","Fri")</f>
        <v>300</v>
      </c>
      <c r="L83" s="16">
        <f>SUM(88+64+88+92+88)</f>
        <v>420</v>
      </c>
      <c r="M83" s="17">
        <f t="shared" si="21"/>
        <v>0.7142857142857143</v>
      </c>
      <c r="N83" s="18"/>
      <c r="P83" s="104"/>
      <c r="Q83" s="15" t="s">
        <v>24</v>
      </c>
      <c r="R83" s="16">
        <f>GETPIVOTDATA("Sum of PM FIELD",'Pivot Table'!$A$100,"DAY","Fri")</f>
        <v>275</v>
      </c>
      <c r="S83" s="16">
        <f>SUM(88+88+88+96)</f>
        <v>360</v>
      </c>
      <c r="T83" s="17">
        <f t="shared" si="22"/>
        <v>0.76388888888888884</v>
      </c>
      <c r="U83" s="18"/>
    </row>
    <row r="84" spans="2:21" ht="18" thickTop="1" thickBot="1" x14ac:dyDescent="0.35">
      <c r="B84" s="86" t="s">
        <v>25</v>
      </c>
      <c r="C84" s="25"/>
      <c r="D84" s="26">
        <f>SUM(D81:D83)</f>
        <v>613</v>
      </c>
      <c r="E84" s="26">
        <f>SUM(E82:E83)</f>
        <v>768</v>
      </c>
      <c r="F84" s="27">
        <f>SUM(D84/E84)</f>
        <v>0.79817708333333337</v>
      </c>
      <c r="G84" s="28"/>
      <c r="I84" s="86" t="s">
        <v>25</v>
      </c>
      <c r="J84" s="25"/>
      <c r="K84" s="26">
        <f>SUM(K81:K83)</f>
        <v>712</v>
      </c>
      <c r="L84" s="26">
        <f>SUM(L82:L83)</f>
        <v>920</v>
      </c>
      <c r="M84" s="27">
        <f>SUM(K84/L84)</f>
        <v>0.77391304347826084</v>
      </c>
      <c r="N84" s="28"/>
      <c r="P84" s="86" t="s">
        <v>25</v>
      </c>
      <c r="Q84" s="25"/>
      <c r="R84" s="26">
        <f>SUM(R81:R83)</f>
        <v>654</v>
      </c>
      <c r="S84" s="26">
        <f>SUM(S82:S83)</f>
        <v>788</v>
      </c>
      <c r="T84" s="27">
        <f>SUM(R84/S84)</f>
        <v>0.82994923857868019</v>
      </c>
      <c r="U84" s="28"/>
    </row>
    <row r="85" spans="2:21" ht="17.25" thickBot="1" x14ac:dyDescent="0.35">
      <c r="B85" s="6"/>
      <c r="C85" s="23"/>
      <c r="I85" s="6"/>
      <c r="J85" s="23"/>
      <c r="K85" s="5"/>
      <c r="L85" s="5"/>
      <c r="M85" s="5"/>
      <c r="P85" s="6"/>
      <c r="Q85" s="23"/>
      <c r="R85" s="5"/>
      <c r="S85" s="5"/>
      <c r="T85" s="5"/>
    </row>
    <row r="86" spans="2:21" x14ac:dyDescent="0.3">
      <c r="B86" s="103" t="s">
        <v>35</v>
      </c>
      <c r="C86" s="11" t="s">
        <v>23</v>
      </c>
      <c r="D86" s="12">
        <f>GETPIVOTDATA("Sum of AM FIELD",'Pivot Table'!$A$76,"DAY","Sat")</f>
        <v>263</v>
      </c>
      <c r="E86" s="12">
        <f>SUM(84+88+88+88)</f>
        <v>348</v>
      </c>
      <c r="F86" s="13">
        <f t="shared" ref="F86:F87" si="23">SUM(D86/E86)</f>
        <v>0.75574712643678166</v>
      </c>
      <c r="G86" s="14"/>
      <c r="I86" s="103" t="s">
        <v>35</v>
      </c>
      <c r="J86" s="11" t="s">
        <v>23</v>
      </c>
      <c r="K86" s="12">
        <f>GETPIVOTDATA("Sum of AM FIELD",'Pivot Table'!$A$88,"DAY","Sat")</f>
        <v>453</v>
      </c>
      <c r="L86" s="12">
        <f>SUM(88+96+104+96+104)</f>
        <v>488</v>
      </c>
      <c r="M86" s="13">
        <f t="shared" ref="M86:M87" si="24">SUM(K86/L86)</f>
        <v>0.92827868852459017</v>
      </c>
      <c r="N86" s="14"/>
      <c r="P86" s="103" t="s">
        <v>35</v>
      </c>
      <c r="Q86" s="11" t="s">
        <v>23</v>
      </c>
      <c r="R86" s="12">
        <f>GETPIVOTDATA("Sum of AM FIELD",'Pivot Table'!$A$100,"DAY","Sat")</f>
        <v>292</v>
      </c>
      <c r="S86" s="12">
        <f>SUM(104+104+96+104)</f>
        <v>408</v>
      </c>
      <c r="T86" s="13">
        <f t="shared" ref="T86:T87" si="25">SUM(R86/S86)</f>
        <v>0.71568627450980393</v>
      </c>
      <c r="U86" s="14"/>
    </row>
    <row r="87" spans="2:21" ht="17.25" thickBot="1" x14ac:dyDescent="0.35">
      <c r="B87" s="104"/>
      <c r="C87" s="15" t="s">
        <v>24</v>
      </c>
      <c r="D87" s="16">
        <f>GETPIVOTDATA("Sum of PM FIELD",'Pivot Table'!$A$76,"DAY","Sat")</f>
        <v>249</v>
      </c>
      <c r="E87" s="16">
        <f>SUM(80+88+84+88)</f>
        <v>340</v>
      </c>
      <c r="F87" s="17">
        <f t="shared" si="23"/>
        <v>0.73235294117647054</v>
      </c>
      <c r="G87" s="18"/>
      <c r="I87" s="104"/>
      <c r="J87" s="15" t="s">
        <v>24</v>
      </c>
      <c r="K87" s="16">
        <f>GETPIVOTDATA("Sum of PM FIELD",'Pivot Table'!$A$88,"DAY","Sat")</f>
        <v>334</v>
      </c>
      <c r="L87" s="16">
        <f>SUM(88+88+88+88+88)</f>
        <v>440</v>
      </c>
      <c r="M87" s="17">
        <f t="shared" si="24"/>
        <v>0.75909090909090904</v>
      </c>
      <c r="N87" s="18"/>
      <c r="P87" s="104"/>
      <c r="Q87" s="15" t="s">
        <v>24</v>
      </c>
      <c r="R87" s="16">
        <f>GETPIVOTDATA("Sum of PM FIELD",'Pivot Table'!$A$100,"DAY","Sat")</f>
        <v>226</v>
      </c>
      <c r="S87" s="16">
        <f>SUM(88+88+88+88)</f>
        <v>352</v>
      </c>
      <c r="T87" s="17">
        <f t="shared" si="25"/>
        <v>0.64204545454545459</v>
      </c>
      <c r="U87" s="18"/>
    </row>
    <row r="88" spans="2:21" ht="18" thickTop="1" thickBot="1" x14ac:dyDescent="0.35">
      <c r="B88" s="86" t="s">
        <v>25</v>
      </c>
      <c r="C88" s="25"/>
      <c r="D88" s="26">
        <f>SUM(D85:D87)</f>
        <v>512</v>
      </c>
      <c r="E88" s="26">
        <f>SUM(E86:E87)</f>
        <v>688</v>
      </c>
      <c r="F88" s="27">
        <f>SUM(D88/E88)</f>
        <v>0.7441860465116279</v>
      </c>
      <c r="G88" s="28"/>
      <c r="I88" s="86" t="s">
        <v>25</v>
      </c>
      <c r="J88" s="25"/>
      <c r="K88" s="26">
        <f>SUM(K85:K87)</f>
        <v>787</v>
      </c>
      <c r="L88" s="26">
        <f>SUM(L86:L87)</f>
        <v>928</v>
      </c>
      <c r="M88" s="27">
        <f>SUM(K88/L88)</f>
        <v>0.84806034482758619</v>
      </c>
      <c r="N88" s="28"/>
      <c r="P88" s="86" t="s">
        <v>25</v>
      </c>
      <c r="Q88" s="25"/>
      <c r="R88" s="26">
        <f>SUM(R85:R87)</f>
        <v>518</v>
      </c>
      <c r="S88" s="26">
        <f>SUM(S86:S87)</f>
        <v>760</v>
      </c>
      <c r="T88" s="27">
        <f>SUM(R88/S88)</f>
        <v>0.68157894736842106</v>
      </c>
      <c r="U88" s="28"/>
    </row>
    <row r="89" spans="2:21" ht="17.25" thickBot="1" x14ac:dyDescent="0.35">
      <c r="B89" s="6"/>
      <c r="C89" s="23"/>
      <c r="F89" s="29"/>
      <c r="I89" s="6"/>
      <c r="J89" s="23"/>
      <c r="K89" s="5"/>
      <c r="L89" s="5"/>
      <c r="M89" s="29"/>
      <c r="P89" s="6"/>
      <c r="Q89" s="23"/>
      <c r="R89" s="5"/>
      <c r="S89" s="5"/>
      <c r="T89" s="29"/>
    </row>
    <row r="90" spans="2:21" x14ac:dyDescent="0.3">
      <c r="B90" s="103" t="s">
        <v>37</v>
      </c>
      <c r="C90" s="11" t="s">
        <v>23</v>
      </c>
      <c r="D90" s="12">
        <f>GETPIVOTDATA("Sum of AM FIELD",'Pivot Table'!$A$76,"DAY","Sun")</f>
        <v>305</v>
      </c>
      <c r="E90" s="12">
        <f>SUM(88+88+88+88)</f>
        <v>352</v>
      </c>
      <c r="F90" s="13">
        <f t="shared" ref="F90:F91" si="26">SUM(D90/E90)</f>
        <v>0.86647727272727271</v>
      </c>
      <c r="G90" s="14"/>
      <c r="I90" s="103" t="s">
        <v>37</v>
      </c>
      <c r="J90" s="11" t="s">
        <v>23</v>
      </c>
      <c r="K90" s="12">
        <f>GETPIVOTDATA("Sum of AM FIELD",'Pivot Table'!$A$88,"DAY","Sun")</f>
        <v>357</v>
      </c>
      <c r="L90" s="12">
        <f>SUM(88+96+104+100)</f>
        <v>388</v>
      </c>
      <c r="M90" s="13">
        <f t="shared" ref="M90:M91" si="27">SUM(K90/L90)</f>
        <v>0.92010309278350511</v>
      </c>
      <c r="N90" s="14"/>
      <c r="P90" s="103" t="s">
        <v>37</v>
      </c>
      <c r="Q90" s="11" t="s">
        <v>23</v>
      </c>
      <c r="R90" s="12">
        <f>GETPIVOTDATA("Sum of AM FIELD",'Pivot Table'!$A$100,"DAY","Sun")</f>
        <v>438</v>
      </c>
      <c r="S90" s="12">
        <f>SUM(104+104+104+104+104)</f>
        <v>520</v>
      </c>
      <c r="T90" s="13">
        <f t="shared" ref="T90:T91" si="28">SUM(R90/S90)</f>
        <v>0.84230769230769231</v>
      </c>
      <c r="U90" s="14"/>
    </row>
    <row r="91" spans="2:21" ht="17.25" thickBot="1" x14ac:dyDescent="0.35">
      <c r="B91" s="104"/>
      <c r="C91" s="15" t="s">
        <v>24</v>
      </c>
      <c r="D91" s="16">
        <f>GETPIVOTDATA("Sum of PM FIELD",'Pivot Table'!$A$76,"DAY","Sun")</f>
        <v>310</v>
      </c>
      <c r="E91" s="16">
        <f>SUM(88+88+88+88)</f>
        <v>352</v>
      </c>
      <c r="F91" s="17">
        <f t="shared" si="26"/>
        <v>0.88068181818181823</v>
      </c>
      <c r="G91" s="18"/>
      <c r="I91" s="104"/>
      <c r="J91" s="15" t="s">
        <v>24</v>
      </c>
      <c r="K91" s="16">
        <f>GETPIVOTDATA("Sum of PM FIELD",'Pivot Table'!$A$88,"DAY","Sun")</f>
        <v>307</v>
      </c>
      <c r="L91" s="16">
        <f>SUM(92+88+96+92)</f>
        <v>368</v>
      </c>
      <c r="M91" s="17">
        <f t="shared" si="27"/>
        <v>0.83423913043478259</v>
      </c>
      <c r="N91" s="18"/>
      <c r="P91" s="104"/>
      <c r="Q91" s="15" t="s">
        <v>24</v>
      </c>
      <c r="R91" s="16">
        <f>GETPIVOTDATA("Sum of PM FIELD",'Pivot Table'!$A$100,"DAY","Sun")</f>
        <v>336</v>
      </c>
      <c r="S91" s="16">
        <f>SUM(88+88+88+88+88)</f>
        <v>440</v>
      </c>
      <c r="T91" s="17">
        <f t="shared" si="28"/>
        <v>0.76363636363636367</v>
      </c>
      <c r="U91" s="18"/>
    </row>
    <row r="92" spans="2:21" ht="18" thickTop="1" thickBot="1" x14ac:dyDescent="0.35">
      <c r="B92" s="86" t="s">
        <v>25</v>
      </c>
      <c r="C92" s="25"/>
      <c r="D92" s="26">
        <f>SUM(D89:D91)</f>
        <v>615</v>
      </c>
      <c r="E92" s="26">
        <f>SUM(E90:E91)</f>
        <v>704</v>
      </c>
      <c r="F92" s="27">
        <f>SUM(D92/E92)</f>
        <v>0.87357954545454541</v>
      </c>
      <c r="G92" s="28"/>
      <c r="I92" s="86" t="s">
        <v>25</v>
      </c>
      <c r="J92" s="25"/>
      <c r="K92" s="26">
        <f>SUM(K89:K91)</f>
        <v>664</v>
      </c>
      <c r="L92" s="26">
        <f>SUM(L90:L91)</f>
        <v>756</v>
      </c>
      <c r="M92" s="27">
        <f>SUM(K92/L92)</f>
        <v>0.87830687830687826</v>
      </c>
      <c r="N92" s="28"/>
      <c r="P92" s="86" t="s">
        <v>25</v>
      </c>
      <c r="Q92" s="25"/>
      <c r="R92" s="26">
        <f>SUM(R89:R91)</f>
        <v>774</v>
      </c>
      <c r="S92" s="26">
        <f>SUM(S90:S91)</f>
        <v>960</v>
      </c>
      <c r="T92" s="27">
        <f>SUM(R92/S92)</f>
        <v>0.80625000000000002</v>
      </c>
      <c r="U92" s="28"/>
    </row>
    <row r="95" spans="2:21" ht="45" x14ac:dyDescent="0.4">
      <c r="B95" s="1" t="s">
        <v>16</v>
      </c>
      <c r="C95" s="7"/>
      <c r="D95" s="8" t="s">
        <v>18</v>
      </c>
      <c r="E95" s="8" t="s">
        <v>19</v>
      </c>
      <c r="F95" s="8" t="s">
        <v>20</v>
      </c>
      <c r="G95" s="7" t="s">
        <v>21</v>
      </c>
      <c r="I95" s="1" t="s">
        <v>66</v>
      </c>
      <c r="J95" s="7"/>
      <c r="K95" s="8" t="s">
        <v>18</v>
      </c>
      <c r="L95" s="8" t="s">
        <v>19</v>
      </c>
      <c r="M95" s="8" t="s">
        <v>20</v>
      </c>
      <c r="N95" s="7" t="s">
        <v>21</v>
      </c>
      <c r="P95" s="1" t="s">
        <v>17</v>
      </c>
      <c r="Q95" s="7"/>
      <c r="R95" s="8" t="s">
        <v>18</v>
      </c>
      <c r="S95" s="8" t="s">
        <v>19</v>
      </c>
      <c r="T95" s="8" t="s">
        <v>20</v>
      </c>
      <c r="U95" s="7" t="s">
        <v>21</v>
      </c>
    </row>
    <row r="96" spans="2:21" ht="17.25" thickBot="1" x14ac:dyDescent="0.35">
      <c r="K96" s="5"/>
      <c r="L96" s="5"/>
      <c r="M96" s="5"/>
      <c r="Q96" s="2"/>
      <c r="R96" s="5"/>
      <c r="S96" s="5"/>
      <c r="T96" s="5"/>
    </row>
    <row r="97" spans="2:21" x14ac:dyDescent="0.3">
      <c r="B97" s="103" t="s">
        <v>22</v>
      </c>
      <c r="C97" s="11" t="s">
        <v>23</v>
      </c>
      <c r="D97" s="12">
        <f>GETPIVOTDATA("Sum of AM FIELD",'Pivot Table'!$A$112,"DAY","Mon")</f>
        <v>145</v>
      </c>
      <c r="E97" s="12">
        <f>SUM(88+90+0+0)</f>
        <v>178</v>
      </c>
      <c r="F97" s="13">
        <f>SUM(D97/E97)</f>
        <v>0.8146067415730337</v>
      </c>
      <c r="G97" s="14"/>
      <c r="I97" s="103" t="s">
        <v>22</v>
      </c>
      <c r="J97" s="11" t="s">
        <v>23</v>
      </c>
      <c r="K97" s="12">
        <f>GETPIVOTDATA("Sum of AM FIELD",'Pivot Table'!$A$124,"DAY","Mon")</f>
        <v>124</v>
      </c>
      <c r="L97" s="12">
        <f>SUM(72+0+88)</f>
        <v>160</v>
      </c>
      <c r="M97" s="13">
        <f>SUM(K97/L97)</f>
        <v>0.77500000000000002</v>
      </c>
      <c r="N97" s="14"/>
      <c r="P97" s="103" t="s">
        <v>22</v>
      </c>
      <c r="Q97" s="11" t="s">
        <v>23</v>
      </c>
      <c r="R97" s="12">
        <f>GETPIVOTDATA("Sum of AM FIELD",'Pivot Table'!$A$136,"DAY","Mon")</f>
        <v>273</v>
      </c>
      <c r="S97" s="12">
        <f>SUM(76+56+92+100)</f>
        <v>324</v>
      </c>
      <c r="T97" s="13">
        <f>SUM(R97/S97)</f>
        <v>0.84259259259259256</v>
      </c>
      <c r="U97" s="14"/>
    </row>
    <row r="98" spans="2:21" ht="17.25" thickBot="1" x14ac:dyDescent="0.35">
      <c r="B98" s="104"/>
      <c r="C98" s="15" t="s">
        <v>24</v>
      </c>
      <c r="D98" s="16">
        <f>GETPIVOTDATA("Sum of PM FIELD",'Pivot Table'!$A$112,"DAY","Mon")</f>
        <v>236</v>
      </c>
      <c r="E98" s="16">
        <f>SUM(80+56+84+84)</f>
        <v>304</v>
      </c>
      <c r="F98" s="17">
        <f>SUM(D98/E98)</f>
        <v>0.77631578947368418</v>
      </c>
      <c r="G98" s="18"/>
      <c r="I98" s="104"/>
      <c r="J98" s="15" t="s">
        <v>24</v>
      </c>
      <c r="K98" s="16">
        <f>GETPIVOTDATA("Sum of PM FIELD",'Pivot Table'!$A$124,"DAY","Mon")</f>
        <v>202</v>
      </c>
      <c r="L98" s="16">
        <f>SUM(80+80+80)</f>
        <v>240</v>
      </c>
      <c r="M98" s="17">
        <f>SUM(K98/L98)</f>
        <v>0.84166666666666667</v>
      </c>
      <c r="N98" s="18"/>
      <c r="P98" s="104"/>
      <c r="Q98" s="15" t="s">
        <v>24</v>
      </c>
      <c r="R98" s="16">
        <f>GETPIVOTDATA("Sum of PM FIELD",'Pivot Table'!$A$136,"DAY","Mon")</f>
        <v>305</v>
      </c>
      <c r="S98" s="16">
        <f>SUM(80+104+84+100)</f>
        <v>368</v>
      </c>
      <c r="T98" s="17">
        <f>SUM(R98/S98)</f>
        <v>0.82880434782608692</v>
      </c>
      <c r="U98" s="18"/>
    </row>
    <row r="99" spans="2:21" ht="18" thickTop="1" thickBot="1" x14ac:dyDescent="0.35">
      <c r="B99" s="86" t="s">
        <v>25</v>
      </c>
      <c r="C99" s="19"/>
      <c r="D99" s="20">
        <f>SUM(D96:D98)</f>
        <v>381</v>
      </c>
      <c r="E99" s="20">
        <f>SUM(E96:E98)</f>
        <v>482</v>
      </c>
      <c r="F99" s="21">
        <f>SUM(D99/E99)</f>
        <v>0.79045643153526968</v>
      </c>
      <c r="G99" s="22"/>
      <c r="I99" s="86" t="s">
        <v>25</v>
      </c>
      <c r="J99" s="19"/>
      <c r="K99" s="20">
        <f>SUM(K96:K98)</f>
        <v>326</v>
      </c>
      <c r="L99" s="20">
        <f>SUM(L96:L98)</f>
        <v>400</v>
      </c>
      <c r="M99" s="21">
        <f>SUM(K99/L99)</f>
        <v>0.81499999999999995</v>
      </c>
      <c r="N99" s="22"/>
      <c r="P99" s="86" t="s">
        <v>25</v>
      </c>
      <c r="Q99" s="19"/>
      <c r="R99" s="20">
        <f>SUM(R96:R98)</f>
        <v>578</v>
      </c>
      <c r="S99" s="20">
        <f>SUM(S96:S98)</f>
        <v>692</v>
      </c>
      <c r="T99" s="21">
        <f>SUM(R99/S99)</f>
        <v>0.83526011560693647</v>
      </c>
      <c r="U99" s="22"/>
    </row>
    <row r="100" spans="2:21" ht="17.25" thickBot="1" x14ac:dyDescent="0.35">
      <c r="B100" s="6"/>
      <c r="C100" s="23"/>
      <c r="I100" s="6"/>
      <c r="J100" s="23"/>
      <c r="K100" s="5"/>
      <c r="L100" s="5"/>
      <c r="M100" s="5"/>
      <c r="P100" s="6"/>
      <c r="Q100" s="23"/>
      <c r="R100" s="5"/>
      <c r="S100" s="5"/>
      <c r="T100" s="5"/>
    </row>
    <row r="101" spans="2:21" x14ac:dyDescent="0.3">
      <c r="B101" s="103" t="s">
        <v>27</v>
      </c>
      <c r="C101" s="11" t="s">
        <v>23</v>
      </c>
      <c r="D101" s="12">
        <f>GETPIVOTDATA("Sum of AM FIELD",'Pivot Table'!$A$112,"DAY","Tue")</f>
        <v>433</v>
      </c>
      <c r="E101" s="12">
        <f>SUM(76+76+112+112+104)</f>
        <v>480</v>
      </c>
      <c r="F101" s="13">
        <f>SUM(D101/E101)</f>
        <v>0.90208333333333335</v>
      </c>
      <c r="G101" s="14"/>
      <c r="I101" s="103" t="s">
        <v>27</v>
      </c>
      <c r="J101" s="11" t="s">
        <v>23</v>
      </c>
      <c r="K101" s="12">
        <f>GETPIVOTDATA("Sum of AM FIELD",'Pivot Table'!$A$124,"DAY","Tue")</f>
        <v>296</v>
      </c>
      <c r="L101" s="12">
        <f>SUM(96+112+112)</f>
        <v>320</v>
      </c>
      <c r="M101" s="13">
        <f>SUM(K101/L101)</f>
        <v>0.92500000000000004</v>
      </c>
      <c r="N101" s="14"/>
      <c r="P101" s="103" t="s">
        <v>27</v>
      </c>
      <c r="Q101" s="11" t="s">
        <v>23</v>
      </c>
      <c r="R101" s="12">
        <f>GETPIVOTDATA("Sum of AM FIELD",'Pivot Table'!$A$136,"DAY","Tue")</f>
        <v>390</v>
      </c>
      <c r="S101" s="12">
        <f>SUM(152+112+112+100)</f>
        <v>476</v>
      </c>
      <c r="T101" s="13">
        <f>SUM(R101/S101)</f>
        <v>0.81932773109243695</v>
      </c>
      <c r="U101" s="14"/>
    </row>
    <row r="102" spans="2:21" ht="17.25" thickBot="1" x14ac:dyDescent="0.35">
      <c r="B102" s="104"/>
      <c r="C102" s="15" t="s">
        <v>24</v>
      </c>
      <c r="D102" s="16">
        <f>GETPIVOTDATA("Sum of PM FIELD",'Pivot Table'!$A$112,"DAY","Tue")</f>
        <v>247</v>
      </c>
      <c r="E102" s="16">
        <f>SUM(80+80+80+80+40)</f>
        <v>360</v>
      </c>
      <c r="F102" s="17">
        <f>SUM(D102/E102)</f>
        <v>0.68611111111111112</v>
      </c>
      <c r="G102" s="18"/>
      <c r="I102" s="104"/>
      <c r="J102" s="15" t="s">
        <v>24</v>
      </c>
      <c r="K102" s="16">
        <f>GETPIVOTDATA("Sum of PM FIELD",'Pivot Table'!$A$124,"DAY","Tue")</f>
        <v>170</v>
      </c>
      <c r="L102" s="16">
        <f>SUM(88+80+80)</f>
        <v>248</v>
      </c>
      <c r="M102" s="17">
        <f>SUM(K102/L102)</f>
        <v>0.68548387096774188</v>
      </c>
      <c r="N102" s="18"/>
      <c r="P102" s="104"/>
      <c r="Q102" s="15" t="s">
        <v>24</v>
      </c>
      <c r="R102" s="16">
        <f>GETPIVOTDATA("Sum of PM FIELD",'Pivot Table'!$A$136,"DAY","Tue")</f>
        <v>108</v>
      </c>
      <c r="S102" s="16">
        <f>SUM(0+84+84+92)</f>
        <v>260</v>
      </c>
      <c r="T102" s="17">
        <f>SUM(R102/S102)</f>
        <v>0.41538461538461541</v>
      </c>
      <c r="U102" s="18"/>
    </row>
    <row r="103" spans="2:21" ht="18" thickTop="1" thickBot="1" x14ac:dyDescent="0.35">
      <c r="B103" s="86" t="s">
        <v>25</v>
      </c>
      <c r="C103" s="25"/>
      <c r="D103" s="26">
        <f>SUM(D100:D102)</f>
        <v>680</v>
      </c>
      <c r="E103" s="26">
        <f>SUM(E100:E102)</f>
        <v>840</v>
      </c>
      <c r="F103" s="27">
        <f>SUM(D103/E103)</f>
        <v>0.80952380952380953</v>
      </c>
      <c r="G103" s="28"/>
      <c r="I103" s="86" t="s">
        <v>25</v>
      </c>
      <c r="J103" s="25"/>
      <c r="K103" s="26">
        <f>SUM(K100:K102)</f>
        <v>466</v>
      </c>
      <c r="L103" s="26">
        <f>SUM(L100:L102)</f>
        <v>568</v>
      </c>
      <c r="M103" s="27">
        <f>SUM(K103/L103)</f>
        <v>0.82042253521126762</v>
      </c>
      <c r="N103" s="28"/>
      <c r="P103" s="86" t="s">
        <v>25</v>
      </c>
      <c r="Q103" s="25"/>
      <c r="R103" s="26">
        <f>SUM(R100:R102)</f>
        <v>498</v>
      </c>
      <c r="S103" s="26">
        <f>SUM(S100:S102)</f>
        <v>736</v>
      </c>
      <c r="T103" s="27">
        <f>SUM(R103/S103)</f>
        <v>0.67663043478260865</v>
      </c>
      <c r="U103" s="28"/>
    </row>
    <row r="104" spans="2:21" ht="17.25" thickBot="1" x14ac:dyDescent="0.35">
      <c r="B104" s="6"/>
      <c r="C104" s="23"/>
      <c r="I104" s="6"/>
      <c r="J104" s="23"/>
      <c r="K104" s="5"/>
      <c r="L104" s="5"/>
      <c r="M104" s="5"/>
      <c r="P104" s="6"/>
      <c r="Q104" s="23"/>
      <c r="R104" s="5"/>
      <c r="S104" s="5"/>
      <c r="T104" s="5"/>
    </row>
    <row r="105" spans="2:21" x14ac:dyDescent="0.3">
      <c r="B105" s="103" t="s">
        <v>29</v>
      </c>
      <c r="C105" s="11" t="s">
        <v>23</v>
      </c>
      <c r="D105" s="12">
        <f>GETPIVOTDATA("Sum of AM FIELD",'Pivot Table'!$A$112,"DAY","Wed")</f>
        <v>313</v>
      </c>
      <c r="E105" s="12">
        <f>SUM(66+36+56+96+108)</f>
        <v>362</v>
      </c>
      <c r="F105" s="13">
        <f>SUM(D105/E105)</f>
        <v>0.86464088397790051</v>
      </c>
      <c r="G105" s="14"/>
      <c r="I105" s="103" t="s">
        <v>29</v>
      </c>
      <c r="J105" s="11" t="s">
        <v>23</v>
      </c>
      <c r="K105" s="12">
        <f>GETPIVOTDATA("Sum of AM FIELD",'Pivot Table'!$A$124,"DAY","Wed")</f>
        <v>205</v>
      </c>
      <c r="L105" s="12">
        <f>SUM(84+88+96)</f>
        <v>268</v>
      </c>
      <c r="M105" s="13">
        <f>SUM(K105/L105)</f>
        <v>0.7649253731343284</v>
      </c>
      <c r="N105" s="14"/>
      <c r="P105" s="103" t="s">
        <v>29</v>
      </c>
      <c r="Q105" s="11" t="s">
        <v>23</v>
      </c>
      <c r="R105" s="12">
        <f>GETPIVOTDATA("Sum of AM FIELD",'Pivot Table'!$A$136,"DAY","Wed")</f>
        <v>106</v>
      </c>
      <c r="S105" s="12">
        <f>SUM(88+72)</f>
        <v>160</v>
      </c>
      <c r="T105" s="13">
        <f>SUM(R105/S105)</f>
        <v>0.66249999999999998</v>
      </c>
      <c r="U105" s="14"/>
    </row>
    <row r="106" spans="2:21" ht="17.25" thickBot="1" x14ac:dyDescent="0.35">
      <c r="B106" s="104"/>
      <c r="C106" s="15" t="s">
        <v>24</v>
      </c>
      <c r="D106" s="16">
        <f>GETPIVOTDATA("Sum of PM FIELD",'Pivot Table'!$A$112,"DAY","Wed")</f>
        <v>362</v>
      </c>
      <c r="E106" s="16">
        <f>SUM(92+92+92+92+88)</f>
        <v>456</v>
      </c>
      <c r="F106" s="17">
        <f>SUM(D106/E106)</f>
        <v>0.79385964912280704</v>
      </c>
      <c r="G106" s="18"/>
      <c r="I106" s="104"/>
      <c r="J106" s="15" t="s">
        <v>24</v>
      </c>
      <c r="K106" s="16">
        <f>GETPIVOTDATA("Sum of PM FIELD",'Pivot Table'!$A$124,"DAY","Wed")</f>
        <v>189</v>
      </c>
      <c r="L106" s="16">
        <f>SUM(92+84+76)</f>
        <v>252</v>
      </c>
      <c r="M106" s="17">
        <f>SUM(K106/L106)</f>
        <v>0.75</v>
      </c>
      <c r="N106" s="18"/>
      <c r="P106" s="104"/>
      <c r="Q106" s="15" t="s">
        <v>24</v>
      </c>
      <c r="R106" s="16">
        <f>GETPIVOTDATA("Sum of PM FIELD",'Pivot Table'!$A$136,"DAY","Wed")</f>
        <v>250</v>
      </c>
      <c r="S106" s="16">
        <f>SUM(94+176)</f>
        <v>270</v>
      </c>
      <c r="T106" s="17">
        <f>SUM(R106/S106)</f>
        <v>0.92592592592592593</v>
      </c>
      <c r="U106" s="18"/>
    </row>
    <row r="107" spans="2:21" ht="18" thickTop="1" thickBot="1" x14ac:dyDescent="0.35">
      <c r="B107" s="86" t="s">
        <v>25</v>
      </c>
      <c r="C107" s="25"/>
      <c r="D107" s="26">
        <f>SUM(D104:D106)</f>
        <v>675</v>
      </c>
      <c r="E107" s="26">
        <f>SUM(E104:E106)</f>
        <v>818</v>
      </c>
      <c r="F107" s="27">
        <f>SUM(D107/E107)</f>
        <v>0.82518337408312958</v>
      </c>
      <c r="G107" s="28"/>
      <c r="I107" s="86" t="s">
        <v>25</v>
      </c>
      <c r="J107" s="25"/>
      <c r="K107" s="26">
        <f>SUM(K104:K106)</f>
        <v>394</v>
      </c>
      <c r="L107" s="26">
        <f>SUM(L104:L106)</f>
        <v>520</v>
      </c>
      <c r="M107" s="27">
        <f>SUM(K107/L107)</f>
        <v>0.75769230769230766</v>
      </c>
      <c r="N107" s="28"/>
      <c r="P107" s="86" t="s">
        <v>25</v>
      </c>
      <c r="Q107" s="25"/>
      <c r="R107" s="26">
        <f>SUM(R104:R106)</f>
        <v>356</v>
      </c>
      <c r="S107" s="26">
        <f>SUM(S104:S106)</f>
        <v>430</v>
      </c>
      <c r="T107" s="27">
        <f>SUM(R107/S107)</f>
        <v>0.82790697674418601</v>
      </c>
      <c r="U107" s="28"/>
    </row>
    <row r="108" spans="2:21" ht="17.25" thickBot="1" x14ac:dyDescent="0.35">
      <c r="B108" s="6"/>
      <c r="C108" s="23"/>
      <c r="I108" s="6"/>
      <c r="J108" s="23"/>
      <c r="K108" s="5"/>
      <c r="L108" s="5"/>
      <c r="M108" s="5"/>
      <c r="P108" s="6"/>
      <c r="Q108" s="23"/>
      <c r="R108" s="5"/>
      <c r="S108" s="5"/>
      <c r="T108" s="5"/>
    </row>
    <row r="109" spans="2:21" x14ac:dyDescent="0.3">
      <c r="B109" s="103" t="s">
        <v>31</v>
      </c>
      <c r="C109" s="11" t="s">
        <v>23</v>
      </c>
      <c r="D109" s="12">
        <f>GETPIVOTDATA("Sum of AM FIELD",'Pivot Table'!$A$112,"DAY","Thu")</f>
        <v>407</v>
      </c>
      <c r="E109" s="12">
        <f>SUM(80+88+88+88+88)</f>
        <v>432</v>
      </c>
      <c r="F109" s="13">
        <f>SUM(D109/E109)</f>
        <v>0.94212962962962965</v>
      </c>
      <c r="G109" s="14"/>
      <c r="I109" s="103" t="s">
        <v>31</v>
      </c>
      <c r="J109" s="11" t="s">
        <v>23</v>
      </c>
      <c r="K109" s="12">
        <f>GETPIVOTDATA("Sum of AM FIELD",'Pivot Table'!$A$124,"DAY","Thu")</f>
        <v>233</v>
      </c>
      <c r="L109" s="12">
        <f>SUM(88+88+88)</f>
        <v>264</v>
      </c>
      <c r="M109" s="13">
        <f>SUM(K109/L109)</f>
        <v>0.88257575757575757</v>
      </c>
      <c r="N109" s="14"/>
      <c r="P109" s="103" t="s">
        <v>31</v>
      </c>
      <c r="Q109" s="11" t="s">
        <v>23</v>
      </c>
      <c r="R109" s="12">
        <f>GETPIVOTDATA("Sum of AM FIELD",'Pivot Table'!$A$136,"DAY","Thu")</f>
        <v>310</v>
      </c>
      <c r="S109" s="12">
        <f>SUM(88+88+88+88)</f>
        <v>352</v>
      </c>
      <c r="T109" s="13">
        <f>SUM(R109/S109)</f>
        <v>0.88068181818181823</v>
      </c>
      <c r="U109" s="14"/>
    </row>
    <row r="110" spans="2:21" ht="17.25" thickBot="1" x14ac:dyDescent="0.35">
      <c r="B110" s="104"/>
      <c r="C110" s="15" t="s">
        <v>24</v>
      </c>
      <c r="D110" s="16">
        <f>GETPIVOTDATA("Sum of PM FIELD",'Pivot Table'!$A$112,"DAY","Thu")</f>
        <v>450</v>
      </c>
      <c r="E110" s="16">
        <f>SUM(104+100+88+88+96)</f>
        <v>476</v>
      </c>
      <c r="F110" s="17">
        <f t="shared" ref="F110" si="29">SUM(D110/E110)</f>
        <v>0.94537815126050417</v>
      </c>
      <c r="G110" s="18"/>
      <c r="I110" s="104"/>
      <c r="J110" s="15" t="s">
        <v>24</v>
      </c>
      <c r="K110" s="16">
        <f>GETPIVOTDATA("Sum of PM FIELD",'Pivot Table'!$A$124,"DAY","Thu")</f>
        <v>239</v>
      </c>
      <c r="L110" s="16">
        <f>SUM(96+96+96)</f>
        <v>288</v>
      </c>
      <c r="M110" s="17">
        <f t="shared" ref="M110" si="30">SUM(K110/L110)</f>
        <v>0.82986111111111116</v>
      </c>
      <c r="N110" s="18"/>
      <c r="P110" s="104"/>
      <c r="Q110" s="15" t="s">
        <v>24</v>
      </c>
      <c r="R110" s="16">
        <f>GETPIVOTDATA("Sum of PM FIELD",'Pivot Table'!$A$136,"DAY","Thu")</f>
        <v>232</v>
      </c>
      <c r="S110" s="16">
        <f>SUM(96+96+96+88)</f>
        <v>376</v>
      </c>
      <c r="T110" s="17">
        <f t="shared" ref="T110" si="31">SUM(R110/S110)</f>
        <v>0.61702127659574468</v>
      </c>
      <c r="U110" s="18"/>
    </row>
    <row r="111" spans="2:21" ht="18" thickTop="1" thickBot="1" x14ac:dyDescent="0.35">
      <c r="B111" s="86" t="s">
        <v>25</v>
      </c>
      <c r="C111" s="25"/>
      <c r="D111" s="26">
        <f>SUM(D108:D110)</f>
        <v>857</v>
      </c>
      <c r="E111" s="26">
        <f>SUM(E108:E110)</f>
        <v>908</v>
      </c>
      <c r="F111" s="27">
        <f>SUM(D111/E111)</f>
        <v>0.94383259911894268</v>
      </c>
      <c r="G111" s="28"/>
      <c r="I111" s="86" t="s">
        <v>25</v>
      </c>
      <c r="J111" s="25"/>
      <c r="K111" s="26">
        <f>SUM(K108:K110)</f>
        <v>472</v>
      </c>
      <c r="L111" s="26">
        <f>SUM(L108:L110)</f>
        <v>552</v>
      </c>
      <c r="M111" s="27">
        <f>SUM(K111/L111)</f>
        <v>0.85507246376811596</v>
      </c>
      <c r="N111" s="28"/>
      <c r="P111" s="86" t="s">
        <v>25</v>
      </c>
      <c r="Q111" s="25"/>
      <c r="R111" s="26">
        <f>SUM(R108:R110)</f>
        <v>542</v>
      </c>
      <c r="S111" s="26">
        <f>SUM(S108:S110)</f>
        <v>728</v>
      </c>
      <c r="T111" s="27">
        <f>SUM(R111/S111)</f>
        <v>0.74450549450549453</v>
      </c>
      <c r="U111" s="28"/>
    </row>
    <row r="112" spans="2:21" ht="17.25" thickBot="1" x14ac:dyDescent="0.35">
      <c r="B112" s="6"/>
      <c r="C112" s="23"/>
      <c r="I112" s="6"/>
      <c r="J112" s="23"/>
      <c r="K112" s="5"/>
      <c r="L112" s="5"/>
      <c r="M112" s="5"/>
      <c r="P112" s="6"/>
      <c r="Q112" s="23"/>
      <c r="R112" s="5"/>
      <c r="S112" s="5"/>
      <c r="T112" s="5"/>
    </row>
    <row r="113" spans="2:21" x14ac:dyDescent="0.3">
      <c r="B113" s="103" t="s">
        <v>33</v>
      </c>
      <c r="C113" s="11" t="s">
        <v>23</v>
      </c>
      <c r="D113" s="12">
        <f>GETPIVOTDATA("Sum of AM FIELD",'Pivot Table'!$A$112,"DAY","Fri")</f>
        <v>287</v>
      </c>
      <c r="E113" s="12">
        <f>SUM(108+108+96+108)</f>
        <v>420</v>
      </c>
      <c r="F113" s="13">
        <f t="shared" ref="F113:F114" si="32">SUM(D113/E113)</f>
        <v>0.68333333333333335</v>
      </c>
      <c r="G113" s="14"/>
      <c r="I113" s="103" t="s">
        <v>33</v>
      </c>
      <c r="J113" s="11" t="s">
        <v>23</v>
      </c>
      <c r="K113" s="12">
        <f>GETPIVOTDATA("Sum of AM FIELD",'Pivot Table'!$A$124,"DAY","Fri")</f>
        <v>384</v>
      </c>
      <c r="L113" s="12">
        <f>SUM(112+104+112+108)</f>
        <v>436</v>
      </c>
      <c r="M113" s="13">
        <f t="shared" ref="M113:M114" si="33">SUM(K113/L113)</f>
        <v>0.88073394495412849</v>
      </c>
      <c r="N113" s="14"/>
      <c r="P113" s="103" t="s">
        <v>33</v>
      </c>
      <c r="Q113" s="11" t="s">
        <v>23</v>
      </c>
      <c r="R113" s="12">
        <f>GETPIVOTDATA("Sum of AM FIELD",'Pivot Table'!$A$136,"DAY","Fri")</f>
        <v>421</v>
      </c>
      <c r="S113" s="12">
        <f>SUM(108+144+108+108)</f>
        <v>468</v>
      </c>
      <c r="T113" s="13">
        <f t="shared" ref="T113:T114" si="34">SUM(R113/S113)</f>
        <v>0.8995726495726496</v>
      </c>
      <c r="U113" s="14"/>
    </row>
    <row r="114" spans="2:21" ht="17.25" thickBot="1" x14ac:dyDescent="0.35">
      <c r="B114" s="104"/>
      <c r="C114" s="15" t="s">
        <v>24</v>
      </c>
      <c r="D114" s="16">
        <f>GETPIVOTDATA("Sum of PM FIELD",'Pivot Table'!$A$112,"DAY","Fri")</f>
        <v>220</v>
      </c>
      <c r="E114" s="16">
        <f>SUM(84+88+88+88)</f>
        <v>348</v>
      </c>
      <c r="F114" s="17">
        <f t="shared" si="32"/>
        <v>0.63218390804597702</v>
      </c>
      <c r="G114" s="18"/>
      <c r="I114" s="104"/>
      <c r="J114" s="15" t="s">
        <v>24</v>
      </c>
      <c r="K114" s="16">
        <f>GETPIVOTDATA("Sum of PM FIELD",'Pivot Table'!$A$124,"DAY","Fri")</f>
        <v>311</v>
      </c>
      <c r="L114" s="16">
        <f>SUM(88+96+92+88)</f>
        <v>364</v>
      </c>
      <c r="M114" s="17">
        <f t="shared" si="33"/>
        <v>0.85439560439560436</v>
      </c>
      <c r="N114" s="18"/>
      <c r="P114" s="104"/>
      <c r="Q114" s="15" t="s">
        <v>24</v>
      </c>
      <c r="R114" s="16">
        <f>GETPIVOTDATA("Sum of PM FIELD",'Pivot Table'!$A$136,"DAY","Fri")</f>
        <v>256</v>
      </c>
      <c r="S114" s="16">
        <f>SUM(88+72+88+88)</f>
        <v>336</v>
      </c>
      <c r="T114" s="17">
        <f t="shared" si="34"/>
        <v>0.76190476190476186</v>
      </c>
      <c r="U114" s="18"/>
    </row>
    <row r="115" spans="2:21" ht="18" thickTop="1" thickBot="1" x14ac:dyDescent="0.35">
      <c r="B115" s="86" t="s">
        <v>25</v>
      </c>
      <c r="C115" s="25"/>
      <c r="D115" s="26">
        <f>SUM(D112:D114)</f>
        <v>507</v>
      </c>
      <c r="E115" s="26">
        <f>SUM(E112:E114)</f>
        <v>768</v>
      </c>
      <c r="F115" s="27">
        <f>SUM(D115/E115)</f>
        <v>0.66015625</v>
      </c>
      <c r="G115" s="28"/>
      <c r="I115" s="86" t="s">
        <v>25</v>
      </c>
      <c r="J115" s="25"/>
      <c r="K115" s="26">
        <f>SUM(K112:K114)</f>
        <v>695</v>
      </c>
      <c r="L115" s="26">
        <f>SUM(L112:L114)</f>
        <v>800</v>
      </c>
      <c r="M115" s="27">
        <f>SUM(K115/L115)</f>
        <v>0.86875000000000002</v>
      </c>
      <c r="N115" s="28"/>
      <c r="P115" s="86" t="s">
        <v>25</v>
      </c>
      <c r="Q115" s="25"/>
      <c r="R115" s="26">
        <f>SUM(R112:R114)</f>
        <v>677</v>
      </c>
      <c r="S115" s="26">
        <f>SUM(S112:S114)</f>
        <v>804</v>
      </c>
      <c r="T115" s="27">
        <f>SUM(R115/S115)</f>
        <v>0.84203980099502485</v>
      </c>
      <c r="U115" s="28"/>
    </row>
    <row r="116" spans="2:21" ht="17.25" thickBot="1" x14ac:dyDescent="0.35">
      <c r="B116" s="6"/>
      <c r="C116" s="23"/>
      <c r="I116" s="6"/>
      <c r="J116" s="23"/>
      <c r="K116" s="5"/>
      <c r="L116" s="5"/>
      <c r="M116" s="5"/>
      <c r="P116" s="6"/>
      <c r="Q116" s="23"/>
      <c r="R116" s="5"/>
      <c r="S116" s="5"/>
      <c r="T116" s="5"/>
    </row>
    <row r="117" spans="2:21" x14ac:dyDescent="0.3">
      <c r="B117" s="103" t="s">
        <v>35</v>
      </c>
      <c r="C117" s="11" t="s">
        <v>23</v>
      </c>
      <c r="D117" s="12">
        <f>GETPIVOTDATA("Sum of AM FIELD",'Pivot Table'!$A$112,"DAY","Sat")</f>
        <v>295</v>
      </c>
      <c r="E117" s="12">
        <f>SUM(88+68+60+104)</f>
        <v>320</v>
      </c>
      <c r="F117" s="13">
        <f t="shared" ref="F117:F118" si="35">SUM(D117/E117)</f>
        <v>0.921875</v>
      </c>
      <c r="G117" s="14"/>
      <c r="I117" s="103" t="s">
        <v>35</v>
      </c>
      <c r="J117" s="11" t="s">
        <v>23</v>
      </c>
      <c r="K117" s="12">
        <f>GETPIVOTDATA("Sum of AM FIELD",'Pivot Table'!$A$124,"DAY","Sat")</f>
        <v>479</v>
      </c>
      <c r="L117" s="12">
        <f>SUM(104+104+104+104+112)</f>
        <v>528</v>
      </c>
      <c r="M117" s="13">
        <f t="shared" ref="M117:M118" si="36">SUM(K117/L117)</f>
        <v>0.90719696969696972</v>
      </c>
      <c r="N117" s="14"/>
      <c r="P117" s="103" t="s">
        <v>35</v>
      </c>
      <c r="Q117" s="11" t="s">
        <v>23</v>
      </c>
      <c r="R117" s="12">
        <f>GETPIVOTDATA("Sum of AM FIELD",'Pivot Table'!$A$136,"DAY","Sat")</f>
        <v>349</v>
      </c>
      <c r="S117" s="12">
        <f>SUM(108+80+92+96)</f>
        <v>376</v>
      </c>
      <c r="T117" s="13">
        <f t="shared" ref="T117:T118" si="37">SUM(R117/S117)</f>
        <v>0.92819148936170215</v>
      </c>
      <c r="U117" s="14"/>
    </row>
    <row r="118" spans="2:21" ht="17.25" thickBot="1" x14ac:dyDescent="0.35">
      <c r="B118" s="104"/>
      <c r="C118" s="15" t="s">
        <v>24</v>
      </c>
      <c r="D118" s="16">
        <f>GETPIVOTDATA("Sum of PM FIELD",'Pivot Table'!$A$112,"DAY","Sat")</f>
        <v>265</v>
      </c>
      <c r="E118" s="16">
        <f>SUM(76+76+96+88)</f>
        <v>336</v>
      </c>
      <c r="F118" s="17">
        <f t="shared" si="35"/>
        <v>0.78869047619047616</v>
      </c>
      <c r="G118" s="18"/>
      <c r="I118" s="104"/>
      <c r="J118" s="15" t="s">
        <v>24</v>
      </c>
      <c r="K118" s="16">
        <f>GETPIVOTDATA("Sum of PM FIELD",'Pivot Table'!$A$124,"DAY","Sat")</f>
        <v>254</v>
      </c>
      <c r="L118" s="16">
        <f>SUM(88+88+92+88+112)</f>
        <v>468</v>
      </c>
      <c r="M118" s="17">
        <f t="shared" si="36"/>
        <v>0.54273504273504269</v>
      </c>
      <c r="N118" s="18"/>
      <c r="P118" s="104"/>
      <c r="Q118" s="15" t="s">
        <v>24</v>
      </c>
      <c r="R118" s="16">
        <f>GETPIVOTDATA("Sum of PM FIELD",'Pivot Table'!$A$136,"DAY","Sat")</f>
        <v>307</v>
      </c>
      <c r="S118" s="16">
        <f>SUM(96+96+92+88)</f>
        <v>372</v>
      </c>
      <c r="T118" s="17">
        <f t="shared" si="37"/>
        <v>0.82526881720430112</v>
      </c>
      <c r="U118" s="18"/>
    </row>
    <row r="119" spans="2:21" ht="18" thickTop="1" thickBot="1" x14ac:dyDescent="0.35">
      <c r="B119" s="86" t="s">
        <v>25</v>
      </c>
      <c r="C119" s="25"/>
      <c r="D119" s="26">
        <f>SUM(D116:D118)</f>
        <v>560</v>
      </c>
      <c r="E119" s="26">
        <f>SUM(E116:E118)</f>
        <v>656</v>
      </c>
      <c r="F119" s="27">
        <f>SUM(D119/E119)</f>
        <v>0.85365853658536583</v>
      </c>
      <c r="G119" s="28"/>
      <c r="I119" s="86" t="s">
        <v>25</v>
      </c>
      <c r="J119" s="25"/>
      <c r="K119" s="26">
        <f>SUM(K116:K118)</f>
        <v>733</v>
      </c>
      <c r="L119" s="26">
        <f>SUM(L116:L118)</f>
        <v>996</v>
      </c>
      <c r="M119" s="27">
        <f>SUM(K119/L119)</f>
        <v>0.73594377510040165</v>
      </c>
      <c r="N119" s="28"/>
      <c r="P119" s="86" t="s">
        <v>25</v>
      </c>
      <c r="Q119" s="25"/>
      <c r="R119" s="26">
        <f>SUM(R116:R118)</f>
        <v>656</v>
      </c>
      <c r="S119" s="26">
        <f>SUM(S116:S118)</f>
        <v>748</v>
      </c>
      <c r="T119" s="27">
        <f>SUM(R119/S119)</f>
        <v>0.87700534759358284</v>
      </c>
      <c r="U119" s="28"/>
    </row>
    <row r="120" spans="2:21" ht="17.25" thickBot="1" x14ac:dyDescent="0.35">
      <c r="B120" s="6"/>
      <c r="C120" s="23"/>
      <c r="F120" s="29"/>
      <c r="I120" s="6"/>
      <c r="J120" s="23"/>
      <c r="K120" s="5"/>
      <c r="L120" s="5"/>
      <c r="M120" s="29"/>
      <c r="P120" s="6"/>
      <c r="Q120" s="23"/>
      <c r="R120" s="5"/>
      <c r="S120" s="5"/>
      <c r="T120" s="29"/>
    </row>
    <row r="121" spans="2:21" x14ac:dyDescent="0.3">
      <c r="B121" s="103" t="s">
        <v>37</v>
      </c>
      <c r="C121" s="11" t="s">
        <v>23</v>
      </c>
      <c r="D121" s="12">
        <f>GETPIVOTDATA("Sum of AM FIELD",'Pivot Table'!$A$112,"DAY","Sun")</f>
        <v>229</v>
      </c>
      <c r="E121" s="12">
        <f>SUM(96+32+4+104)</f>
        <v>236</v>
      </c>
      <c r="F121" s="13">
        <f t="shared" ref="F121:F122" si="38">SUM(D121/E121)</f>
        <v>0.97033898305084743</v>
      </c>
      <c r="G121" s="14"/>
      <c r="I121" s="103" t="s">
        <v>37</v>
      </c>
      <c r="J121" s="11" t="s">
        <v>23</v>
      </c>
      <c r="K121" s="12">
        <f>GETPIVOTDATA("Sum of AM FIELD",'Pivot Table'!$A$124,"DAY","Sun")</f>
        <v>254</v>
      </c>
      <c r="L121" s="12">
        <f>SUM(80+104+104)</f>
        <v>288</v>
      </c>
      <c r="M121" s="13">
        <f t="shared" ref="M121:M122" si="39">SUM(K121/L121)</f>
        <v>0.88194444444444442</v>
      </c>
      <c r="N121" s="14"/>
      <c r="P121" s="103" t="s">
        <v>37</v>
      </c>
      <c r="Q121" s="11" t="s">
        <v>23</v>
      </c>
      <c r="R121" s="12">
        <f>GETPIVOTDATA("Sum of AM FIELD",'Pivot Table'!$A$136,"DAY","Sun")</f>
        <v>508</v>
      </c>
      <c r="S121" s="12">
        <f>SUM(112+104+104+104+104)</f>
        <v>528</v>
      </c>
      <c r="T121" s="13">
        <f t="shared" ref="T121:T122" si="40">SUM(R121/S121)</f>
        <v>0.96212121212121215</v>
      </c>
      <c r="U121" s="14"/>
    </row>
    <row r="122" spans="2:21" ht="17.25" thickBot="1" x14ac:dyDescent="0.35">
      <c r="B122" s="104"/>
      <c r="C122" s="15" t="s">
        <v>24</v>
      </c>
      <c r="D122" s="16">
        <f>GETPIVOTDATA("Sum of PM FIELD",'Pivot Table'!$A$112,"DAY","Sun")</f>
        <v>269</v>
      </c>
      <c r="E122" s="16">
        <f>SUM(88+104+12+88)</f>
        <v>292</v>
      </c>
      <c r="F122" s="17">
        <f t="shared" si="38"/>
        <v>0.92123287671232879</v>
      </c>
      <c r="G122" s="18"/>
      <c r="I122" s="104"/>
      <c r="J122" s="15" t="s">
        <v>24</v>
      </c>
      <c r="K122" s="16">
        <f>GETPIVOTDATA("Sum of PM FIELD",'Pivot Table'!$A$124,"DAY","Sun")</f>
        <v>213</v>
      </c>
      <c r="L122" s="16">
        <f>SUM(72+88+88)</f>
        <v>248</v>
      </c>
      <c r="M122" s="17">
        <f t="shared" si="39"/>
        <v>0.8588709677419355</v>
      </c>
      <c r="N122" s="18"/>
      <c r="P122" s="104"/>
      <c r="Q122" s="15" t="s">
        <v>24</v>
      </c>
      <c r="R122" s="16">
        <f>GETPIVOTDATA("Sum of PM FIELD",'Pivot Table'!$A$136,"DAY","Sun")</f>
        <v>384</v>
      </c>
      <c r="S122" s="16">
        <f>SUM(112+92+88+88+96)</f>
        <v>476</v>
      </c>
      <c r="T122" s="17">
        <f t="shared" si="40"/>
        <v>0.80672268907563027</v>
      </c>
      <c r="U122" s="18"/>
    </row>
    <row r="123" spans="2:21" ht="18" thickTop="1" thickBot="1" x14ac:dyDescent="0.35">
      <c r="B123" s="86" t="s">
        <v>25</v>
      </c>
      <c r="C123" s="25"/>
      <c r="D123" s="26">
        <f>SUM(D120:D122)</f>
        <v>498</v>
      </c>
      <c r="E123" s="26">
        <f>SUM(E120:E122)</f>
        <v>528</v>
      </c>
      <c r="F123" s="27">
        <f>SUM(D123/E123)</f>
        <v>0.94318181818181823</v>
      </c>
      <c r="G123" s="28"/>
      <c r="I123" s="86" t="s">
        <v>25</v>
      </c>
      <c r="J123" s="25"/>
      <c r="K123" s="26">
        <f>SUM(K120:K122)</f>
        <v>467</v>
      </c>
      <c r="L123" s="26">
        <f>SUM(L120:L122)</f>
        <v>536</v>
      </c>
      <c r="M123" s="27">
        <f>SUM(K123/L123)</f>
        <v>0.87126865671641796</v>
      </c>
      <c r="N123" s="28"/>
      <c r="P123" s="86" t="s">
        <v>25</v>
      </c>
      <c r="Q123" s="25"/>
      <c r="R123" s="26">
        <f>SUM(R120:R122)</f>
        <v>892</v>
      </c>
      <c r="S123" s="26">
        <f>SUM(S120:S122)</f>
        <v>1004</v>
      </c>
      <c r="T123" s="27">
        <f>SUM(R123/S123)</f>
        <v>0.88844621513944222</v>
      </c>
      <c r="U123" s="28"/>
    </row>
  </sheetData>
  <mergeCells count="84">
    <mergeCell ref="B28:B29"/>
    <mergeCell ref="B4:B5"/>
    <mergeCell ref="B8:B9"/>
    <mergeCell ref="B12:B13"/>
    <mergeCell ref="B16:B17"/>
    <mergeCell ref="B20:B21"/>
    <mergeCell ref="B24:B25"/>
    <mergeCell ref="B90:B91"/>
    <mergeCell ref="B35:B36"/>
    <mergeCell ref="B39:B40"/>
    <mergeCell ref="B43:B44"/>
    <mergeCell ref="B47:B48"/>
    <mergeCell ref="B51:B52"/>
    <mergeCell ref="B55:B56"/>
    <mergeCell ref="B59:B60"/>
    <mergeCell ref="B66:B67"/>
    <mergeCell ref="B70:B71"/>
    <mergeCell ref="B74:B75"/>
    <mergeCell ref="B78:B79"/>
    <mergeCell ref="B82:B83"/>
    <mergeCell ref="B86:B87"/>
    <mergeCell ref="P117:P118"/>
    <mergeCell ref="P121:P122"/>
    <mergeCell ref="B97:B98"/>
    <mergeCell ref="B101:B102"/>
    <mergeCell ref="B105:B106"/>
    <mergeCell ref="B109:B110"/>
    <mergeCell ref="B113:B114"/>
    <mergeCell ref="B117:B118"/>
    <mergeCell ref="B121:B122"/>
    <mergeCell ref="P113:P114"/>
    <mergeCell ref="I121:I122"/>
    <mergeCell ref="I109:I110"/>
    <mergeCell ref="I113:I114"/>
    <mergeCell ref="I117:I118"/>
    <mergeCell ref="P90:P91"/>
    <mergeCell ref="P97:P98"/>
    <mergeCell ref="P101:P102"/>
    <mergeCell ref="P105:P106"/>
    <mergeCell ref="P109:P110"/>
    <mergeCell ref="P86:P87"/>
    <mergeCell ref="P35:P36"/>
    <mergeCell ref="P39:P40"/>
    <mergeCell ref="P43:P44"/>
    <mergeCell ref="P47:P48"/>
    <mergeCell ref="P51:P52"/>
    <mergeCell ref="P55:P56"/>
    <mergeCell ref="P59:P60"/>
    <mergeCell ref="P66:P67"/>
    <mergeCell ref="P70:P71"/>
    <mergeCell ref="P74:P75"/>
    <mergeCell ref="P78:P79"/>
    <mergeCell ref="P82:P83"/>
    <mergeCell ref="P28:P29"/>
    <mergeCell ref="P4:P5"/>
    <mergeCell ref="P8:P9"/>
    <mergeCell ref="P12:P13"/>
    <mergeCell ref="P16:P17"/>
    <mergeCell ref="P20:P21"/>
    <mergeCell ref="P24:P25"/>
    <mergeCell ref="I59:I60"/>
    <mergeCell ref="I4:I5"/>
    <mergeCell ref="I8:I9"/>
    <mergeCell ref="I12:I13"/>
    <mergeCell ref="I16:I17"/>
    <mergeCell ref="I20:I21"/>
    <mergeCell ref="I24:I25"/>
    <mergeCell ref="I28:I29"/>
    <mergeCell ref="I35:I36"/>
    <mergeCell ref="I39:I40"/>
    <mergeCell ref="I43:I44"/>
    <mergeCell ref="I47:I48"/>
    <mergeCell ref="I51:I52"/>
    <mergeCell ref="I55:I56"/>
    <mergeCell ref="I66:I67"/>
    <mergeCell ref="I70:I71"/>
    <mergeCell ref="I74:I75"/>
    <mergeCell ref="I78:I79"/>
    <mergeCell ref="I82:I83"/>
    <mergeCell ref="I86:I87"/>
    <mergeCell ref="I90:I91"/>
    <mergeCell ref="I97:I98"/>
    <mergeCell ref="I101:I102"/>
    <mergeCell ref="I105:I106"/>
  </mergeCells>
  <pageMargins left="0.7" right="0.7" top="0.75" bottom="0.75" header="0.3" footer="0.3"/>
  <pageSetup paperSiz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5B38-B72D-43D1-B892-AE32FCB63AB8}">
  <dimension ref="B1:O54"/>
  <sheetViews>
    <sheetView workbookViewId="0">
      <selection activeCell="L20" sqref="L20:N22"/>
    </sheetView>
  </sheetViews>
  <sheetFormatPr defaultRowHeight="16.5" x14ac:dyDescent="0.3"/>
  <cols>
    <col min="1" max="1" width="9.140625" style="30"/>
    <col min="2" max="2" width="34.28515625" style="30" bestFit="1" customWidth="1"/>
    <col min="3" max="3" width="12.85546875" style="30" bestFit="1" customWidth="1"/>
    <col min="4" max="4" width="17.85546875" style="30" customWidth="1"/>
    <col min="5" max="5" width="16.5703125" style="30" bestFit="1" customWidth="1"/>
    <col min="6" max="6" width="18.140625" style="30" customWidth="1"/>
    <col min="7" max="7" width="10" style="30" bestFit="1" customWidth="1"/>
    <col min="8" max="9" width="9.140625" style="30"/>
    <col min="10" max="10" width="35.85546875" style="30" bestFit="1" customWidth="1"/>
    <col min="11" max="11" width="9.140625" style="30"/>
    <col min="12" max="12" width="15.140625" style="30" customWidth="1"/>
    <col min="13" max="13" width="14.5703125" style="30" customWidth="1"/>
    <col min="14" max="14" width="18.7109375" style="30" customWidth="1"/>
    <col min="15" max="15" width="10" style="30" bestFit="1" customWidth="1"/>
    <col min="16" max="16384" width="9.140625" style="30"/>
  </cols>
  <sheetData>
    <row r="1" spans="2:15" ht="17.25" thickBot="1" x14ac:dyDescent="0.35"/>
    <row r="2" spans="2:15" ht="68.25" thickBot="1" x14ac:dyDescent="0.35">
      <c r="B2" s="31" t="s">
        <v>89</v>
      </c>
      <c r="C2" s="32"/>
      <c r="D2" s="33" t="s">
        <v>18</v>
      </c>
      <c r="E2" s="33" t="s">
        <v>19</v>
      </c>
      <c r="F2" s="33" t="s">
        <v>91</v>
      </c>
      <c r="G2" s="32" t="s">
        <v>21</v>
      </c>
      <c r="J2" s="31" t="s">
        <v>90</v>
      </c>
      <c r="K2" s="32"/>
      <c r="L2" s="33" t="s">
        <v>18</v>
      </c>
      <c r="M2" s="33" t="s">
        <v>19</v>
      </c>
      <c r="N2" s="33" t="s">
        <v>91</v>
      </c>
      <c r="O2" s="32" t="s">
        <v>21</v>
      </c>
    </row>
    <row r="3" spans="2:15" ht="17.25" thickBot="1" x14ac:dyDescent="0.35">
      <c r="B3" s="2"/>
      <c r="C3" s="2"/>
      <c r="D3" s="5"/>
      <c r="E3" s="5"/>
      <c r="F3" s="5"/>
      <c r="G3" s="2"/>
    </row>
    <row r="4" spans="2:15" x14ac:dyDescent="0.3">
      <c r="B4" s="103" t="s">
        <v>22</v>
      </c>
      <c r="C4" s="11" t="s">
        <v>23</v>
      </c>
      <c r="D4" s="46">
        <f>'Occupancy Report'!D4+'Occupancy Report'!K4+'Occupancy Report'!R4+'Occupancy Report'!D35+'Occupancy Report'!K35+'Occupancy Report'!R35+'Occupancy Report'!D66+'Occupancy Report'!K66+'Occupancy Report'!R66+'Occupancy Report'!D97+'Occupancy Report'!K97+'Occupancy Report'!R97</f>
        <v>2260</v>
      </c>
      <c r="E4" s="46">
        <f>'Occupancy Report'!E4+'Occupancy Report'!L4+'Occupancy Report'!S4+'Occupancy Report'!S35+'Occupancy Report'!L35+'Occupancy Report'!E35+'Occupancy Report'!E66+'Occupancy Report'!L66+'Occupancy Report'!S66+'Occupancy Report'!S97+'Occupancy Report'!L97+'Occupancy Report'!E97</f>
        <v>3394</v>
      </c>
      <c r="F4" s="47">
        <f>SUM(D4/E4)</f>
        <v>0.66588096641131411</v>
      </c>
      <c r="G4" s="14"/>
      <c r="J4" s="103" t="s">
        <v>8</v>
      </c>
      <c r="K4" s="11" t="s">
        <v>23</v>
      </c>
      <c r="L4" s="12">
        <f>'Occupancy Report'!D4+'Occupancy Report'!D8+'Occupancy Report'!D12+'Occupancy Report'!D16+'Occupancy Report'!D20+'Occupancy Report'!D24+'Occupancy Report'!D28</f>
        <v>2561</v>
      </c>
      <c r="M4" s="12">
        <f>'Occupancy Report'!E4+'Occupancy Report'!E8+'Occupancy Report'!E12+'Occupancy Report'!E16+'Occupancy Report'!E20+'Occupancy Report'!E24+'Occupancy Report'!E28</f>
        <v>3124</v>
      </c>
      <c r="N4" s="47">
        <f t="shared" ref="N4:N5" si="0">SUM(L4/M4)</f>
        <v>0.81978233034571057</v>
      </c>
      <c r="O4" s="14"/>
    </row>
    <row r="5" spans="2:15" ht="17.25" thickBot="1" x14ac:dyDescent="0.35">
      <c r="B5" s="105"/>
      <c r="C5" s="15" t="s">
        <v>24</v>
      </c>
      <c r="D5" s="36">
        <f>'Occupancy Report'!D5+'Occupancy Report'!L5+'Occupancy Report'!R5+'Occupancy Report'!R36+'Occupancy Report'!K36+'Occupancy Report'!D36+'Occupancy Report'!D67+'Occupancy Report'!K67+'Occupancy Report'!R67+'Occupancy Report'!R98+'Occupancy Report'!K98+'Occupancy Report'!D98</f>
        <v>3467</v>
      </c>
      <c r="E5" s="36">
        <f>'Occupancy Report'!E5+'Occupancy Report'!L5+'Occupancy Report'!S4+'Occupancy Report'!S36+'Occupancy Report'!L36+'Occupancy Report'!E36+'Occupancy Report'!E67+'Occupancy Report'!L67+'Occupancy Report'!S67+'Occupancy Report'!S98+'Occupancy Report'!L98+'Occupancy Report'!E98</f>
        <v>4192</v>
      </c>
      <c r="F5" s="48">
        <f>SUM(D5/E5)</f>
        <v>0.82705152671755722</v>
      </c>
      <c r="G5" s="44"/>
      <c r="J5" s="105"/>
      <c r="K5" s="15" t="s">
        <v>24</v>
      </c>
      <c r="L5" s="3">
        <f>'Occupancy Report'!D5+'Occupancy Report'!D9+'Occupancy Report'!D13+'Occupancy Report'!D17+'Occupancy Report'!D21+'Occupancy Report'!D25+'Occupancy Report'!D29</f>
        <v>2044</v>
      </c>
      <c r="M5" s="36">
        <f>'Occupancy Report'!E5+'Occupancy Report'!E9+'Occupancy Report'!E13+'Occupancy Report'!E17+'Occupancy Report'!E21+'Occupancy Report'!E25+'Occupancy Report'!E29</f>
        <v>2928</v>
      </c>
      <c r="N5" s="48">
        <f t="shared" si="0"/>
        <v>0.69808743169398912</v>
      </c>
      <c r="O5" s="44"/>
    </row>
    <row r="6" spans="2:15" ht="18" thickTop="1" thickBot="1" x14ac:dyDescent="0.35">
      <c r="B6" s="45" t="s">
        <v>26</v>
      </c>
      <c r="C6" s="19"/>
      <c r="D6" s="26">
        <f>SUM(D4:D5)</f>
        <v>5727</v>
      </c>
      <c r="E6" s="26">
        <f>SUM(E4:E5)</f>
        <v>7586</v>
      </c>
      <c r="F6" s="49">
        <f>SUM(D6/E6)</f>
        <v>0.7549433166359083</v>
      </c>
      <c r="G6" s="28"/>
      <c r="J6" s="45" t="s">
        <v>106</v>
      </c>
      <c r="K6" s="25"/>
      <c r="L6" s="26">
        <f>SUM(L4:L5)</f>
        <v>4605</v>
      </c>
      <c r="M6" s="26">
        <f>SUM(M4:M5)</f>
        <v>6052</v>
      </c>
      <c r="N6" s="49">
        <f>SUM(L6/M6)</f>
        <v>0.76090548578982153</v>
      </c>
      <c r="O6" s="28"/>
    </row>
    <row r="7" spans="2:15" ht="17.25" thickBot="1" x14ac:dyDescent="0.35">
      <c r="B7" s="2"/>
      <c r="C7" s="23"/>
      <c r="D7" s="2"/>
      <c r="E7" s="2"/>
      <c r="F7" s="51"/>
      <c r="G7" s="2"/>
      <c r="J7" s="2"/>
      <c r="K7" s="2"/>
      <c r="L7" s="2"/>
      <c r="M7" s="2"/>
      <c r="N7" s="24"/>
      <c r="O7" s="2"/>
    </row>
    <row r="8" spans="2:15" ht="15" customHeight="1" x14ac:dyDescent="0.3">
      <c r="B8" s="103" t="s">
        <v>27</v>
      </c>
      <c r="C8" s="11" t="s">
        <v>23</v>
      </c>
      <c r="D8" s="46">
        <f>'Occupancy Report'!D8+'Occupancy Report'!K8+'Occupancy Report'!R8+'Occupancy Report'!R39+'Occupancy Report'!K39+'Occupancy Report'!D39+'Occupancy Report'!D70+'Occupancy Report'!K70+'Occupancy Report'!R70+'Occupancy Report'!R101+'Occupancy Report'!K101+'Occupancy Report'!D101</f>
        <v>4220</v>
      </c>
      <c r="E8" s="46">
        <f>'Occupancy Report'!E8+'Occupancy Report'!L8+'Occupancy Report'!S8+'Occupancy Report'!S39+'Occupancy Report'!L39+'Occupancy Report'!E39+'Occupancy Report'!E70+'Occupancy Report'!L70+'Occupancy Report'!S70+'Occupancy Report'!S101+'Occupancy Report'!L101+'Occupancy Report'!E101</f>
        <v>5468</v>
      </c>
      <c r="F8" s="47">
        <f t="shared" ref="F8:F29" si="1">SUM(D8/E8)</f>
        <v>0.77176298463789317</v>
      </c>
      <c r="G8" s="14"/>
      <c r="J8" s="103" t="s">
        <v>81</v>
      </c>
      <c r="K8" s="11" t="s">
        <v>23</v>
      </c>
      <c r="L8" s="12">
        <f>'Occupancy Report'!K4+'Occupancy Report'!K8+'Occupancy Report'!K12+'Occupancy Report'!K16+'Occupancy Report'!K20+'Occupancy Report'!K24+'Occupancy Report'!K28</f>
        <v>2248</v>
      </c>
      <c r="M8" s="12">
        <f>'Occupancy Report'!L4+'Occupancy Report'!L8+'Occupancy Report'!L12+'Occupancy Report'!L16+'Occupancy Report'!L20+'Occupancy Report'!L24+'Occupancy Report'!L28</f>
        <v>2690</v>
      </c>
      <c r="N8" s="47">
        <f t="shared" ref="N8:N9" si="2">SUM(L8/M8)</f>
        <v>0.83568773234200744</v>
      </c>
      <c r="O8" s="14"/>
    </row>
    <row r="9" spans="2:15" ht="15" customHeight="1" thickBot="1" x14ac:dyDescent="0.35">
      <c r="B9" s="105"/>
      <c r="C9" s="15" t="s">
        <v>24</v>
      </c>
      <c r="D9" s="36">
        <f>'Occupancy Report'!D9+'Occupancy Report'!K9+'Occupancy Report'!R9+'Occupancy Report'!R40+'Occupancy Report'!K40+'Occupancy Report'!D40+'Occupancy Report'!D71+'Occupancy Report'!K71+'Occupancy Report'!R71+'Occupancy Report'!R102+'Occupancy Report'!K102+'Occupancy Report'!D102</f>
        <v>1635</v>
      </c>
      <c r="E9" s="36">
        <f>'Occupancy Report'!E9+'Occupancy Report'!L9+'Occupancy Report'!S9+'Occupancy Report'!S40+'Occupancy Report'!L40+'Occupancy Report'!E40+'Occupancy Report'!E71+'Occupancy Report'!L71+'Occupancy Report'!S71+'Occupancy Report'!S102+'Occupancy Report'!L102+'Occupancy Report'!E102</f>
        <v>3800</v>
      </c>
      <c r="F9" s="48">
        <f t="shared" si="1"/>
        <v>0.43026315789473685</v>
      </c>
      <c r="G9" s="44"/>
      <c r="J9" s="105"/>
      <c r="K9" s="15" t="s">
        <v>24</v>
      </c>
      <c r="L9" s="3">
        <f>'Occupancy Report'!K5+'Occupancy Report'!K9+'Occupancy Report'!K13+'Occupancy Report'!K17+'Occupancy Report'!K21+'Occupancy Report'!K25+'Occupancy Report'!K29</f>
        <v>2165</v>
      </c>
      <c r="M9" s="36">
        <f>'Occupancy Report'!L5+'Occupancy Report'!L9+'Occupancy Report'!L13+'Occupancy Report'!L17+'Occupancy Report'!L21+'Occupancy Report'!L25+'Occupancy Report'!L29</f>
        <v>2788</v>
      </c>
      <c r="N9" s="48">
        <f t="shared" si="2"/>
        <v>0.77654232424677183</v>
      </c>
      <c r="O9" s="44"/>
    </row>
    <row r="10" spans="2:15" ht="16.5" customHeight="1" thickTop="1" thickBot="1" x14ac:dyDescent="0.35">
      <c r="B10" s="45" t="s">
        <v>28</v>
      </c>
      <c r="C10" s="25"/>
      <c r="D10" s="26">
        <f>SUM(D8:D9)</f>
        <v>5855</v>
      </c>
      <c r="E10" s="26">
        <f>SUM(E8:E9)</f>
        <v>9268</v>
      </c>
      <c r="F10" s="49">
        <f>SUM(D10/E10)</f>
        <v>0.63174363400949507</v>
      </c>
      <c r="G10" s="28"/>
      <c r="J10" s="45" t="s">
        <v>87</v>
      </c>
      <c r="K10" s="25"/>
      <c r="L10" s="26">
        <f>SUM(L8:L9)</f>
        <v>4413</v>
      </c>
      <c r="M10" s="26">
        <f>SUM(M8:M9)</f>
        <v>5478</v>
      </c>
      <c r="N10" s="49">
        <f>SUM(L10/M10)</f>
        <v>0.80558598028477546</v>
      </c>
      <c r="O10" s="28"/>
    </row>
    <row r="11" spans="2:15" ht="15.75" customHeight="1" thickBot="1" x14ac:dyDescent="0.35">
      <c r="B11" s="2"/>
      <c r="C11" s="23"/>
      <c r="D11" s="2"/>
      <c r="E11" s="2"/>
      <c r="F11" s="51"/>
      <c r="G11" s="2"/>
      <c r="J11" s="2"/>
      <c r="K11" s="2"/>
      <c r="L11" s="2"/>
      <c r="M11" s="2"/>
      <c r="N11" s="51"/>
      <c r="O11" s="2"/>
    </row>
    <row r="12" spans="2:15" ht="15" customHeight="1" x14ac:dyDescent="0.3">
      <c r="B12" s="103" t="s">
        <v>29</v>
      </c>
      <c r="C12" s="11" t="s">
        <v>23</v>
      </c>
      <c r="D12" s="46">
        <f>'Occupancy Report'!D12+'Occupancy Report'!K12+'Occupancy Report'!R12+'Occupancy Report'!R43+'Occupancy Report'!K43+'Occupancy Report'!D43+'Occupancy Report'!D74+'Occupancy Report'!K74+'Occupancy Report'!R74+'Occupancy Report'!R105+'Occupancy Report'!K105+'Occupancy Report'!D105</f>
        <v>3352</v>
      </c>
      <c r="E12" s="46">
        <f>'Occupancy Report'!E12+'Occupancy Report'!L12+'Occupancy Report'!S12+'Occupancy Report'!S43+'Occupancy Report'!L43+'Occupancy Report'!E43+'Occupancy Report'!E74+'Occupancy Report'!L74+'Occupancy Report'!S74+'Occupancy Report'!S105+'Occupancy Report'!L105+'Occupancy Report'!E105</f>
        <v>4632</v>
      </c>
      <c r="F12" s="47">
        <f t="shared" si="1"/>
        <v>0.72366148531951646</v>
      </c>
      <c r="G12" s="14"/>
      <c r="J12" s="103" t="s">
        <v>9</v>
      </c>
      <c r="K12" s="11" t="s">
        <v>23</v>
      </c>
      <c r="L12" s="12">
        <f>GETPIVOTDATA("Sum of AM FIELD",'Pivot Table'!$A$28)</f>
        <v>2385</v>
      </c>
      <c r="M12" s="12">
        <f>'Occupancy Report'!S4+'Occupancy Report'!S8+'Occupancy Report'!S12+'Occupancy Report'!S16+'Occupancy Report'!S20+'Occupancy Report'!S24+'Occupancy Report'!S28</f>
        <v>2784</v>
      </c>
      <c r="N12" s="47">
        <f t="shared" ref="N12:N13" si="3">SUM(L12/M12)</f>
        <v>0.85668103448275867</v>
      </c>
      <c r="O12" s="14"/>
    </row>
    <row r="13" spans="2:15" ht="15" customHeight="1" thickBot="1" x14ac:dyDescent="0.35">
      <c r="B13" s="105"/>
      <c r="C13" s="15" t="s">
        <v>24</v>
      </c>
      <c r="D13" s="36">
        <f>'Occupancy Report'!D13+'Occupancy Report'!K13+'Occupancy Report'!R13+'Occupancy Report'!R44+'Occupancy Report'!K44+'Occupancy Report'!D44+'Occupancy Report'!D75+'Occupancy Report'!K75+'Occupancy Report'!R75+'Occupancy Report'!R106+'Occupancy Report'!K106+'Occupancy Report'!D106</f>
        <v>3559</v>
      </c>
      <c r="E13" s="36">
        <f>'Occupancy Report'!E13+'Occupancy Report'!L13+'Occupancy Report'!S13+'Occupancy Report'!S44+'Occupancy Report'!L44+'Occupancy Report'!E44+'Occupancy Report'!E75+'Occupancy Report'!L75+'Occupancy Report'!S75+'Occupancy Report'!S106+'Occupancy Report'!L106+'Occupancy Report'!E106</f>
        <v>4734</v>
      </c>
      <c r="F13" s="48">
        <f t="shared" si="1"/>
        <v>0.75179552175749897</v>
      </c>
      <c r="G13" s="44"/>
      <c r="J13" s="105"/>
      <c r="K13" s="15" t="s">
        <v>24</v>
      </c>
      <c r="L13" s="3">
        <f>GETPIVOTDATA("Sum of PM FIELD",'Pivot Table'!$A$28)</f>
        <v>2029</v>
      </c>
      <c r="M13" s="36">
        <f>'Occupancy Report'!S5+'Occupancy Report'!S9+'Occupancy Report'!S13+'Occupancy Report'!S17+'Occupancy Report'!S21+'Occupancy Report'!S25+'Occupancy Report'!S29</f>
        <v>2832</v>
      </c>
      <c r="N13" s="48">
        <f t="shared" si="3"/>
        <v>0.716454802259887</v>
      </c>
      <c r="O13" s="44"/>
    </row>
    <row r="14" spans="2:15" ht="16.5" customHeight="1" thickTop="1" thickBot="1" x14ac:dyDescent="0.35">
      <c r="B14" s="45" t="s">
        <v>30</v>
      </c>
      <c r="C14" s="25"/>
      <c r="D14" s="26">
        <f>SUM(D12:D13)</f>
        <v>6911</v>
      </c>
      <c r="E14" s="26">
        <f>SUM(E12:E13)</f>
        <v>9366</v>
      </c>
      <c r="F14" s="49">
        <f>SUM(D14/E14)</f>
        <v>0.73788169976510787</v>
      </c>
      <c r="G14" s="28"/>
      <c r="J14" s="45" t="s">
        <v>88</v>
      </c>
      <c r="K14" s="25"/>
      <c r="L14" s="26">
        <f>SUM(L12:L13)</f>
        <v>4414</v>
      </c>
      <c r="M14" s="26">
        <f>SUM(M12:M13)</f>
        <v>5616</v>
      </c>
      <c r="N14" s="49">
        <f>SUM(L14/M14)</f>
        <v>0.78596866096866091</v>
      </c>
      <c r="O14" s="28"/>
    </row>
    <row r="15" spans="2:15" ht="17.25" thickBot="1" x14ac:dyDescent="0.35">
      <c r="B15" s="2"/>
      <c r="C15" s="23"/>
      <c r="D15" s="2"/>
      <c r="E15" s="2"/>
      <c r="F15" s="51"/>
      <c r="G15" s="2"/>
      <c r="J15" s="2"/>
      <c r="K15" s="2"/>
      <c r="L15" s="2"/>
      <c r="M15" s="2"/>
      <c r="N15" s="24"/>
      <c r="O15" s="2"/>
    </row>
    <row r="16" spans="2:15" ht="15" customHeight="1" x14ac:dyDescent="0.3">
      <c r="B16" s="103" t="s">
        <v>31</v>
      </c>
      <c r="C16" s="11" t="s">
        <v>23</v>
      </c>
      <c r="D16" s="46">
        <f>'Occupancy Report'!D16+'Occupancy Report'!K16+'Occupancy Report'!R16+'Occupancy Report'!R47+'Occupancy Report'!K47+'Occupancy Report'!D47+'Occupancy Report'!D78+'Occupancy Report'!K78+'Occupancy Report'!R78+'Occupancy Report'!R109+'Occupancy Report'!K109+'Occupancy Report'!D109</f>
        <v>3874</v>
      </c>
      <c r="E16" s="46">
        <f>'Occupancy Report'!E16+'Occupancy Report'!L16+'Occupancy Report'!S16+'Occupancy Report'!S47+'Occupancy Report'!L47+'Occupancy Report'!E47+'Occupancy Report'!E78+'Occupancy Report'!L78+'Occupancy Report'!S78+'Occupancy Report'!S109+'Occupancy Report'!L109+'Occupancy Report'!E109</f>
        <v>4308</v>
      </c>
      <c r="F16" s="47">
        <f t="shared" si="1"/>
        <v>0.89925719591457753</v>
      </c>
      <c r="G16" s="14"/>
      <c r="J16" s="103" t="s">
        <v>10</v>
      </c>
      <c r="K16" s="11" t="s">
        <v>23</v>
      </c>
      <c r="L16" s="12">
        <f>GETPIVOTDATA("Sum of AM FIELD",'Pivot Table'!$A$40)</f>
        <v>2280</v>
      </c>
      <c r="M16" s="12">
        <f>'Occupancy Report'!E35+'Occupancy Report'!E39+'Occupancy Report'!E43+'Occupancy Report'!E47+'Occupancy Report'!E51+'Occupancy Report'!E55+'Occupancy Report'!E59</f>
        <v>2708</v>
      </c>
      <c r="N16" s="47">
        <f t="shared" ref="N16:N17" si="4">SUM(L16/M16)</f>
        <v>0.84194977843426888</v>
      </c>
      <c r="O16" s="14"/>
    </row>
    <row r="17" spans="2:15" ht="15" customHeight="1" thickBot="1" x14ac:dyDescent="0.35">
      <c r="B17" s="105"/>
      <c r="C17" s="15" t="s">
        <v>24</v>
      </c>
      <c r="D17" s="36">
        <f>'Occupancy Report'!D17+'Occupancy Report'!K17+'Occupancy Report'!R17+'Occupancy Report'!R48+'Occupancy Report'!K48+'Occupancy Report'!D48+'Occupancy Report'!D79+'Occupancy Report'!K79+'Occupancy Report'!R79+'Occupancy Report'!R110+'Occupancy Report'!K110+'Occupancy Report'!D110</f>
        <v>3826</v>
      </c>
      <c r="E17" s="36">
        <f>'Occupancy Report'!E17+'Occupancy Report'!L17+'Occupancy Report'!S17+'Occupancy Report'!S48+'Occupancy Report'!L48+'Occupancy Report'!E48+'Occupancy Report'!E79+'Occupancy Report'!L79+'Occupancy Report'!S79+'Occupancy Report'!S110+'Occupancy Report'!L110+'Occupancy Report'!E110</f>
        <v>4888</v>
      </c>
      <c r="F17" s="48">
        <f t="shared" si="1"/>
        <v>0.78273322422258595</v>
      </c>
      <c r="G17" s="44"/>
      <c r="J17" s="105"/>
      <c r="K17" s="15" t="s">
        <v>24</v>
      </c>
      <c r="L17" s="3">
        <f>GETPIVOTDATA("Sum of PM FIELD",'Pivot Table'!$A$40)</f>
        <v>2120</v>
      </c>
      <c r="M17" s="36">
        <f>'Occupancy Report'!E36+'Occupancy Report'!E40+'Occupancy Report'!E44+'Occupancy Report'!E48+'Occupancy Report'!E52+'Occupancy Report'!E56+'Occupancy Report'!E60</f>
        <v>2570</v>
      </c>
      <c r="N17" s="48">
        <f t="shared" si="4"/>
        <v>0.82490272373540852</v>
      </c>
      <c r="O17" s="44"/>
    </row>
    <row r="18" spans="2:15" ht="16.5" customHeight="1" thickTop="1" thickBot="1" x14ac:dyDescent="0.35">
      <c r="B18" s="45" t="s">
        <v>32</v>
      </c>
      <c r="C18" s="25"/>
      <c r="D18" s="26">
        <f>SUM(D16:D17)</f>
        <v>7700</v>
      </c>
      <c r="E18" s="26">
        <f>SUM(E16:E17)</f>
        <v>9196</v>
      </c>
      <c r="F18" s="49">
        <f>SUM(D18/E18)</f>
        <v>0.83732057416267947</v>
      </c>
      <c r="G18" s="28"/>
      <c r="J18" s="45" t="s">
        <v>92</v>
      </c>
      <c r="K18" s="25"/>
      <c r="L18" s="26">
        <f>SUM(L16:L17)</f>
        <v>4400</v>
      </c>
      <c r="M18" s="26">
        <f>SUM(M16:M17)</f>
        <v>5278</v>
      </c>
      <c r="N18" s="49">
        <f>SUM(L18/M18)</f>
        <v>0.83364910951117843</v>
      </c>
      <c r="O18" s="28"/>
    </row>
    <row r="19" spans="2:15" ht="17.25" thickBot="1" x14ac:dyDescent="0.35">
      <c r="B19" s="2"/>
      <c r="C19" s="23"/>
      <c r="D19" s="2"/>
      <c r="E19" s="2"/>
      <c r="F19" s="51"/>
      <c r="G19" s="2"/>
      <c r="J19" s="2"/>
      <c r="K19" s="2"/>
      <c r="L19" s="2"/>
      <c r="M19" s="2"/>
      <c r="N19" s="24"/>
      <c r="O19" s="2"/>
    </row>
    <row r="20" spans="2:15" ht="15" customHeight="1" x14ac:dyDescent="0.3">
      <c r="B20" s="103" t="s">
        <v>33</v>
      </c>
      <c r="C20" s="11" t="s">
        <v>23</v>
      </c>
      <c r="D20" s="46">
        <f>'Occupancy Report'!D20+'Occupancy Report'!K20+'Occupancy Report'!R20+'Occupancy Report'!R51+'Occupancy Report'!K51+'Occupancy Report'!D51+'Occupancy Report'!D82+'Occupancy Report'!K82+'Occupancy Report'!R82+'Occupancy Report'!R113+'Occupancy Report'!K113+'Occupancy Report'!D113</f>
        <v>4579</v>
      </c>
      <c r="E20" s="46">
        <f>'Occupancy Report'!E20+'Occupancy Report'!L20+'Occupancy Report'!S20+'Occupancy Report'!S51+'Occupancy Report'!L51+'Occupancy Report'!E51+'Occupancy Report'!E82+'Occupancy Report'!L82+'Occupancy Report'!S82+'Occupancy Report'!S113+'Occupancy Report'!L113+'Occupancy Report'!E113</f>
        <v>5318</v>
      </c>
      <c r="F20" s="47">
        <f t="shared" si="1"/>
        <v>0.86103798420458821</v>
      </c>
      <c r="G20" s="14"/>
      <c r="J20" s="103" t="s">
        <v>11</v>
      </c>
      <c r="K20" s="11" t="s">
        <v>23</v>
      </c>
      <c r="L20" s="12">
        <f>GETPIVOTDATA("Sum of AM FIELD",'Pivot Table'!$A$52)</f>
        <v>2487</v>
      </c>
      <c r="M20" s="12">
        <f>'Occupancy Report'!L35+'Occupancy Report'!L39+'Occupancy Report'!L43+'Occupancy Report'!L47+'Occupancy Report'!L51+'Occupancy Report'!L55+'Occupancy Report'!L59</f>
        <v>2822</v>
      </c>
      <c r="N20" s="47">
        <f t="shared" ref="N20:N21" si="5">SUM(L20/M20)</f>
        <v>0.88128986534372789</v>
      </c>
      <c r="O20" s="14"/>
    </row>
    <row r="21" spans="2:15" ht="15" customHeight="1" thickBot="1" x14ac:dyDescent="0.35">
      <c r="B21" s="105"/>
      <c r="C21" s="15" t="s">
        <v>24</v>
      </c>
      <c r="D21" s="36">
        <f>'Occupancy Report'!D21+'Occupancy Report'!K21+'Occupancy Report'!R21+'Occupancy Report'!R52+'Occupancy Report'!K52+'Occupancy Report'!D52+'Occupancy Report'!D83+'Occupancy Report'!K83+'Occupancy Report'!R83+'Occupancy Report'!R114+'Occupancy Report'!K114+'Occupancy Report'!D114</f>
        <v>3759</v>
      </c>
      <c r="E21" s="36">
        <f>'Occupancy Report'!E21+'Occupancy Report'!L21+'Occupancy Report'!S21+'Occupancy Report'!S52+'Occupancy Report'!L52+'Occupancy Report'!E52+'Occupancy Report'!E83+'Occupancy Report'!L83+'Occupancy Report'!S83+'Occupancy Report'!S114+'Occupancy Report'!L114+'Occupancy Report'!E114</f>
        <v>4684</v>
      </c>
      <c r="F21" s="48">
        <f t="shared" si="1"/>
        <v>0.80251921434671225</v>
      </c>
      <c r="G21" s="44"/>
      <c r="J21" s="105"/>
      <c r="K21" s="15" t="s">
        <v>24</v>
      </c>
      <c r="L21" s="3">
        <f>GETPIVOTDATA("Sum of PM FIELD",'Pivot Table'!$A$52)</f>
        <v>2173</v>
      </c>
      <c r="M21" s="36">
        <f>'Occupancy Report'!L60+'Occupancy Report'!L56+'Occupancy Report'!L52+'Occupancy Report'!L48+'Occupancy Report'!L44+'Occupancy Report'!L40+'Occupancy Report'!L36</f>
        <v>2720</v>
      </c>
      <c r="N21" s="48">
        <f t="shared" si="5"/>
        <v>0.79889705882352946</v>
      </c>
      <c r="O21" s="44"/>
    </row>
    <row r="22" spans="2:15" ht="16.5" customHeight="1" thickTop="1" thickBot="1" x14ac:dyDescent="0.35">
      <c r="B22" s="45" t="s">
        <v>34</v>
      </c>
      <c r="C22" s="25"/>
      <c r="D22" s="26">
        <f>SUM(D20:D21)</f>
        <v>8338</v>
      </c>
      <c r="E22" s="26">
        <f>SUM(E20:E21)</f>
        <v>10002</v>
      </c>
      <c r="F22" s="49">
        <f>SUM(D22/E22)</f>
        <v>0.83363327334533088</v>
      </c>
      <c r="G22" s="28"/>
      <c r="J22" s="45" t="s">
        <v>93</v>
      </c>
      <c r="K22" s="25"/>
      <c r="L22" s="26">
        <f>SUM(L20:L21)</f>
        <v>4660</v>
      </c>
      <c r="M22" s="26">
        <f>SUM(M20:M21)</f>
        <v>5542</v>
      </c>
      <c r="N22" s="49">
        <f>SUM(L22/M22)</f>
        <v>0.84085167809455075</v>
      </c>
      <c r="O22" s="28"/>
    </row>
    <row r="23" spans="2:15" ht="17.25" thickBot="1" x14ac:dyDescent="0.35">
      <c r="B23" s="2"/>
      <c r="C23" s="23"/>
      <c r="D23" s="2"/>
      <c r="E23" s="2"/>
      <c r="F23" s="51"/>
      <c r="G23" s="2"/>
      <c r="J23" s="2"/>
      <c r="K23" s="2"/>
      <c r="L23" s="2"/>
      <c r="M23" s="2"/>
      <c r="N23" s="24"/>
      <c r="O23" s="2"/>
    </row>
    <row r="24" spans="2:15" ht="15" customHeight="1" x14ac:dyDescent="0.3">
      <c r="B24" s="103" t="s">
        <v>35</v>
      </c>
      <c r="C24" s="11" t="s">
        <v>23</v>
      </c>
      <c r="D24" s="46">
        <f>'Occupancy Report'!D24+'Occupancy Report'!K24+'Occupancy Report'!R24+'Occupancy Report'!R55+'Occupancy Report'!K55+'Occupancy Report'!D55+'Occupancy Report'!D86+'Occupancy Report'!K86+'Occupancy Report'!R86+'Occupancy Report'!R117+'Occupancy Report'!K117+'Occupancy Report'!D117</f>
        <v>4305</v>
      </c>
      <c r="E24" s="46">
        <f>'Occupancy Report'!E24+'Occupancy Report'!L24+'Occupancy Report'!S24+'Occupancy Report'!S55+'Occupancy Report'!L55+'Occupancy Report'!E55+'Occupancy Report'!E86+'Occupancy Report'!L86+'Occupancy Report'!S86+'Occupancy Report'!S117+'Occupancy Report'!L117+'Occupancy Report'!E117</f>
        <v>4888</v>
      </c>
      <c r="F24" s="47">
        <f t="shared" si="1"/>
        <v>0.88072831423895259</v>
      </c>
      <c r="G24" s="14"/>
      <c r="J24" s="103" t="s">
        <v>12</v>
      </c>
      <c r="K24" s="11" t="s">
        <v>23</v>
      </c>
      <c r="L24" s="12">
        <f>GETPIVOTDATA("Sum of AM FIELD",'Pivot Table'!$A$64)</f>
        <v>2046</v>
      </c>
      <c r="M24" s="12">
        <f>'Occupancy Report'!S35+'Occupancy Report'!S39+'Occupancy Report'!S43+'Occupancy Report'!S47+'Occupancy Report'!S51+'Occupancy Report'!S55+'Occupancy Report'!S59</f>
        <v>2680</v>
      </c>
      <c r="N24" s="47">
        <f t="shared" ref="N24:N25" si="6">SUM(L24/M24)</f>
        <v>0.76343283582089549</v>
      </c>
      <c r="O24" s="14"/>
    </row>
    <row r="25" spans="2:15" ht="15" customHeight="1" thickBot="1" x14ac:dyDescent="0.35">
      <c r="B25" s="105"/>
      <c r="C25" s="15" t="s">
        <v>24</v>
      </c>
      <c r="D25" s="36">
        <f>'Occupancy Report'!D25+'Occupancy Report'!K25+'Occupancy Report'!R25+'Occupancy Report'!R56+'Occupancy Report'!K56+'Occupancy Report'!D56+'Occupancy Report'!D87+'Occupancy Report'!K87+'Occupancy Report'!R87+'Occupancy Report'!R118+'Occupancy Report'!K118+'Occupancy Report'!D118</f>
        <v>3315</v>
      </c>
      <c r="E25" s="36">
        <f>'Occupancy Report'!E25+'Occupancy Report'!L25+'Occupancy Report'!S25+'Occupancy Report'!S56+'Occupancy Report'!L56+'Occupancy Report'!E56+'Occupancy Report'!E87+'Occupancy Report'!L87+'Occupancy Report'!S87+'Occupancy Report'!S118+'Occupancy Report'!L118+'Occupancy Report'!E118</f>
        <v>4638</v>
      </c>
      <c r="F25" s="48">
        <f t="shared" si="1"/>
        <v>0.71474773609314357</v>
      </c>
      <c r="G25" s="44"/>
      <c r="J25" s="105"/>
      <c r="K25" s="15" t="s">
        <v>24</v>
      </c>
      <c r="L25" s="3">
        <f>GETPIVOTDATA("Sum of PM FIELD",'Pivot Table'!$A$64)</f>
        <v>1859</v>
      </c>
      <c r="M25" s="36">
        <f>'Occupancy Report'!S36+'Occupancy Report'!S40+'Occupancy Report'!S44+'Occupancy Report'!S48+'Occupancy Report'!S52+'Occupancy Report'!S56+'Occupancy Report'!S60</f>
        <v>2576</v>
      </c>
      <c r="N25" s="48">
        <f t="shared" si="6"/>
        <v>0.72166149068322982</v>
      </c>
      <c r="O25" s="44"/>
    </row>
    <row r="26" spans="2:15" ht="16.5" customHeight="1" thickTop="1" thickBot="1" x14ac:dyDescent="0.35">
      <c r="B26" s="45" t="s">
        <v>36</v>
      </c>
      <c r="C26" s="25"/>
      <c r="D26" s="26">
        <f>SUM(D24:D25)</f>
        <v>7620</v>
      </c>
      <c r="E26" s="26">
        <f>SUM(E24:E25)</f>
        <v>9526</v>
      </c>
      <c r="F26" s="49">
        <f>SUM(D26/E26)</f>
        <v>0.79991601931555745</v>
      </c>
      <c r="G26" s="28"/>
      <c r="J26" s="45" t="s">
        <v>94</v>
      </c>
      <c r="K26" s="25"/>
      <c r="L26" s="26">
        <f>SUM(L24:L25)</f>
        <v>3905</v>
      </c>
      <c r="M26" s="26">
        <f>SUM(M24:M25)</f>
        <v>5256</v>
      </c>
      <c r="N26" s="49">
        <f>SUM(L26/M26)</f>
        <v>0.74296042617960423</v>
      </c>
      <c r="O26" s="28"/>
    </row>
    <row r="27" spans="2:15" ht="17.25" thickBot="1" x14ac:dyDescent="0.35">
      <c r="B27" s="2"/>
      <c r="C27" s="23"/>
      <c r="D27" s="2"/>
      <c r="E27" s="2"/>
      <c r="F27" s="51"/>
      <c r="G27" s="2"/>
      <c r="J27" s="2"/>
      <c r="K27" s="2"/>
      <c r="L27" s="2"/>
      <c r="M27" s="2"/>
      <c r="N27" s="24"/>
      <c r="O27" s="2"/>
    </row>
    <row r="28" spans="2:15" ht="15" customHeight="1" x14ac:dyDescent="0.3">
      <c r="B28" s="103" t="s">
        <v>37</v>
      </c>
      <c r="C28" s="11" t="s">
        <v>23</v>
      </c>
      <c r="D28" s="46">
        <f>'Occupancy Report'!D28+'Occupancy Report'!K28+'Occupancy Report'!R28+'Occupancy Report'!R59+'Occupancy Report'!K59+'Occupancy Report'!D59+'Occupancy Report'!D90+'Occupancy Report'!K90+'Occupancy Report'!R90+'Occupancy Report'!R121+'Occupancy Report'!K121+'Occupancy Report'!D121</f>
        <v>4326</v>
      </c>
      <c r="E28" s="46">
        <f>'Occupancy Report'!E28+'Occupancy Report'!L28+'Occupancy Report'!S28+'Occupancy Report'!S59+'Occupancy Report'!L59+'Occupancy Report'!E59+'Occupancy Report'!E90+'Occupancy Report'!L90+'Occupancy Report'!S90+'Occupancy Report'!S121+'Occupancy Report'!L121+'Occupancy Report'!E121</f>
        <v>4748</v>
      </c>
      <c r="F28" s="47">
        <f t="shared" si="1"/>
        <v>0.91112047177759059</v>
      </c>
      <c r="G28" s="14"/>
      <c r="J28" s="103" t="s">
        <v>13</v>
      </c>
      <c r="K28" s="11" t="s">
        <v>23</v>
      </c>
      <c r="L28" s="12">
        <f>'Occupancy Report'!D66+'Occupancy Report'!D70+'Occupancy Report'!D74+'Occupancy Report'!D78+'Occupancy Report'!D82+'Occupancy Report'!D86+'Occupancy Report'!D90</f>
        <v>1966</v>
      </c>
      <c r="M28" s="12">
        <f>'Occupancy Report'!E66+'Occupancy Report'!E70+'Occupancy Report'!E74+'Occupancy Report'!E78+'Occupancy Report'!E82+'Occupancy Report'!E86+'Occupancy Report'!E90</f>
        <v>2816</v>
      </c>
      <c r="N28" s="47">
        <f t="shared" ref="N28:N29" si="7">SUM(L28/M28)</f>
        <v>0.69815340909090906</v>
      </c>
      <c r="O28" s="14"/>
    </row>
    <row r="29" spans="2:15" ht="15" customHeight="1" thickBot="1" x14ac:dyDescent="0.35">
      <c r="B29" s="105"/>
      <c r="C29" s="15" t="s">
        <v>24</v>
      </c>
      <c r="D29" s="36">
        <f>'Occupancy Report'!D29+'Occupancy Report'!K29+'Occupancy Report'!R29+'Occupancy Report'!R60+'Occupancy Report'!K60+'Occupancy Report'!D60+'Occupancy Report'!D91+'Occupancy Report'!K91+'Occupancy Report'!R91+'Occupancy Report'!R122+'Occupancy Report'!K122+'Occupancy Report'!D122</f>
        <v>3792</v>
      </c>
      <c r="E29" s="36">
        <f>'Occupancy Report'!E29+'Occupancy Report'!L29+'Occupancy Report'!S29+'Occupancy Report'!S60+'Occupancy Report'!L60+'Occupancy Report'!E60+'Occupancy Report'!E91+'Occupancy Report'!L91+'Occupancy Report'!S91+'Occupancy Report'!S122+'Occupancy Report'!L122+'Occupancy Report'!E122</f>
        <v>4576</v>
      </c>
      <c r="F29" s="48">
        <f t="shared" si="1"/>
        <v>0.82867132867132864</v>
      </c>
      <c r="G29" s="44"/>
      <c r="J29" s="105"/>
      <c r="K29" s="15" t="s">
        <v>24</v>
      </c>
      <c r="L29" s="3">
        <f>'Occupancy Report'!D67+'Occupancy Report'!D71+'Occupancy Report'!D75+'Occupancy Report'!D79+'Occupancy Report'!D83+'Occupancy Report'!D87+'Occupancy Report'!D91</f>
        <v>1784</v>
      </c>
      <c r="M29" s="36">
        <f>'Occupancy Report'!E67+'Occupancy Report'!E71+'Occupancy Report'!E75+'Occupancy Report'!E79+'Occupancy Report'!E83++'Occupancy Report'!E87+'Occupancy Report'!E91</f>
        <v>2672</v>
      </c>
      <c r="N29" s="48">
        <f t="shared" si="7"/>
        <v>0.66766467065868262</v>
      </c>
      <c r="O29" s="44"/>
    </row>
    <row r="30" spans="2:15" ht="16.5" customHeight="1" thickTop="1" thickBot="1" x14ac:dyDescent="0.35">
      <c r="B30" s="45" t="s">
        <v>38</v>
      </c>
      <c r="C30" s="25"/>
      <c r="D30" s="26">
        <f>SUM(D28:D29)</f>
        <v>8118</v>
      </c>
      <c r="E30" s="26">
        <f>SUM(E28:E29)</f>
        <v>9324</v>
      </c>
      <c r="F30" s="49">
        <f>SUM(D30/E30)</f>
        <v>0.87065637065637069</v>
      </c>
      <c r="G30" s="28"/>
      <c r="J30" s="45" t="s">
        <v>95</v>
      </c>
      <c r="K30" s="25"/>
      <c r="L30" s="26">
        <f>SUM(L28:L29)</f>
        <v>3750</v>
      </c>
      <c r="M30" s="26">
        <f>SUM(M28:M29)</f>
        <v>5488</v>
      </c>
      <c r="N30" s="49">
        <f>SUM(L30/M30)</f>
        <v>0.68330903790087461</v>
      </c>
      <c r="O30" s="28"/>
    </row>
    <row r="31" spans="2:15" ht="17.25" thickBot="1" x14ac:dyDescent="0.35">
      <c r="N31" s="50"/>
    </row>
    <row r="32" spans="2:15" x14ac:dyDescent="0.3">
      <c r="J32" s="103" t="s">
        <v>14</v>
      </c>
      <c r="K32" s="11" t="s">
        <v>23</v>
      </c>
      <c r="L32" s="12">
        <f>'Occupancy Report'!K66+'Occupancy Report'!K70+'Occupancy Report'!K74+'Occupancy Report'!K78+'Occupancy Report'!K82+'Occupancy Report'!K86+'Occupancy Report'!K90</f>
        <v>2248</v>
      </c>
      <c r="M32" s="12">
        <f>'Occupancy Report'!L66+'Occupancy Report'!L70+'Occupancy Report'!L74+'Occupancy Report'!L78+'Occupancy Report'!L82+'Occupancy Report'!L86+'Occupancy Report'!L90</f>
        <v>2900</v>
      </c>
      <c r="N32" s="47">
        <f t="shared" ref="N32:N33" si="8">SUM(L32/M32)</f>
        <v>0.77517241379310342</v>
      </c>
      <c r="O32" s="14"/>
    </row>
    <row r="33" spans="10:15" ht="17.25" thickBot="1" x14ac:dyDescent="0.35">
      <c r="J33" s="105"/>
      <c r="K33" s="15" t="s">
        <v>24</v>
      </c>
      <c r="L33" s="3">
        <f>'Occupancy Report'!K67+'Occupancy Report'!K71+'Occupancy Report'!K75+'Occupancy Report'!K79+'Occupancy Report'!K83+'Occupancy Report'!K87+'Occupancy Report'!K91</f>
        <v>1807</v>
      </c>
      <c r="M33" s="36">
        <f>'Occupancy Report'!L67+'Occupancy Report'!L71+'Occupancy Report'!L75+'Occupancy Report'!L79+'Occupancy Report'!L83+'Occupancy Report'!L87+'Occupancy Report'!L91</f>
        <v>2756</v>
      </c>
      <c r="N33" s="48">
        <f t="shared" si="8"/>
        <v>0.65566037735849059</v>
      </c>
      <c r="O33" s="44"/>
    </row>
    <row r="34" spans="10:15" ht="18" thickTop="1" thickBot="1" x14ac:dyDescent="0.35">
      <c r="J34" s="45" t="s">
        <v>96</v>
      </c>
      <c r="K34" s="25"/>
      <c r="L34" s="26">
        <f>SUM(L32:L33)</f>
        <v>4055</v>
      </c>
      <c r="M34" s="26">
        <f>SUM(M32:M33)</f>
        <v>5656</v>
      </c>
      <c r="N34" s="49">
        <f>SUM(L34/M34)</f>
        <v>0.71693776520509189</v>
      </c>
      <c r="O34" s="28"/>
    </row>
    <row r="35" spans="10:15" ht="17.25" thickBot="1" x14ac:dyDescent="0.35">
      <c r="J35" s="2"/>
      <c r="K35" s="2"/>
      <c r="L35" s="2"/>
      <c r="M35" s="2"/>
      <c r="N35" s="24"/>
      <c r="O35" s="2"/>
    </row>
    <row r="36" spans="10:15" x14ac:dyDescent="0.3">
      <c r="J36" s="103" t="s">
        <v>15</v>
      </c>
      <c r="K36" s="11" t="s">
        <v>23</v>
      </c>
      <c r="L36" s="12">
        <f>GETPIVOTDATA("Sum of AM FIELD",'Pivot Table'!$A$100)</f>
        <v>2254</v>
      </c>
      <c r="M36" s="12">
        <f>'Occupancy Report'!S66+'Occupancy Report'!S70+'Occupancy Report'!S74+'Occupancy Report'!S78+'Occupancy Report'!S82+'Occupancy Report'!S86+'Occupancy Report'!S90</f>
        <v>2856</v>
      </c>
      <c r="N36" s="47">
        <f t="shared" ref="N36:N37" si="9">SUM(L36/M36)</f>
        <v>0.78921568627450978</v>
      </c>
      <c r="O36" s="14"/>
    </row>
    <row r="37" spans="10:15" ht="17.25" thickBot="1" x14ac:dyDescent="0.35">
      <c r="J37" s="105"/>
      <c r="K37" s="15" t="s">
        <v>24</v>
      </c>
      <c r="L37" s="3">
        <f>GETPIVOTDATA("Sum of PM FIELD",'Pivot Table'!$A$100)</f>
        <v>1835</v>
      </c>
      <c r="M37" s="36">
        <f>'Occupancy Report'!S67+'Occupancy Report'!S71+'Occupancy Report'!S75+'Occupancy Report'!S79+'Occupancy Report'!S83+'Occupancy Report'!S87+'Occupancy Report'!S91</f>
        <v>2604</v>
      </c>
      <c r="N37" s="48">
        <f t="shared" si="9"/>
        <v>0.70468509984639016</v>
      </c>
      <c r="O37" s="44"/>
    </row>
    <row r="38" spans="10:15" ht="18" thickTop="1" thickBot="1" x14ac:dyDescent="0.35">
      <c r="J38" s="45" t="s">
        <v>97</v>
      </c>
      <c r="K38" s="25"/>
      <c r="L38" s="26">
        <f>SUM(L36:L37)</f>
        <v>4089</v>
      </c>
      <c r="M38" s="26">
        <f>SUM(M36:M37)</f>
        <v>5460</v>
      </c>
      <c r="N38" s="49">
        <f>SUM(L38/M38)</f>
        <v>0.74890109890109891</v>
      </c>
      <c r="O38" s="28"/>
    </row>
    <row r="39" spans="10:15" ht="17.25" thickBot="1" x14ac:dyDescent="0.35">
      <c r="J39" s="2"/>
      <c r="K39" s="2"/>
      <c r="L39" s="2"/>
      <c r="M39" s="2"/>
      <c r="N39" s="24"/>
      <c r="O39" s="2"/>
    </row>
    <row r="40" spans="10:15" x14ac:dyDescent="0.3">
      <c r="J40" s="103" t="s">
        <v>16</v>
      </c>
      <c r="K40" s="11" t="s">
        <v>23</v>
      </c>
      <c r="L40" s="12">
        <f>GETPIVOTDATA("Sum of AM FIELD",'Pivot Table'!$A$112)</f>
        <v>2109</v>
      </c>
      <c r="M40" s="12">
        <f>'Occupancy Report'!E97+'Occupancy Report'!E101+'Occupancy Report'!E105+'Occupancy Report'!E109+'Occupancy Report'!E113+'Occupancy Report'!E117+'Occupancy Report'!E121</f>
        <v>2428</v>
      </c>
      <c r="N40" s="47">
        <f t="shared" ref="N40:N41" si="10">SUM(L40/M40)</f>
        <v>0.86861614497528827</v>
      </c>
      <c r="O40" s="14"/>
    </row>
    <row r="41" spans="10:15" ht="17.25" thickBot="1" x14ac:dyDescent="0.35">
      <c r="J41" s="105"/>
      <c r="K41" s="15" t="s">
        <v>24</v>
      </c>
      <c r="L41" s="3">
        <f>GETPIVOTDATA("Sum of PM FIELD",'Pivot Table'!$A$112)</f>
        <v>2049</v>
      </c>
      <c r="M41" s="36">
        <f>'Occupancy Report'!E98+'Occupancy Report'!E102+'Occupancy Report'!E106+'Occupancy Report'!E110+'Occupancy Report'!E114+'Occupancy Report'!E118+'Occupancy Report'!E122</f>
        <v>2572</v>
      </c>
      <c r="N41" s="48">
        <f t="shared" si="10"/>
        <v>0.79665629860031106</v>
      </c>
      <c r="O41" s="44"/>
    </row>
    <row r="42" spans="10:15" ht="18" thickTop="1" thickBot="1" x14ac:dyDescent="0.35">
      <c r="J42" s="45" t="s">
        <v>98</v>
      </c>
      <c r="K42" s="25"/>
      <c r="L42" s="26">
        <f>SUM(L40:L41)</f>
        <v>4158</v>
      </c>
      <c r="M42" s="26">
        <f>SUM(M40:M41)</f>
        <v>5000</v>
      </c>
      <c r="N42" s="49">
        <f>SUM(L42/M42)</f>
        <v>0.83160000000000001</v>
      </c>
      <c r="O42" s="28"/>
    </row>
    <row r="43" spans="10:15" ht="17.25" thickBot="1" x14ac:dyDescent="0.35">
      <c r="J43" s="2"/>
      <c r="K43" s="2"/>
      <c r="L43" s="2"/>
      <c r="M43" s="2"/>
      <c r="N43" s="24"/>
      <c r="O43" s="2"/>
    </row>
    <row r="44" spans="10:15" x14ac:dyDescent="0.3">
      <c r="J44" s="103" t="s">
        <v>66</v>
      </c>
      <c r="K44" s="11" t="s">
        <v>23</v>
      </c>
      <c r="L44" s="12">
        <f>GETPIVOTDATA("Sum of AM FIELD",'Pivot Table'!$A$124)</f>
        <v>1975</v>
      </c>
      <c r="M44" s="12">
        <f>'Occupancy Report'!L97+'Occupancy Report'!L101+'Occupancy Report'!L105+'Occupancy Report'!L109+'Occupancy Report'!L113+'Occupancy Report'!L117+'Occupancy Report'!L121</f>
        <v>2264</v>
      </c>
      <c r="N44" s="47">
        <f t="shared" ref="N44:N45" si="11">SUM(L44/M44)</f>
        <v>0.87234982332155475</v>
      </c>
      <c r="O44" s="14"/>
    </row>
    <row r="45" spans="10:15" ht="17.25" thickBot="1" x14ac:dyDescent="0.35">
      <c r="J45" s="105"/>
      <c r="K45" s="15" t="s">
        <v>24</v>
      </c>
      <c r="L45" s="3">
        <f>GETPIVOTDATA("Sum of PM FIELD",'Pivot Table'!$A$124)</f>
        <v>1578</v>
      </c>
      <c r="M45" s="36">
        <f>'Occupancy Report'!L98+'Occupancy Report'!L102+'Occupancy Report'!L106+'Occupancy Report'!L110+'Occupancy Report'!L114+'Occupancy Report'!L118+'Occupancy Report'!L122</f>
        <v>2108</v>
      </c>
      <c r="N45" s="48">
        <f t="shared" si="11"/>
        <v>0.74857685009487662</v>
      </c>
      <c r="O45" s="44"/>
    </row>
    <row r="46" spans="10:15" ht="18" thickTop="1" thickBot="1" x14ac:dyDescent="0.35">
      <c r="J46" s="45" t="s">
        <v>99</v>
      </c>
      <c r="K46" s="25"/>
      <c r="L46" s="26">
        <f>SUM(L44:L45)</f>
        <v>3553</v>
      </c>
      <c r="M46" s="26">
        <f>SUM(M44:M45)</f>
        <v>4372</v>
      </c>
      <c r="N46" s="49">
        <f>SUM(L46/M46)</f>
        <v>0.81267154620311066</v>
      </c>
      <c r="O46" s="28"/>
    </row>
    <row r="47" spans="10:15" ht="17.25" thickBot="1" x14ac:dyDescent="0.35">
      <c r="J47" s="2"/>
      <c r="K47" s="2"/>
      <c r="L47" s="2"/>
      <c r="M47" s="2"/>
      <c r="N47" s="24"/>
      <c r="O47" s="2"/>
    </row>
    <row r="48" spans="10:15" x14ac:dyDescent="0.3">
      <c r="J48" s="103" t="s">
        <v>17</v>
      </c>
      <c r="K48" s="11" t="s">
        <v>23</v>
      </c>
      <c r="L48" s="12">
        <f>GETPIVOTDATA("Sum of AM FIELD",'Pivot Table'!$A$136)</f>
        <v>2357</v>
      </c>
      <c r="M48" s="12">
        <f>'Occupancy Report'!S97+'Occupancy Report'!S101+'Occupancy Report'!S105+'Occupancy Report'!S109+'Occupancy Report'!S113+'Occupancy Report'!S117+'Occupancy Report'!S121</f>
        <v>2684</v>
      </c>
      <c r="N48" s="47">
        <f t="shared" ref="N48:N49" si="12">SUM(L48/M48)</f>
        <v>0.87816691505216093</v>
      </c>
      <c r="O48" s="14"/>
    </row>
    <row r="49" spans="10:15" ht="17.25" thickBot="1" x14ac:dyDescent="0.35">
      <c r="J49" s="105"/>
      <c r="K49" s="15" t="s">
        <v>24</v>
      </c>
      <c r="L49" s="3">
        <f>GETPIVOTDATA("Sum of PM FIELD",'Pivot Table'!$A$136)</f>
        <v>1842</v>
      </c>
      <c r="M49" s="36">
        <f>'Occupancy Report'!S98+'Occupancy Report'!S102+'Occupancy Report'!S106+'Occupancy Report'!S110+'Occupancy Report'!S114+'Occupancy Report'!S118+'Occupancy Report'!S122</f>
        <v>2458</v>
      </c>
      <c r="N49" s="48">
        <f t="shared" si="12"/>
        <v>0.74938974776240841</v>
      </c>
      <c r="O49" s="44"/>
    </row>
    <row r="50" spans="10:15" ht="18" thickTop="1" thickBot="1" x14ac:dyDescent="0.35">
      <c r="J50" s="45" t="s">
        <v>100</v>
      </c>
      <c r="K50" s="25"/>
      <c r="L50" s="26">
        <f>SUM(L48:L49)</f>
        <v>4199</v>
      </c>
      <c r="M50" s="26">
        <f>SUM(M48:M49)</f>
        <v>5142</v>
      </c>
      <c r="N50" s="49">
        <f>SUM(L50/M50)</f>
        <v>0.81660832360949043</v>
      </c>
      <c r="O50" s="28"/>
    </row>
    <row r="51" spans="10:15" x14ac:dyDescent="0.3">
      <c r="J51" s="2"/>
      <c r="K51" s="2"/>
      <c r="L51" s="2"/>
      <c r="M51" s="2"/>
      <c r="N51" s="24"/>
      <c r="O51" s="2"/>
    </row>
    <row r="52" spans="10:15" x14ac:dyDescent="0.3">
      <c r="J52" s="2"/>
      <c r="K52" s="23"/>
      <c r="L52" s="5"/>
      <c r="M52" s="5"/>
      <c r="N52" s="29"/>
      <c r="O52" s="2"/>
    </row>
    <row r="53" spans="10:15" x14ac:dyDescent="0.3">
      <c r="J53" s="2"/>
      <c r="K53" s="2"/>
      <c r="L53" s="2"/>
      <c r="M53" s="2"/>
      <c r="N53" s="24"/>
      <c r="O53" s="2"/>
    </row>
    <row r="54" spans="10:15" x14ac:dyDescent="0.3">
      <c r="J54" s="9"/>
      <c r="K54" s="23"/>
      <c r="L54" s="37"/>
      <c r="M54" s="37"/>
      <c r="N54" s="38"/>
      <c r="O54" s="2"/>
    </row>
  </sheetData>
  <mergeCells count="19">
    <mergeCell ref="B12:B13"/>
    <mergeCell ref="B8:B9"/>
    <mergeCell ref="B4:B5"/>
    <mergeCell ref="J40:J41"/>
    <mergeCell ref="J44:J45"/>
    <mergeCell ref="B28:B29"/>
    <mergeCell ref="B24:B25"/>
    <mergeCell ref="B20:B21"/>
    <mergeCell ref="B16:B17"/>
    <mergeCell ref="J48:J49"/>
    <mergeCell ref="J4:J5"/>
    <mergeCell ref="J8:J9"/>
    <mergeCell ref="J12:J13"/>
    <mergeCell ref="J16:J17"/>
    <mergeCell ref="J20:J21"/>
    <mergeCell ref="J24:J25"/>
    <mergeCell ref="J28:J29"/>
    <mergeCell ref="J32:J33"/>
    <mergeCell ref="J36:J37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E92F-5421-439D-BC2B-62B0ECF3D46F}">
  <dimension ref="B2:U69"/>
  <sheetViews>
    <sheetView showGridLines="0" workbookViewId="0">
      <selection activeCell="C11" sqref="C11"/>
    </sheetView>
  </sheetViews>
  <sheetFormatPr defaultColWidth="9.140625" defaultRowHeight="16.5" x14ac:dyDescent="0.25"/>
  <cols>
    <col min="1" max="1" width="4.140625" style="6" customWidth="1"/>
    <col min="2" max="2" width="18.140625" style="6" customWidth="1"/>
    <col min="3" max="3" width="12.85546875" style="6" bestFit="1" customWidth="1"/>
    <col min="4" max="4" width="15.5703125" style="6" bestFit="1" customWidth="1"/>
    <col min="5" max="5" width="18.140625" style="6" customWidth="1"/>
    <col min="6" max="7" width="9.140625" style="6"/>
    <col min="8" max="8" width="18.140625" style="6" customWidth="1"/>
    <col min="9" max="9" width="10.42578125" style="6" bestFit="1" customWidth="1"/>
    <col min="10" max="10" width="9.140625" style="6"/>
    <col min="11" max="11" width="18.140625" style="6" customWidth="1"/>
    <col min="12" max="12" width="9.5703125" style="6" bestFit="1" customWidth="1"/>
    <col min="13" max="13" width="9.140625" style="6"/>
    <col min="14" max="14" width="18.140625" style="6" customWidth="1"/>
    <col min="15" max="15" width="10.42578125" style="6" bestFit="1" customWidth="1"/>
    <col min="16" max="16" width="9.140625" style="6"/>
    <col min="17" max="17" width="18.140625" style="6" customWidth="1"/>
    <col min="18" max="19" width="9.140625" style="6"/>
    <col min="20" max="20" width="18.140625" style="6" customWidth="1"/>
    <col min="21" max="16384" width="9.140625" style="6"/>
  </cols>
  <sheetData>
    <row r="2" spans="2:21" s="34" customFormat="1" ht="21" x14ac:dyDescent="0.25">
      <c r="B2" s="34" t="s">
        <v>39</v>
      </c>
    </row>
    <row r="4" spans="2:21" s="34" customFormat="1" ht="21" x14ac:dyDescent="0.25">
      <c r="B4" s="34" t="s">
        <v>22</v>
      </c>
      <c r="E4" s="34" t="s">
        <v>27</v>
      </c>
      <c r="H4" s="34" t="s">
        <v>29</v>
      </c>
      <c r="K4" s="34" t="s">
        <v>31</v>
      </c>
      <c r="N4" s="34" t="s">
        <v>33</v>
      </c>
      <c r="Q4" s="34" t="s">
        <v>35</v>
      </c>
      <c r="T4" s="34" t="s">
        <v>37</v>
      </c>
    </row>
    <row r="6" spans="2:21" x14ac:dyDescent="0.25">
      <c r="B6" s="39" t="s">
        <v>1</v>
      </c>
      <c r="C6" s="39">
        <f>GETPIVOTDATA("Sum of AM FIELD",'Pivot Table'!$A$4,"DAY","Mon")+GETPIVOTDATA("Sum of AM FIELD",'Pivot Table'!$A$16,"DAY","Mon")+GETPIVOTDATA("Sum of AM FIELD",'Pivot Table'!$A$28,"DAY","Mon")+GETPIVOTDATA("Sum of AM FIELD",'Pivot Table'!$A$40,"DAY","Mon")+GETPIVOTDATA("Sum of AM FIELD",'Pivot Table'!$A$52,"DAY","Mon")+GETPIVOTDATA("Sum of AM FIELD",'Pivot Table'!$A$64,"DAY","Mon")+GETPIVOTDATA("Sum of AM FIELD",'Pivot Table'!$A$76,"DAY","Mon")+GETPIVOTDATA("Sum of AM FIELD",'Pivot Table'!$A$88,"DAY","Mon")+GETPIVOTDATA("Sum of AM FIELD",'Pivot Table'!$A$100,"DAY","Mon")+GETPIVOTDATA("Sum of AM FIELD",'Pivot Table'!$A$112,"DAY","Mon")+GETPIVOTDATA("Sum of AM FIELD",'Pivot Table'!$A$124,"DAY","Mon")+GETPIVOTDATA("Sum of AM FIELD",'Pivot Table'!$A$136,"DAY","Mon")</f>
        <v>2260</v>
      </c>
      <c r="E6" s="39" t="s">
        <v>1</v>
      </c>
      <c r="F6" s="39">
        <f>GETPIVOTDATA("Sum of AM FIELD",'Pivot Table'!$A$4,"DAY","Tue")+GETPIVOTDATA("Sum of AM FIELD",'Pivot Table'!$A$16,"DAY","Tue")+GETPIVOTDATA("Sum of AM FIELD",'Pivot Table'!$A$28,"DAY","Tue")+GETPIVOTDATA("Sum of AM FIELD",'Pivot Table'!$A$40,"DAY","Tue")+GETPIVOTDATA("Sum of AM FIELD",'Pivot Table'!$A$52,"DAY","Tue")+GETPIVOTDATA("Sum of AM FIELD",'Pivot Table'!$A$64,"DAY","Tue")+GETPIVOTDATA("Sum of AM FIELD",'Pivot Table'!$A$76,"DAY","Tue")+GETPIVOTDATA("Sum of AM FIELD",'Pivot Table'!$A$88,"DAY","Tue")+GETPIVOTDATA("Sum of AM FIELD",'Pivot Table'!$A$100,"DAY","Tue")+GETPIVOTDATA("Sum of AM FIELD",'Pivot Table'!$A$112,"DAY","Tue")+GETPIVOTDATA("Sum of AM FIELD",'Pivot Table'!$A$124,"DAY","Tue")+GETPIVOTDATA("Sum of AM FIELD",'Pivot Table'!$A$136,"DAY","Tue")</f>
        <v>4220</v>
      </c>
      <c r="H6" s="39" t="s">
        <v>1</v>
      </c>
      <c r="I6" s="39">
        <f>GETPIVOTDATA("Sum of AM FIELD",'Pivot Table'!$A$4,"DAY","Wed")+GETPIVOTDATA("Sum of AM FIELD",'Pivot Table'!$A$16,"DAY","Wed")+GETPIVOTDATA("Sum of AM FIELD",'Pivot Table'!$A$28,"DAY","Wed")+GETPIVOTDATA("Sum of AM FIELD",'Pivot Table'!$A$40,"DAY","Wed")+GETPIVOTDATA("Sum of AM FIELD",'Pivot Table'!$A$52,"DAY","Wed")+GETPIVOTDATA("Sum of AM FIELD",'Pivot Table'!$A$64,"DAY","Wed")+GETPIVOTDATA("Sum of AM FIELD",'Pivot Table'!$A$76,"DAY","Wed")+GETPIVOTDATA("Sum of AM FIELD",'Pivot Table'!$A$88,"DAY","Wed")+GETPIVOTDATA("Sum of AM FIELD",'Pivot Table'!$A$100,"DAY","Wed")+GETPIVOTDATA("Sum of AM FIELD",'Pivot Table'!$A$112,"DAY","Wed")+GETPIVOTDATA("Sum of AM FIELD",'Pivot Table'!$A$124,"DAY","Wed")+GETPIVOTDATA("Sum of AM FIELD",'Pivot Table'!$A$136,"DAY","Wed")</f>
        <v>3352</v>
      </c>
      <c r="K6" s="39" t="s">
        <v>1</v>
      </c>
      <c r="L6" s="39">
        <f>GETPIVOTDATA("Sum of AM FIELD",'Pivot Table'!$A$4,"DAY","Thu")+GETPIVOTDATA("Sum of AM FIELD",'Pivot Table'!$A$16,"DAY","Thu")+GETPIVOTDATA("Sum of AM FIELD",'Pivot Table'!$A$28,"DAY","Thu")+GETPIVOTDATA("Sum of AM FIELD",'Pivot Table'!$A$40,"DAY","Thu")+GETPIVOTDATA("Sum of AM FIELD",'Pivot Table'!$A$52,"DAY","Thu")+GETPIVOTDATA("Sum of AM FIELD",'Pivot Table'!$A$64,"DAY","Thu")+GETPIVOTDATA("Sum of AM FIELD",'Pivot Table'!$A$76,"DAY","Thu")+GETPIVOTDATA("Sum of AM FIELD",'Pivot Table'!$A$88,"DAY","Thu")+GETPIVOTDATA("Sum of AM FIELD",'Pivot Table'!$A$100,"DAY","Thu")+GETPIVOTDATA("Sum of AM FIELD",'Pivot Table'!$A$112,"DAY","Thu")+GETPIVOTDATA("Sum of AM FIELD",'Pivot Table'!$A$124,"DAY","Thu")+GETPIVOTDATA("Sum of AM FIELD",'Pivot Table'!$A$136,"DAY","Thu")</f>
        <v>3874</v>
      </c>
      <c r="N6" s="39" t="s">
        <v>1</v>
      </c>
      <c r="O6" s="39">
        <f>GETPIVOTDATA("Sum of AM FIELD",'Pivot Table'!$A$4,"DAY","Fri")+GETPIVOTDATA("Sum of AM FIELD",'Pivot Table'!$A$16,"DAY","Fri")+GETPIVOTDATA("Sum of AM FIELD",'Pivot Table'!$A$28,"DAY","Fri")+GETPIVOTDATA("Sum of AM FIELD",'Pivot Table'!$A$40,"DAY","Fri")+GETPIVOTDATA("Sum of AM FIELD",'Pivot Table'!$A$52,"DAY","Fri")+GETPIVOTDATA("Sum of AM FIELD",'Pivot Table'!$A$64,"DAY","Fri")+GETPIVOTDATA("Sum of AM FIELD",'Pivot Table'!$A$76,"DAY","Fri")+GETPIVOTDATA("Sum of AM FIELD",'Pivot Table'!$A$88,"DAY","Fri")+GETPIVOTDATA("Sum of AM FIELD",'Pivot Table'!$A$100,"DAY","Fri")+GETPIVOTDATA("Sum of AM FIELD",'Pivot Table'!$A$112,"DAY","Fri")+GETPIVOTDATA("Sum of AM FIELD",'Pivot Table'!$A$124,"DAY","Fri")+GETPIVOTDATA("Sum of AM FIELD",'Pivot Table'!$A$136,"DAY","Fri")</f>
        <v>4579</v>
      </c>
      <c r="Q6" s="39" t="s">
        <v>1</v>
      </c>
      <c r="R6" s="39">
        <f>GETPIVOTDATA("Sum of AM FIELD",'Pivot Table'!$A$4,"DAY","Sat")+GETPIVOTDATA("Sum of AM FIELD",'Pivot Table'!$A$16,"DAY","Sat")+GETPIVOTDATA("Sum of AM FIELD",'Pivot Table'!$A$28,"DAY","Sat")+GETPIVOTDATA("Sum of AM FIELD",'Pivot Table'!$A$40,"DAY","Sat")+GETPIVOTDATA("Sum of AM FIELD",'Pivot Table'!$A$52,"DAY","Sat")+GETPIVOTDATA("Sum of AM FIELD",'Pivot Table'!$A$64,"DAY","Sat")+GETPIVOTDATA("Sum of AM FIELD",'Pivot Table'!$A$76,"DAY","Sat")+GETPIVOTDATA("Sum of AM FIELD",'Pivot Table'!$A$88,"DAY","Sat")+GETPIVOTDATA("Sum of AM FIELD",'Pivot Table'!$A$100,"DAY","Sat")+GETPIVOTDATA("Sum of AM FIELD",'Pivot Table'!$A$112,"DAY","Sat")+GETPIVOTDATA("Sum of AM FIELD",'Pivot Table'!$A$124,"DAY","Sat")+GETPIVOTDATA("Sum of AM FIELD",'Pivot Table'!$A$136,"DAY","Sat")</f>
        <v>4305</v>
      </c>
      <c r="T6" s="39" t="s">
        <v>1</v>
      </c>
      <c r="U6" s="39">
        <f>GETPIVOTDATA("Sum of AM FIELD",'Pivot Table'!$A$4,"DAY","Sun")+GETPIVOTDATA("Sum of AM FIELD",'Pivot Table'!$A$16,"DAY","Sun")+GETPIVOTDATA("Sum of AM FIELD",'Pivot Table'!$A$28,"DAY","Sun")+GETPIVOTDATA("Sum of AM FIELD",'Pivot Table'!$A$40,"DAY","Sun")+GETPIVOTDATA("Sum of AM FIELD",'Pivot Table'!$A$52,"DAY","Sun")+GETPIVOTDATA("Sum of AM FIELD",'Pivot Table'!$A$64,"DAY","Sun")+GETPIVOTDATA("Sum of AM FIELD",'Pivot Table'!$A$76,"DAY","Sun")+GETPIVOTDATA("Sum of AM FIELD",'Pivot Table'!$A$88,"DAY","Sun")+GETPIVOTDATA("Sum of AM FIELD",'Pivot Table'!$A$100,"DAY","Sun")+GETPIVOTDATA("Sum of AM FIELD",'Pivot Table'!$A$112,"DAY","Sun")+GETPIVOTDATA("Sum of AM FIELD",'Pivot Table'!$A$124,"DAY","Sun")+GETPIVOTDATA("Sum of AM FIELD",'Pivot Table'!$A$136,"DAY","Sun")</f>
        <v>4326</v>
      </c>
    </row>
    <row r="7" spans="2:21" x14ac:dyDescent="0.25">
      <c r="B7" s="39" t="s">
        <v>2</v>
      </c>
      <c r="C7" s="39">
        <f>GETPIVOTDATA("Sum of PM FIELD",'Pivot Table'!$A$4,"DAY","Mon")+GETPIVOTDATA("Sum of PM FIELD",'Pivot Table'!$A$16,"DAY","Mon")+GETPIVOTDATA("Sum of PM FIELD",'Pivot Table'!$A$28,"DAY","Mon")+GETPIVOTDATA("Sum of PM FIELD",'Pivot Table'!$A$40,"DAY","Mon")+GETPIVOTDATA("Sum of PM FIELD",'Pivot Table'!$A$52,"DAY","Mon")+GETPIVOTDATA("Sum of PM FIELD",'Pivot Table'!$A$64,"DAY","Mon")+GETPIVOTDATA("Sum of PM FIELD",'Pivot Table'!$A$76,"DAY","Mon")+GETPIVOTDATA("Sum of PM FIELD",'Pivot Table'!$A$88,"DAY","Mon")++GETPIVOTDATA("Sum of PM FIELD",'Pivot Table'!$A$112,"DAY","Mon")+GETPIVOTDATA("Sum of PM FIELD",'Pivot Table'!$A$100,"DAY","Mon")+GETPIVOTDATA("Sum of PM FIELD",'Pivot Table'!$A$124,"DAY","Mon")+GETPIVOTDATA("Sum of PM FIELD",'Pivot Table'!$A$136,"DAY","Mon")</f>
        <v>3399</v>
      </c>
      <c r="E7" s="39" t="s">
        <v>2</v>
      </c>
      <c r="F7" s="39">
        <f>GETPIVOTDATA("Sum of PM FIELD",'Pivot Table'!$A$4,"DAY","Tue")+GETPIVOTDATA("Sum of PM FIELD",'Pivot Table'!$A$16,"DAY","Tue")+GETPIVOTDATA("Sum of PM FIELD",'Pivot Table'!$A$28,"DAY","Tue")+GETPIVOTDATA("Sum of PM FIELD",'Pivot Table'!$A$40,"DAY","Tue")+GETPIVOTDATA("Sum of PM FIELD",'Pivot Table'!$A$52,"DAY","Tue")+GETPIVOTDATA("Sum of PM FIELD",'Pivot Table'!$A$64,"DAY","Tue")+GETPIVOTDATA("Sum of PM FIELD",'Pivot Table'!$A$76,"DAY","Tue")+GETPIVOTDATA("Sum of PM FIELD",'Pivot Table'!$A$88,"DAY","Tue")+GETPIVOTDATA("Sum of PM FIELD",'Pivot Table'!$A$100,"DAY","Tue")+GETPIVOTDATA("Sum of PM FIELD",'Pivot Table'!$A$112,"DAY","Tue")+GETPIVOTDATA("Sum of PM FIELD",'Pivot Table'!$A$124,"DAY","Tue")+GETPIVOTDATA("Sum of PM FIELD",'Pivot Table'!$A$136,"DAY","Tue")</f>
        <v>1635</v>
      </c>
      <c r="H7" s="39" t="s">
        <v>2</v>
      </c>
      <c r="I7" s="39">
        <f>GETPIVOTDATA("Sum of PM FIELD",'Pivot Table'!$A$4,"DAY","Wed")+GETPIVOTDATA("Sum of PM FIELD",'Pivot Table'!$A$16,"DAY","Wed")+GETPIVOTDATA("Sum of PM FIELD",'Pivot Table'!$A$28,"DAY","Wed")+GETPIVOTDATA("Sum of PM FIELD",'Pivot Table'!$A$40,"DAY","Wed")+GETPIVOTDATA("Sum of PM FIELD",'Pivot Table'!$A$52,"DAY","Wed")+GETPIVOTDATA("Sum of PM FIELD",'Pivot Table'!$A$64,"DAY","Wed")+GETPIVOTDATA("Sum of PM FIELD",'Pivot Table'!$A$76,"DAY","Wed")+GETPIVOTDATA("Sum of PM FIELD",'Pivot Table'!$A$88,"DAY","Wed")+GETPIVOTDATA("Sum of PM FIELD",'Pivot Table'!$A$100,"DAY","Wed")+GETPIVOTDATA("Sum of PM FIELD",'Pivot Table'!$A$112,"DAY","Wed")+GETPIVOTDATA("Sum of PM FIELD",'Pivot Table'!$A$124,"DAY","Wed")+GETPIVOTDATA("Sum of PM FIELD",'Pivot Table'!$A$136,"DAY","Wed")</f>
        <v>3559</v>
      </c>
      <c r="K7" s="39" t="s">
        <v>2</v>
      </c>
      <c r="L7" s="39">
        <f>GETPIVOTDATA("Sum of PM FIELD",'Pivot Table'!$A$4,"DAY","Thu")+GETPIVOTDATA("Sum of PM FIELD",'Pivot Table'!$A$16,"DAY","Thu")+GETPIVOTDATA("Sum of PM FIELD",'Pivot Table'!$A$28,"DAY","Thu")+GETPIVOTDATA("Sum of PM FIELD",'Pivot Table'!$A$40,"DAY","Thu")+GETPIVOTDATA("Sum of PM FIELD",'Pivot Table'!$A$52,"DAY","Thu")+GETPIVOTDATA("Sum of PM FIELD",'Pivot Table'!$A$64,"DAY","Thu")+GETPIVOTDATA("Sum of PM FIELD",'Pivot Table'!$A$76,"DAY","Thu")+GETPIVOTDATA("Sum of PM FIELD",'Pivot Table'!$A$88,"DAY","Thu")+GETPIVOTDATA("Sum of PM FIELD",'Pivot Table'!$A$100,"DAY","Thu")+GETPIVOTDATA("Sum of PM FIELD",'Pivot Table'!$A$112,"DAY","Thu")+GETPIVOTDATA("Sum of PM FIELD",'Pivot Table'!$A$124,"DAY","Thu")+GETPIVOTDATA("Sum of PM FIELD",'Pivot Table'!$A$136,"DAY","Thu")</f>
        <v>3826</v>
      </c>
      <c r="N7" s="39" t="s">
        <v>2</v>
      </c>
      <c r="O7" s="39">
        <f>GETPIVOTDATA("Sum of PM FIELD",'Pivot Table'!$A$4,"DAY","Fri")+GETPIVOTDATA("Sum of PM FIELD",'Pivot Table'!$A$16,"DAY","Fri")+GETPIVOTDATA("Sum of PM FIELD",'Pivot Table'!$A$28,"DAY","Fri")+GETPIVOTDATA("Sum of PM FIELD",'Pivot Table'!$A$40,"DAY","Fri")+GETPIVOTDATA("Sum of PM FIELD",'Pivot Table'!$A$52,"DAY","Fri")+GETPIVOTDATA("Sum of PM FIELD",'Pivot Table'!$A$64,"DAY","Fri")+GETPIVOTDATA("Sum of PM FIELD",'Pivot Table'!$A$76,"DAY","Fri")+GETPIVOTDATA("Sum of PM FIELD",'Pivot Table'!$A$88,"DAY","Fri")+GETPIVOTDATA("Sum of PM FIELD",'Pivot Table'!$A$100,"DAY","Fri")+GETPIVOTDATA("Sum of PM FIELD",'Pivot Table'!$A$112,"DAY","Fri")+GETPIVOTDATA("Sum of PM FIELD",'Pivot Table'!$A$124,"DAY","Fri")+GETPIVOTDATA("Sum of PM FIELD",'Pivot Table'!$A$136,"DAY","Fri")</f>
        <v>3759</v>
      </c>
      <c r="Q7" s="39" t="s">
        <v>2</v>
      </c>
      <c r="R7" s="39">
        <f>GETPIVOTDATA("Sum of PM FIELD",'Pivot Table'!$A$4,"DAY","Sat")+GETPIVOTDATA("Sum of PM FIELD",'Pivot Table'!$A$16,"DAY","Sat")+GETPIVOTDATA("Sum of PM FIELD",'Pivot Table'!$A$28,"DAY","Sat")+GETPIVOTDATA("Sum of PM FIELD",'Pivot Table'!$A$40,"DAY","Sat")+GETPIVOTDATA("Sum of PM FIELD",'Pivot Table'!$A$52,"DAY","Sat")+GETPIVOTDATA("Sum of PM FIELD",'Pivot Table'!$A$64,"DAY","Sat")+GETPIVOTDATA("Sum of PM FIELD",'Pivot Table'!$A$76,"DAY","Sat")+GETPIVOTDATA("Sum of PM FIELD",'Pivot Table'!$A$88,"DAY","Sat")+GETPIVOTDATA("Sum of PM FIELD",'Pivot Table'!$A$100,"DAY","Sat")+GETPIVOTDATA("Sum of PM FIELD",'Pivot Table'!$A$112,"DAY","Sat")+GETPIVOTDATA("Sum of PM FIELD",'Pivot Table'!$A$124,"DAY","Sat")+GETPIVOTDATA("Sum of PM FIELD",'Pivot Table'!$A$136,"DAY","Sat")</f>
        <v>3315</v>
      </c>
      <c r="T7" s="39" t="s">
        <v>2</v>
      </c>
      <c r="U7" s="39">
        <f>GETPIVOTDATA("Sum of PM FIELD",'Pivot Table'!$A$4,"DAY","Sun")+GETPIVOTDATA("Sum of PM FIELD",'Pivot Table'!$A$16,"DAY","Sun")+GETPIVOTDATA("Sum of PM FIELD",'Pivot Table'!$A$28,"DAY","Sun")+GETPIVOTDATA("Sum of PM FIELD",'Pivot Table'!$A$40,"DAY","Sun")+GETPIVOTDATA("Sum of PM FIELD",'Pivot Table'!$A$52,"DAY","Sun")+GETPIVOTDATA("Sum of PM FIELD",'Pivot Table'!$A$64,"DAY","Sun")+GETPIVOTDATA("Sum of PM FIELD",'Pivot Table'!$A$76,"DAY","Sun")+GETPIVOTDATA("Sum of PM FIELD",'Pivot Table'!$A$88,"DAY","Sun")+GETPIVOTDATA("Sum of PM FIELD",'Pivot Table'!$A$100,"DAY","Sun")+GETPIVOTDATA("Sum of PM FIELD",'Pivot Table'!$A$112,"DAY","Sun")+GETPIVOTDATA("Sum of PM FIELD",'Pivot Table'!$A$124,"DAY","Sun")+GETPIVOTDATA("Sum of PM FIELD",'Pivot Table'!$A$136,"DAY","Sun")</f>
        <v>3792</v>
      </c>
    </row>
    <row r="8" spans="2:21" x14ac:dyDescent="0.25">
      <c r="B8" s="39" t="s">
        <v>3</v>
      </c>
      <c r="C8" s="39">
        <f>GETPIVOTDATA("Sum of TOTAL FIELD",'Pivot Table'!$A$4,"DAY","Mon")+GETPIVOTDATA("Sum of TOTAL FIELD",'Pivot Table'!$A$16,"DAY","Mon")+GETPIVOTDATA("Sum of TOTAL FIELD",'Pivot Table'!$A$28,"DAY","Mon")+GETPIVOTDATA("Sum of TOTAL FIELD",'Pivot Table'!$A$40,"DAY","Mon")+GETPIVOTDATA("Sum of TOTAL FIELD",'Pivot Table'!$A$52,"DAY","Mon")+GETPIVOTDATA("Sum of TOTAL FIELD",'Pivot Table'!$A$64,"DAY","Mon")+GETPIVOTDATA("Sum of TOTAL FIELD",'Pivot Table'!$A$76,"DAY","Mon")+GETPIVOTDATA("Sum of TOTAL FIELD",'Pivot Table'!$A$88,"DAY","Mon")+GETPIVOTDATA("Sum of TOTAL FIELD",'Pivot Table'!$A$100,"DAY","Mon")+GETPIVOTDATA("Sum of TOTAL FIELD",'Pivot Table'!$A$112,"DAY","Mon")+GETPIVOTDATA("Sum of TOTAL FIELD",'Pivot Table'!$A$124,"DAY","Mon")+GETPIVOTDATA("Sum of TOTAL FIELD",'Pivot Table'!$A$136,"DAY","Mon")</f>
        <v>5659</v>
      </c>
      <c r="E8" s="39" t="s">
        <v>3</v>
      </c>
      <c r="F8" s="39">
        <f>GETPIVOTDATA("Sum of TOTAL FIELD",'Pivot Table'!$A$4,"DAY","Tue")+GETPIVOTDATA("Sum of TOTAL FIELD",'Pivot Table'!$A$16,"DAY","Tue")+GETPIVOTDATA("Sum of TOTAL FIELD",'Pivot Table'!$A$28,"DAY","Tue")+GETPIVOTDATA("Sum of TOTAL FIELD",'Pivot Table'!$A$40,"DAY","Tue")+GETPIVOTDATA("Sum of TOTAL FIELD",'Pivot Table'!$A$52,"DAY","Tue")+GETPIVOTDATA("Sum of TOTAL FIELD",'Pivot Table'!$A$64,"DAY","Tue")+GETPIVOTDATA("Sum of TOTAL FIELD",'Pivot Table'!$A$76,"DAY","Tue")+GETPIVOTDATA("Sum of TOTAL FIELD",'Pivot Table'!$A$88,"DAY","Tue")+GETPIVOTDATA("Sum of TOTAL FIELD",'Pivot Table'!$A$100,"DAY","Tue")+GETPIVOTDATA("Sum of TOTAL FIELD",'Pivot Table'!$A$112,"DAY","Tue")+GETPIVOTDATA("Sum of TOTAL FIELD",'Pivot Table'!$A$124,"DAY","Tue")+GETPIVOTDATA("Sum of TOTAL FIELD",'Pivot Table'!$A$136,"DAY","Tue")</f>
        <v>5855</v>
      </c>
      <c r="H8" s="39" t="s">
        <v>3</v>
      </c>
      <c r="I8" s="39">
        <f>GETPIVOTDATA("Sum of TOTAL FIELD",'Pivot Table'!$A$4,"DAY","Wed")+GETPIVOTDATA("Sum of TOTAL FIELD",'Pivot Table'!$A$16,"DAY","Wed")+GETPIVOTDATA("Sum of TOTAL FIELD",'Pivot Table'!$A$28,"DAY","Wed")+GETPIVOTDATA("Sum of TOTAL FIELD",'Pivot Table'!$A$40,"DAY","Wed")+GETPIVOTDATA("Sum of TOTAL FIELD",'Pivot Table'!$A$52,"DAY","Wed")+GETPIVOTDATA("Sum of TOTAL FIELD",'Pivot Table'!$A$64,"DAY","Wed")+GETPIVOTDATA("Sum of TOTAL FIELD",'Pivot Table'!$A$76,"DAY","Wed")+GETPIVOTDATA("Sum of TOTAL FIELD",'Pivot Table'!$A$88,"DAY","Wed")+GETPIVOTDATA("Sum of TOTAL FIELD",'Pivot Table'!$A$100,"DAY","Wed")+GETPIVOTDATA("Sum of TOTAL FIELD",'Pivot Table'!$A$112,"DAY","Wed")+GETPIVOTDATA("Sum of TOTAL FIELD",'Pivot Table'!$A$124,"DAY","Wed")+GETPIVOTDATA("Sum of TOTAL FIELD",'Pivot Table'!$A$136,"DAY","Wed")</f>
        <v>6911</v>
      </c>
      <c r="K8" s="39" t="s">
        <v>3</v>
      </c>
      <c r="L8" s="39">
        <f>GETPIVOTDATA("Sum of TOTAL FIELD",'Pivot Table'!$A$4,"DAY","Thu")+GETPIVOTDATA("Sum of TOTAL FIELD",'Pivot Table'!$A$16,"DAY","Thu")+GETPIVOTDATA("Sum of TOTAL FIELD",'Pivot Table'!$A$28,"DAY","Thu")+GETPIVOTDATA("Sum of TOTAL FIELD",'Pivot Table'!$A$40,"DAY","Thu")+GETPIVOTDATA("Sum of TOTAL FIELD",'Pivot Table'!$A$52,"DAY","Thu")+GETPIVOTDATA("Sum of TOTAL FIELD",'Pivot Table'!$A$64,"DAY","Thu")+GETPIVOTDATA("Sum of TOTAL FIELD",'Pivot Table'!$A$76,"DAY","Thu")+GETPIVOTDATA("Sum of TOTAL FIELD",'Pivot Table'!$A$88,"DAY","Thu")+GETPIVOTDATA("Sum of TOTAL FIELD",'Pivot Table'!$A$100,"DAY","Thu")+GETPIVOTDATA("Sum of TOTAL FIELD",'Pivot Table'!$A$112,"DAY","Thu")+GETPIVOTDATA("Sum of TOTAL FIELD",'Pivot Table'!$A$124,"DAY","Thu")+GETPIVOTDATA("Sum of TOTAL FIELD",'Pivot Table'!$A$136,"DAY","Thu")</f>
        <v>7700</v>
      </c>
      <c r="N8" s="39" t="s">
        <v>3</v>
      </c>
      <c r="O8" s="39">
        <f>GETPIVOTDATA("Sum of TOTAL FIELD",'Pivot Table'!$A$4,"DAY","Fri")+GETPIVOTDATA("Sum of TOTAL FIELD",'Pivot Table'!$A$16,"DAY","Fri")+GETPIVOTDATA("Sum of TOTAL FIELD",'Pivot Table'!$A$28,"DAY","Fri")+GETPIVOTDATA("Sum of TOTAL FIELD",'Pivot Table'!$A$40,"DAY","Fri")+GETPIVOTDATA("Sum of TOTAL FIELD",'Pivot Table'!$A$52,"DAY","Fri")+GETPIVOTDATA("Sum of TOTAL FIELD",'Pivot Table'!$A$64,"DAY","Fri")+GETPIVOTDATA("Sum of TOTAL FIELD",'Pivot Table'!$A$76,"DAY","Fri")+GETPIVOTDATA("Sum of TOTAL FIELD",'Pivot Table'!$A$88,"DAY","Fri")+GETPIVOTDATA("Sum of TOTAL FIELD",'Pivot Table'!$A$100,"DAY","Fri")+GETPIVOTDATA("Sum of TOTAL FIELD",'Pivot Table'!$A$112,"DAY","Fri")+GETPIVOTDATA("Sum of TOTAL FIELD",'Pivot Table'!$A$124,"DAY","Fri")+GETPIVOTDATA("Sum of TOTAL FIELD",'Pivot Table'!$A$136,"DAY","Fri")</f>
        <v>8338</v>
      </c>
      <c r="Q8" s="39" t="s">
        <v>3</v>
      </c>
      <c r="R8" s="39">
        <f>GETPIVOTDATA("Sum of TOTAL FIELD",'Pivot Table'!$A$4,"DAY","Sat")+GETPIVOTDATA("Sum of TOTAL FIELD",'Pivot Table'!$A$16,"DAY","Sat")+GETPIVOTDATA("Sum of TOTAL FIELD",'Pivot Table'!$A$28,"DAY","Sat")+GETPIVOTDATA("Sum of TOTAL FIELD",'Pivot Table'!$A$40,"DAY","Sat")+GETPIVOTDATA("Sum of TOTAL FIELD",'Pivot Table'!$A$52,"DAY","Sat")+GETPIVOTDATA("Sum of TOTAL FIELD",'Pivot Table'!$A$64,"DAY","Sat")+GETPIVOTDATA("Sum of TOTAL FIELD",'Pivot Table'!$A$76,"DAY","Sat")+GETPIVOTDATA("Sum of TOTAL FIELD",'Pivot Table'!$A$88,"DAY","Sat")+GETPIVOTDATA("Sum of TOTAL FIELD",'Pivot Table'!$A$100,"DAY","Sat")+GETPIVOTDATA("Sum of TOTAL FIELD",'Pivot Table'!$A$112,"DAY","Sat")+GETPIVOTDATA("Sum of TOTAL FIELD",'Pivot Table'!$A$124,"DAY","Sat")+GETPIVOTDATA("Sum of TOTAL FIELD",'Pivot Table'!$A$136,"DAY","Sat")</f>
        <v>7620</v>
      </c>
      <c r="T8" s="39" t="s">
        <v>3</v>
      </c>
      <c r="U8" s="39">
        <f>GETPIVOTDATA("Sum of TOTAL FIELD",'Pivot Table'!$A$4,"DAY","Sun")+GETPIVOTDATA("Sum of TOTAL FIELD",'Pivot Table'!$A$16,"DAY","Sun")+GETPIVOTDATA("Sum of TOTAL FIELD",'Pivot Table'!$A$28,"DAY","Sun")+GETPIVOTDATA("Sum of TOTAL FIELD",'Pivot Table'!$A$40,"DAY","Sun")+GETPIVOTDATA("Sum of TOTAL FIELD",'Pivot Table'!$A$52,"DAY","Sun")+GETPIVOTDATA("Sum of TOTAL FIELD",'Pivot Table'!$A$64,"DAY","Sun")+GETPIVOTDATA("Sum of TOTAL FIELD",'Pivot Table'!$A$76,"DAY","Sun")+GETPIVOTDATA("Sum of TOTAL FIELD",'Pivot Table'!$A$88,"DAY","Sun")+GETPIVOTDATA("Sum of TOTAL FIELD",'Pivot Table'!$A$100,"DAY","Sun")+GETPIVOTDATA("Sum of TOTAL FIELD",'Pivot Table'!$A$112,"DAY","Sun")+GETPIVOTDATA("Sum of TOTAL FIELD",'Pivot Table'!$A$124,"DAY","Sun")+GETPIVOTDATA("Sum of TOTAL FIELD",'Pivot Table'!$A$136,"DAY","Sun")</f>
        <v>8118</v>
      </c>
    </row>
    <row r="9" spans="2:21" x14ac:dyDescent="0.25">
      <c r="B9" s="39" t="s">
        <v>82</v>
      </c>
      <c r="C9" s="39">
        <f>GETPIVOTDATA("Sum of No. GUESTS",'Pivot Table'!$A$4,"DAY","Mon")+GETPIVOTDATA("Sum of No. GUESTS",'Pivot Table'!$A$16,"DAY","Mon")+GETPIVOTDATA("Sum of No. GUESTS",'Pivot Table'!$A$28,"DAY","Mon")+GETPIVOTDATA("Sum of No. GUESTS",'Pivot Table'!$A$40,"DAY","Mon")+GETPIVOTDATA("Sum of No. GUESTS",'Pivot Table'!$A$52,"DAY","Mon")+GETPIVOTDATA("Sum of No. GUESTS",'Pivot Table'!$A$64,"DAY","Mon")+GETPIVOTDATA("Sum of No. GUESTS",'Pivot Table'!$A$76,"DAY","Mon")+GETPIVOTDATA("Sum of No. GUESTS",'Pivot Table'!$A$88,"DAY","Mon")+GETPIVOTDATA("Sum of No. GUESTS",'Pivot Table'!$A$100,"DAY","Mon")+GETPIVOTDATA("Sum of No. GUESTS",'Pivot Table'!$A$112,"DAY","Mon")+GETPIVOTDATA("Sum of No. GUESTS",'Pivot Table'!$A$124,"DAY","Mon")+GETPIVOTDATA("Sum of No. GUESTS",'Pivot Table'!$A$136,"DAY","Mon")</f>
        <v>1467</v>
      </c>
      <c r="E9" s="39" t="s">
        <v>82</v>
      </c>
      <c r="F9" s="39">
        <f>GETPIVOTDATA("Sum of No. GUESTS",'Pivot Table'!$A$4,"DAY","Tue")+GETPIVOTDATA("Sum of No. GUESTS",'Pivot Table'!$A$16,"DAY","Tue")+GETPIVOTDATA("Sum of No. GUESTS",'Pivot Table'!$A$28,"DAY","Tue")+GETPIVOTDATA("Sum of No. GUESTS",'Pivot Table'!$A$40,"DAY","Tue")+GETPIVOTDATA("Sum of No. GUESTS",'Pivot Table'!$A$52,"DAY","Tue")+GETPIVOTDATA("Sum of No. GUESTS",'Pivot Table'!$A$64,"DAY","Tue")+GETPIVOTDATA("Sum of No. GUESTS",'Pivot Table'!$A$76,"DAY","Tue")+GETPIVOTDATA("Sum of No. GUESTS",'Pivot Table'!$A$88,"DAY","Tue")+GETPIVOTDATA("Sum of No. GUESTS",'Pivot Table'!$A$100,"DAY","Tue")+GETPIVOTDATA("Sum of No. GUESTS",'Pivot Table'!$A$112,"DAY","Tue")+GETPIVOTDATA("Sum of No. GUESTS",'Pivot Table'!$A$124,"DAY","Tue")+GETPIVOTDATA("Sum of No. GUESTS",'Pivot Table'!$A$136,"DAY","Tue")</f>
        <v>316</v>
      </c>
      <c r="H9" s="39" t="s">
        <v>82</v>
      </c>
      <c r="I9" s="39">
        <f>GETPIVOTDATA("Sum of No. GUESTS",'Pivot Table'!$A$4,"DAY","Wed")+GETPIVOTDATA("Sum of No. GUESTS",'Pivot Table'!$A$16,"DAY","Wed")+GETPIVOTDATA("Sum of No. GUESTS",'Pivot Table'!$A$28,"DAY","Wed")+GETPIVOTDATA("Sum of No. GUESTS",'Pivot Table'!$A$40,"DAY","Wed")+GETPIVOTDATA("Sum of No. GUESTS",'Pivot Table'!$A$52,"DAY","Wed")+GETPIVOTDATA("Sum of No. GUESTS",'Pivot Table'!$A$64,"DAY","Wed")+GETPIVOTDATA("Sum of No. GUESTS",'Pivot Table'!$A$76,"DAY","Wed")+GETPIVOTDATA("Sum of No. GUESTS",'Pivot Table'!$A$88,"DAY","Wed")+GETPIVOTDATA("Sum of No. GUESTS",'Pivot Table'!$A$100,"DAY","Wed")+GETPIVOTDATA("Sum of No. GUESTS",'Pivot Table'!$A$112,"DAY","Wed")+GETPIVOTDATA("Sum of No. GUESTS",'Pivot Table'!$A$124,"DAY","Wed")+GETPIVOTDATA("Sum of No. GUESTS",'Pivot Table'!$A$136,"DAY","Wed")</f>
        <v>3507</v>
      </c>
      <c r="K9" s="39" t="s">
        <v>82</v>
      </c>
      <c r="L9" s="39">
        <f>GETPIVOTDATA("Sum of No. GUESTS",'Pivot Table'!$A$4,"DAY","Thu")+GETPIVOTDATA("Sum of No. GUESTS",'Pivot Table'!$A$16,"DAY","Thu")+GETPIVOTDATA("Sum of No. GUESTS",'Pivot Table'!$A$28,"DAY","Thu")+GETPIVOTDATA("Sum of No. GUESTS",'Pivot Table'!$A$40,"DAY","Thu")+GETPIVOTDATA("Sum of No. GUESTS",'Pivot Table'!$A$52,"DAY","Thu")+GETPIVOTDATA("Sum of No. GUESTS",'Pivot Table'!$A$64,"DAY","Thu")+GETPIVOTDATA("Sum of No. GUESTS",'Pivot Table'!$A$76,"DAY","Thu")+GETPIVOTDATA("Sum of No. GUESTS",'Pivot Table'!$A$88,"DAY","Thu")+GETPIVOTDATA("Sum of No. GUESTS",'Pivot Table'!$A$100,"DAY","Thu")+GETPIVOTDATA("Sum of No. GUESTS",'Pivot Table'!$A$112,"DAY","Thu")+GETPIVOTDATA("Sum of No. GUESTS",'Pivot Table'!$A$124,"DAY","Thu")+GETPIVOTDATA("Sum of No. GUESTS",'Pivot Table'!$A$136,"DAY","Thu")</f>
        <v>100</v>
      </c>
      <c r="N9" s="39" t="s">
        <v>82</v>
      </c>
      <c r="O9" s="39">
        <f>GETPIVOTDATA("Sum of No. GUESTS",'Pivot Table'!$A$4,"DAY","Fri")+GETPIVOTDATA("Sum of No. GUESTS",'Pivot Table'!$A$16,"DAY","Fri")+GETPIVOTDATA("Sum of No. GUESTS",'Pivot Table'!$A$28,"DAY","Fri")+GETPIVOTDATA("Sum of No. GUESTS",'Pivot Table'!$A$40,"DAY","Fri")+GETPIVOTDATA("Sum of No. GUESTS",'Pivot Table'!$A$52,"DAY","Fri")+GETPIVOTDATA("Sum of No. GUESTS",'Pivot Table'!$A$64,"DAY","Fri")+GETPIVOTDATA("Sum of No. GUESTS",'Pivot Table'!$A$76,"DAY","Fri")+GETPIVOTDATA("Sum of No. GUESTS",'Pivot Table'!$A$88,"DAY","Fri")+GETPIVOTDATA("Sum of No. GUESTS",'Pivot Table'!$A$100,"DAY","Fri")+GETPIVOTDATA("Sum of No. GUESTS",'Pivot Table'!$A$112,"DAY","Fri")+GETPIVOTDATA("Sum of No. GUESTS",'Pivot Table'!$A$124,"DAY","Fri")+GETPIVOTDATA("Sum of No. GUESTS",'Pivot Table'!$A$136,"DAY","Fri")</f>
        <v>2599</v>
      </c>
      <c r="Q9" s="39" t="s">
        <v>82</v>
      </c>
      <c r="R9" s="39">
        <f>GETPIVOTDATA("Sum of No. GUESTS",'Pivot Table'!$A$4,"DAY","Sat")+GETPIVOTDATA("Sum of No. GUESTS",'Pivot Table'!$A$16,"DAY","Sat")+GETPIVOTDATA("Sum of No. GUESTS",'Pivot Table'!$A$28,"DAY","Sat")+GETPIVOTDATA("Sum of No. GUESTS",'Pivot Table'!$A$40,"DAY","Sat")+GETPIVOTDATA("Sum of No. GUESTS",'Pivot Table'!$A$52,"DAY","Sat")+GETPIVOTDATA("Sum of No. GUESTS",'Pivot Table'!$A$64,"DAY","Sat")+GETPIVOTDATA("Sum of No. GUESTS",'Pivot Table'!$A$76,"DAY","Sat")+GETPIVOTDATA("Sum of No. GUESTS",'Pivot Table'!$A$88,"DAY","Sat")+GETPIVOTDATA("Sum of No. GUESTS",'Pivot Table'!$A$100,"DAY","Sat")+GETPIVOTDATA("Sum of No. GUESTS",'Pivot Table'!$A$112,"DAY","Sat")+GETPIVOTDATA("Sum of No. GUESTS",'Pivot Table'!$A$124,"DAY","Sat")+GETPIVOTDATA("Sum of No. GUESTS",'Pivot Table'!$A$136,"DAY","Sat")</f>
        <v>220</v>
      </c>
      <c r="T9" s="39" t="s">
        <v>82</v>
      </c>
      <c r="U9" s="39">
        <f>GETPIVOTDATA("Sum of No. GUESTS",'Pivot Table'!$A$4,"DAY","Sun")+GETPIVOTDATA("Sum of No. GUESTS",'Pivot Table'!$A$16,"DAY","Sun")+GETPIVOTDATA("Sum of No. GUESTS",'Pivot Table'!$A$28,"DAY","Sun")+GETPIVOTDATA("Sum of No. GUESTS",'Pivot Table'!$A$40,"DAY","Sun")+GETPIVOTDATA("Sum of No. GUESTS",'Pivot Table'!$A$52,"DAY","Sun")+GETPIVOTDATA("Sum of No. GUESTS",'Pivot Table'!$A$64,"DAY","Sun")+GETPIVOTDATA("Sum of No. GUESTS",'Pivot Table'!$A$76,"DAY","Sun")+GETPIVOTDATA("Sum of No. GUESTS",'Pivot Table'!$A$88,"DAY","Sun")+GETPIVOTDATA("Sum of No. GUESTS",'Pivot Table'!$A$100,"DAY","Sun")+GETPIVOTDATA("Sum of No. GUESTS",'Pivot Table'!$A$112,"DAY","Sun")+GETPIVOTDATA("Sum of No. GUESTS",'Pivot Table'!$A$124,"DAY","Sun")+GETPIVOTDATA("Sum of No. GUESTS",'Pivot Table'!$A$136,"DAY","Sun")</f>
        <v>1368</v>
      </c>
    </row>
    <row r="10" spans="2:21" s="56" customFormat="1" ht="33" customHeight="1" x14ac:dyDescent="0.25">
      <c r="B10" s="55" t="s">
        <v>74</v>
      </c>
      <c r="C10" s="58">
        <f>SUM(C9/C8)</f>
        <v>0.2592330800494787</v>
      </c>
      <c r="E10" s="55" t="s">
        <v>74</v>
      </c>
      <c r="F10" s="58">
        <f>SUM(F9/F8)</f>
        <v>5.3970964987190437E-2</v>
      </c>
      <c r="H10" s="55" t="s">
        <v>74</v>
      </c>
      <c r="I10" s="58">
        <f>SUM(I9/I8)</f>
        <v>0.50745188829402399</v>
      </c>
      <c r="K10" s="55" t="s">
        <v>74</v>
      </c>
      <c r="L10" s="58">
        <f>SUM(L9/L8)</f>
        <v>1.2987012987012988E-2</v>
      </c>
      <c r="N10" s="55" t="s">
        <v>74</v>
      </c>
      <c r="O10" s="58">
        <f>SUM(O9/O8)</f>
        <v>0.31170544495082753</v>
      </c>
      <c r="Q10" s="55" t="s">
        <v>74</v>
      </c>
      <c r="R10" s="58">
        <f>SUM(R9/R8)</f>
        <v>2.8871391076115485E-2</v>
      </c>
      <c r="T10" s="55" t="s">
        <v>74</v>
      </c>
      <c r="U10" s="58">
        <f>SUM(U9/U8)</f>
        <v>0.16851441241685144</v>
      </c>
    </row>
    <row r="11" spans="2:21" x14ac:dyDescent="0.25">
      <c r="B11" s="35" t="s">
        <v>4</v>
      </c>
      <c r="C11" s="39">
        <f>H25</f>
        <v>0</v>
      </c>
      <c r="E11" s="35" t="s">
        <v>4</v>
      </c>
      <c r="F11" s="39">
        <f>GETPIVOTDATA("Sum of MEMBER",'Pivot Table'!$A$4,"DAY","Tue")+GETPIVOTDATA("Sum of MEMBER",'Pivot Table'!$A$16,"DAY","Tue")+GETPIVOTDATA("Sum of MEMBER",'Pivot Table'!$A$28,"DAY","Tue")+GETPIVOTDATA("Sum of MEMBER",'Pivot Table'!$A$40,"DAY","Tue")+GETPIVOTDATA("Sum of MEMBER",'Pivot Table'!$A$52,"DAY","Tue")+GETPIVOTDATA("Sum of MEMBER",'Pivot Table'!$A$64,"DAY","Tue")+GETPIVOTDATA("Sum of MEMBER",'Pivot Table'!$A$76,"DAY","Tue")+GETPIVOTDATA("Sum of MEMBER",'Pivot Table'!$A$88,"DAY","Tue")+GETPIVOTDATA("Sum of MEMBER",'Pivot Table'!$A$100,"DAY","Tue")+GETPIVOTDATA("Sum of MEMBER",'Pivot Table'!$A$112,"DAY","Tue")+GETPIVOTDATA("Sum of MEMBER",'Pivot Table'!$A$124,"DAY","Tue")+GETPIVOTDATA("Sum of MEMBER",'Pivot Table'!$A$136,"DAY","Tue")</f>
        <v>5506</v>
      </c>
      <c r="H11" s="35" t="s">
        <v>4</v>
      </c>
      <c r="I11" s="39">
        <f>GETPIVOTDATA("Sum of MEMBER",'Pivot Table'!$A$4,"DAY","Wed")+GETPIVOTDATA("Sum of MEMBER",'Pivot Table'!$A$16,"DAY","Wed")+GETPIVOTDATA("Sum of MEMBER",'Pivot Table'!$A$28,"DAY","Wed")+GETPIVOTDATA("Sum of MEMBER",'Pivot Table'!$A$40,"DAY","Wed")+GETPIVOTDATA("Sum of MEMBER",'Pivot Table'!$A$52,"DAY","Wed")+GETPIVOTDATA("Sum of MEMBER",'Pivot Table'!$A$64,"DAY","Wed")+GETPIVOTDATA("Sum of MEMBER",'Pivot Table'!$A$76,"DAY","Wed")+GETPIVOTDATA("Sum of MEMBER",'Pivot Table'!$A$88,"DAY","Wed")+GETPIVOTDATA("Sum of MEMBER",'Pivot Table'!$A$100,"DAY","Wed")+GETPIVOTDATA("Sum of MEMBER",'Pivot Table'!$A$112,"DAY","Wed")+GETPIVOTDATA("Sum of MEMBER",'Pivot Table'!$A$124,"DAY","Wed")+GETPIVOTDATA("Sum of MEMBER",'Pivot Table'!$A$136,"DAY","Wed")</f>
        <v>3384</v>
      </c>
      <c r="K11" s="35" t="s">
        <v>4</v>
      </c>
      <c r="L11" s="39">
        <f>GETPIVOTDATA("Sum of MEMBER",'Pivot Table'!$A$4,"DAY","Thu")+GETPIVOTDATA("Sum of MEMBER",'Pivot Table'!$A$16,"DAY","Thu")++GETPIVOTDATA("Sum of MEMBER",'Pivot Table'!$A$28,"DAY","Thu")+GETPIVOTDATA("Sum of MEMBER",'Pivot Table'!$A$40,"DAY","Thu")+GETPIVOTDATA("Sum of MEMBER",'Pivot Table'!$A$52,"DAY","Thu")+GETPIVOTDATA("Sum of MEMBER",'Pivot Table'!$A$64,"DAY","Thu")+GETPIVOTDATA("Sum of MEMBER",'Pivot Table'!$A$76,"DAY","Thu")+GETPIVOTDATA("Sum of MEMBER",'Pivot Table'!$A$88,"DAY","Thu")+GETPIVOTDATA("Sum of MEMBER",'Pivot Table'!$A$100,"DAY","Thu")+GETPIVOTDATA("Sum of MEMBER",'Pivot Table'!$A$112,"DAY","Thu")+GETPIVOTDATA("Sum of MEMBER",'Pivot Table'!$A$124,"DAY","Thu")+GETPIVOTDATA("Sum of MEMBER",'Pivot Table'!$A$136,"DAY","Thu")</f>
        <v>7571</v>
      </c>
      <c r="N11" s="35" t="s">
        <v>4</v>
      </c>
      <c r="O11" s="39">
        <f>GETPIVOTDATA("Sum of MEMBER",'Pivot Table'!$A$4,"DAY","Fri")+GETPIVOTDATA("Sum of MEMBER",'Pivot Table'!$A$16,"DAY","Fri")+GETPIVOTDATA("Sum of MEMBER",'Pivot Table'!$A$28,"DAY","Fri")+GETPIVOTDATA("Sum of MEMBER",'Pivot Table'!$A$40,"DAY","Fri")+GETPIVOTDATA("Sum of MEMBER",'Pivot Table'!$A$52,"DAY","Fri")+GETPIVOTDATA("Sum of MEMBER",'Pivot Table'!$A$64,"DAY","Fri")+GETPIVOTDATA("Sum of MEMBER",'Pivot Table'!$A$76,"DAY","Fri")+GETPIVOTDATA("Sum of MEMBER",'Pivot Table'!$A$88,"DAY","Fri")+GETPIVOTDATA("Sum of MEMBER",'Pivot Table'!$A$100,"DAY","Fri")+GETPIVOTDATA("Sum of MEMBER",'Pivot Table'!$A$112,"DAY","Fri")+GETPIVOTDATA("Sum of MEMBER",'Pivot Table'!$A$124,"DAY","Fri")+GETPIVOTDATA("Sum of MEMBER",'Pivot Table'!$A$136,"DAY","Fri")</f>
        <v>5684</v>
      </c>
      <c r="Q11" s="35" t="s">
        <v>4</v>
      </c>
      <c r="R11" s="39">
        <f>GETPIVOTDATA("Sum of MEMBER",'Pivot Table'!$A$4,"DAY","Sat")+GETPIVOTDATA("Sum of MEMBER",'Pivot Table'!$A$16,"DAY","Sat")+GETPIVOTDATA("Sum of MEMBER",'Pivot Table'!$A$28,"DAY","Sat")+GETPIVOTDATA("Sum of MEMBER",'Pivot Table'!$A$40,"DAY","Sat")+GETPIVOTDATA("Sum of MEMBER",'Pivot Table'!$A$52,"DAY","Sat")+GETPIVOTDATA("Sum of MEMBER",'Pivot Table'!$A$64,"DAY","Sat")+GETPIVOTDATA("Sum of MEMBER",'Pivot Table'!$A$76,"DAY","Sat")+GETPIVOTDATA("Sum of MEMBER",'Pivot Table'!$A$88,"DAY","Sat")+GETPIVOTDATA("Sum of MEMBER",'Pivot Table'!$A$100,"DAY","Sat")+GETPIVOTDATA("Sum of MEMBER",'Pivot Table'!$A$112,"DAY","Sat")+GETPIVOTDATA("Sum of MEMBER",'Pivot Table'!$A$124,"DAY","Sat")+GETPIVOTDATA("Sum of MEMBER",'Pivot Table'!$A$136,"DAY","Sat")</f>
        <v>7386</v>
      </c>
      <c r="T11" s="35" t="s">
        <v>4</v>
      </c>
      <c r="U11" s="39">
        <f>GETPIVOTDATA("Sum of MEMBER",'Pivot Table'!$A$4,"DAY","Sun")+GETPIVOTDATA("Sum of MEMBER",'Pivot Table'!$A$16,"DAY","Sun")+GETPIVOTDATA("Sum of MEMBER",'Pivot Table'!$A$28,"DAY","Sun")+GETPIVOTDATA("Sum of MEMBER",'Pivot Table'!$A$40,"DAY","Sun")+GETPIVOTDATA("Sum of MEMBER",'Pivot Table'!$A$52,"DAY","Sun")+GETPIVOTDATA("Sum of MEMBER",'Pivot Table'!$A$64,"DAY","Sun")+GETPIVOTDATA("Sum of MEMBER",'Pivot Table'!$A$76,"DAY","Sun")+GETPIVOTDATA("Sum of MEMBER",'Pivot Table'!$A$88,"DAY","Sun")+GETPIVOTDATA("Sum of MEMBER",'Pivot Table'!$A$100,"DAY","Sun")+GETPIVOTDATA("Sum of MEMBER",'Pivot Table'!$A$112,"DAY","Sun")+GETPIVOTDATA("Sum of MEMBER",'Pivot Table'!$A$124,"DAY","Sun")+GETPIVOTDATA("Sum of MEMBER",'Pivot Table'!$A$136,"DAY","Sun")</f>
        <v>6702</v>
      </c>
    </row>
    <row r="12" spans="2:21" x14ac:dyDescent="0.25">
      <c r="B12" s="39" t="s">
        <v>83</v>
      </c>
      <c r="C12" s="39">
        <f>GETPIVOTDATA("Sum of MANAGER INTRO",'Pivot Table'!$A$4,"DAY","Mon")+GETPIVOTDATA("Sum of MANAGER INTRO",'Pivot Table'!$A$16,"DAY","Mon")+GETPIVOTDATA("Sum of MANAGER INTRO",'Pivot Table'!$A$28,"DAY","Mon")+GETPIVOTDATA("Sum of MANAGER INTRO",'Pivot Table'!$A$40,"DAY","Mon")+GETPIVOTDATA("Sum of MANAGER INTRO",'Pivot Table'!$A$52,"DAY","Mon")+GETPIVOTDATA("Sum of MANAGER INTRO",'Pivot Table'!$A$64,"DAY","Mon")+GETPIVOTDATA("Sum of MANAGER INTRO",'Pivot Table'!$A$76,"DAY","Mon")+GETPIVOTDATA("Sum of MANAGER INTRO",'Pivot Table'!$A$88,"DAY","Mon")+GETPIVOTDATA("Sum of MANAGER INTRO",'Pivot Table'!$A$100,"DAY","Mon")+GETPIVOTDATA("Sum of MANAGER INTRO",'Pivot Table'!$A$112,"DAY","Mon")+GETPIVOTDATA("Sum of MANAGER INTRO",'Pivot Table'!$A$124,"DAY","Mon")+GETPIVOTDATA("Sum of MANAGER INTRO",'Pivot Table'!$A$136,"DAY","Mon")</f>
        <v>29</v>
      </c>
      <c r="E12" s="39" t="s">
        <v>83</v>
      </c>
      <c r="F12" s="39">
        <f>GETPIVOTDATA("Sum of MANAGER INTRO",'Pivot Table'!$A$4,"DAY","Tue")+GETPIVOTDATA("Sum of MANAGER INTRO",'Pivot Table'!$A$16,"DAY","Tue")+GETPIVOTDATA("Sum of MANAGER INTRO",'Pivot Table'!$A$28,"DAY","Tue")+GETPIVOTDATA("Sum of MANAGER INTRO",'Pivot Table'!$A$40,"DAY","Tue")+GETPIVOTDATA("Sum of MANAGER INTRO",'Pivot Table'!$A$52,"DAY","Tue")+GETPIVOTDATA("Sum of MANAGER INTRO",'Pivot Table'!$A$64,"DAY","Tue")+GETPIVOTDATA("Sum of MANAGER INTRO",'Pivot Table'!$A$76,"DAY","Tue")+GETPIVOTDATA("Sum of MANAGER INTRO",'Pivot Table'!$A$88,"DAY","Tue")+GETPIVOTDATA("Sum of MANAGER INTRO",'Pivot Table'!$A$100,"DAY","Tue")+GETPIVOTDATA("Sum of MANAGER INTRO",'Pivot Table'!$A$112,"DAY","Tue")+GETPIVOTDATA("Sum of MANAGER INTRO",'Pivot Table'!$A$124,"DAY","Tue")+GETPIVOTDATA("Sum of MANAGER INTRO",'Pivot Table'!$A$136,"DAY","Tue")</f>
        <v>0</v>
      </c>
      <c r="H12" s="39" t="s">
        <v>83</v>
      </c>
      <c r="I12" s="39">
        <f>GETPIVOTDATA("Sum of MANAGER INTRO",'Pivot Table'!$A$4,"DAY","Wed")+GETPIVOTDATA("Sum of MANAGER INTRO",'Pivot Table'!$A$16,"DAY","Wed")+GETPIVOTDATA("Sum of MANAGER INTRO",'Pivot Table'!$A$28,"DAY","Wed")+GETPIVOTDATA("Sum of MANAGER INTRO",'Pivot Table'!$A$40,"DAY","Wed")+GETPIVOTDATA("Sum of MANAGER INTRO",'Pivot Table'!$A$52,"DAY","Wed")+GETPIVOTDATA("Sum of MANAGER INTRO",'Pivot Table'!$A$64,"DAY","Wed")+GETPIVOTDATA("Sum of MANAGER INTRO",'Pivot Table'!$A$76,"DAY","Wed")+GETPIVOTDATA("Sum of MANAGER INTRO",'Pivot Table'!$A$88,"DAY","Wed")+GETPIVOTDATA("Sum of MANAGER INTRO",'Pivot Table'!$A$100,"DAY","Wed")+GETPIVOTDATA("Sum of MANAGER INTRO",'Pivot Table'!$A$112,"DAY","Wed")+GETPIVOTDATA("Sum of MANAGER INTRO",'Pivot Table'!$A$124,"DAY","Wed")+GETPIVOTDATA("Sum of MANAGER INTRO",'Pivot Table'!$A$136,"DAY","Wed")</f>
        <v>47</v>
      </c>
      <c r="K12" s="39" t="s">
        <v>83</v>
      </c>
      <c r="L12" s="39">
        <f>GETPIVOTDATA("Sum of MANAGER INTRO",'Pivot Table'!$A$4,"DAY","Thu")+GETPIVOTDATA("Sum of MANAGER INTRO",'Pivot Table'!$A$16,"DAY","Thu")+GETPIVOTDATA("Sum of MANAGER INTRO",'Pivot Table'!$A$28,"DAY","Thu")+GETPIVOTDATA("Sum of MANAGER INTRO",'Pivot Table'!$A$40,"DAY","Thu")+GETPIVOTDATA("Sum of MANAGER INTRO",'Pivot Table'!$A$52,"DAY","Thu")+GETPIVOTDATA("Sum of MANAGER INTRO",'Pivot Table'!$A$64,"DAY","Thu")+GETPIVOTDATA("Sum of MANAGER INTRO",'Pivot Table'!$A$76,"DAY","Thu")+GETPIVOTDATA("Sum of MANAGER INTRO",'Pivot Table'!$A$88,"DAY","Thu")+GETPIVOTDATA("Sum of MANAGER INTRO",'Pivot Table'!$A$100,"DAY","Thu")+GETPIVOTDATA("Sum of MANAGER INTRO",'Pivot Table'!$A$112,"DAY","Thu")+GETPIVOTDATA("Sum of MANAGER INTRO",'Pivot Table'!$A$124,"DAY","Thu")+GETPIVOTDATA("Sum of MANAGER INTRO",'Pivot Table'!$A$136,"DAY","Thu")</f>
        <v>4</v>
      </c>
      <c r="N12" s="39" t="s">
        <v>83</v>
      </c>
      <c r="O12" s="39">
        <f>GETPIVOTDATA("Sum of MANAGER INTRO",'Pivot Table'!$A$4,"DAY","Fri")+GETPIVOTDATA("Sum of MANAGER INTRO",'Pivot Table'!$A$16,"DAY","Fri")+GETPIVOTDATA("Sum of MANAGER INTRO",'Pivot Table'!$A$28,"DAY","Fri")+GETPIVOTDATA("Sum of MANAGER INTRO",'Pivot Table'!$A$40,"DAY","Fri")+GETPIVOTDATA("Sum of MANAGER INTRO",'Pivot Table'!$A$52,"DAY","Fri")+GETPIVOTDATA("Sum of MANAGER INTRO",'Pivot Table'!$A$64,"DAY","Fri")+GETPIVOTDATA("Sum of MANAGER INTRO",'Pivot Table'!$A$76,"DAY","Fri")+GETPIVOTDATA("Sum of MANAGER INTRO",'Pivot Table'!$A$88,"DAY","Fri")+GETPIVOTDATA("Sum of MANAGER INTRO",'Pivot Table'!$A$100,"DAY","Fri")+GETPIVOTDATA("Sum of MANAGER INTRO",'Pivot Table'!$A$112,"DAY","Fri")+GETPIVOTDATA("Sum of MANAGER INTRO",'Pivot Table'!$A$124,"DAY","Fri")+GETPIVOTDATA("Sum of MANAGER INTRO",'Pivot Table'!$A$136,"DAY","Fri")</f>
        <v>66</v>
      </c>
      <c r="Q12" s="39" t="s">
        <v>83</v>
      </c>
      <c r="R12" s="39">
        <f>GETPIVOTDATA("Sum of MANAGER INTRO",'Pivot Table'!$A$4,"DAY","Sat")+GETPIVOTDATA("Sum of MANAGER INTRO",'Pivot Table'!$A$16,"DAY","Sat")+GETPIVOTDATA("Sum of MANAGER INTRO",'Pivot Table'!$A$28,"DAY","Sat")+GETPIVOTDATA("Sum of MANAGER INTRO",'Pivot Table'!$A$40,"DAY","Sat")+GETPIVOTDATA("Sum of MANAGER INTRO",'Pivot Table'!$A$52,"DAY","Sat")+GETPIVOTDATA("Sum of MANAGER INTRO",'Pivot Table'!$A$64,"DAY","Sat")++GETPIVOTDATA("Sum of MANAGER INTRO",'Pivot Table'!$A$76,"DAY","Sat")+GETPIVOTDATA("Sum of MANAGER INTRO",'Pivot Table'!$A$88,"DAY","Sat")+GETPIVOTDATA("Sum of MANAGER INTRO",'Pivot Table'!$A$100,"DAY","Sat")+GETPIVOTDATA("Sum of MANAGER INTRO",'Pivot Table'!$A$112,"DAY","Sat")+GETPIVOTDATA("Sum of MANAGER INTRO",'Pivot Table'!$A$124,"DAY","Sat")+GETPIVOTDATA("Sum of MANAGER INTRO",'Pivot Table'!$A$136,"DAY","Sat")</f>
        <v>0</v>
      </c>
      <c r="T12" s="39" t="s">
        <v>83</v>
      </c>
      <c r="U12" s="39">
        <f>GETPIVOTDATA("Sum of MANAGER INTRO",'Pivot Table'!$A$4,"DAY","Sun")+GETPIVOTDATA("Sum of MANAGER INTRO",'Pivot Table'!$A$16,"DAY","Sun")+GETPIVOTDATA("Sum of MANAGER INTRO",'Pivot Table'!$A$28,"DAY","Sun")+GETPIVOTDATA("Sum of MANAGER INTRO",'Pivot Table'!$A$40,"DAY","Sun")+GETPIVOTDATA("Sum of MANAGER INTRO",'Pivot Table'!$A$52,"DAY","Sun")+GETPIVOTDATA("Sum of MANAGER INTRO",'Pivot Table'!$A$64,"DAY","Sun")+GETPIVOTDATA("Sum of MANAGER INTRO",'Pivot Table'!$A$76,"DAY","Sun")+GETPIVOTDATA("Sum of MANAGER INTRO",'Pivot Table'!$A$88,"DAY","Sun")+GETPIVOTDATA("Sum of MANAGER INTRO",'Pivot Table'!$A$100,"DAY","Sun")+GETPIVOTDATA("Sum of MANAGER INTRO",'Pivot Table'!$A$112,"DAY","Sun")+GETPIVOTDATA("Sum of MANAGER INTRO",'Pivot Table'!$A$124,"DAY","Sun")+GETPIVOTDATA("Sum of MANAGER INTRO",'Pivot Table'!$A$136,"DAY","Sun")</f>
        <v>45</v>
      </c>
    </row>
    <row r="13" spans="2:21" x14ac:dyDescent="0.25">
      <c r="B13" s="39" t="s">
        <v>75</v>
      </c>
      <c r="C13" s="39">
        <f>GETPIVOTDATA("Sum of INTERSTATE",'Pivot Table'!$A$4,"DAY","Mon")+GETPIVOTDATA("Sum of INTERSTATE",'Pivot Table'!$A$16,"DAY","Mon")+GETPIVOTDATA("Sum of INTERSTATE",'Pivot Table'!$A$28,"DAY","Mon")+GETPIVOTDATA("Sum of INTERSTATE",'Pivot Table'!$A$40,"DAY","Mon")+GETPIVOTDATA("Sum of INTERSTATE",'Pivot Table'!$A$52,"DAY","Mon")+GETPIVOTDATA("Sum of INTERSTATE",'Pivot Table'!$A$64,"DAY","Mon")+GETPIVOTDATA("Sum of INTERSTATE",'Pivot Table'!$A$76,"DAY","Mon")+GETPIVOTDATA("Sum of INTERSTATE",'Pivot Table'!$A$88,"DAY","Mon")+GETPIVOTDATA("Sum of INTERSTATE",'Pivot Table'!$A$100,"DAY","Mon")+GETPIVOTDATA("Sum of INTERSTATE",'Pivot Table'!$A$112,"DAY","Mon")+GETPIVOTDATA("Sum of INTERSTATE",'Pivot Table'!$A$124,"DAY","Mon")+GETPIVOTDATA("Sum of INTERSTATE",'Pivot Table'!$A$136,"DAY","Mon")</f>
        <v>39</v>
      </c>
      <c r="E13" s="39" t="s">
        <v>75</v>
      </c>
      <c r="F13" s="39">
        <f>GETPIVOTDATA("Sum of INTERSTATE",'Pivot Table'!$A$4,"DAY","Tue")+GETPIVOTDATA("Sum of INTERSTATE",'Pivot Table'!$A$16,"DAY","Tue")+GETPIVOTDATA("Sum of INTERSTATE",'Pivot Table'!$A$28,"DAY","Tue")+GETPIVOTDATA("Sum of INTERSTATE",'Pivot Table'!$A$40,"DAY","Tue")+GETPIVOTDATA("Sum of INTERSTATE",'Pivot Table'!$A$52,"DAY","Tue")+GETPIVOTDATA("Sum of INTERSTATE",'Pivot Table'!$A$64,"DAY","Tue")+GETPIVOTDATA("Sum of INTERSTATE",'Pivot Table'!$A$76,"DAY","Tue")+GETPIVOTDATA("Sum of INTERSTATE",'Pivot Table'!$A$88,"DAY","Tue")+GETPIVOTDATA("Sum of INTERSTATE",'Pivot Table'!$A$100,"DAY","Tue")+GETPIVOTDATA("Sum of INTERSTATE",'Pivot Table'!$A$112,"DAY","Tue")+GETPIVOTDATA("Sum of INTERSTATE",'Pivot Table'!$A$124,"DAY","Tue")+GETPIVOTDATA("Sum of INTERSTATE",'Pivot Table'!$A$136,"DAY","Tue")</f>
        <v>0</v>
      </c>
      <c r="H13" s="39" t="s">
        <v>75</v>
      </c>
      <c r="I13" s="39">
        <f>GETPIVOTDATA("Sum of INTERSTATE",'Pivot Table'!$A$4,"DAY","Wed")+GETPIVOTDATA("Sum of INTERSTATE",'Pivot Table'!$A$16,"DAY","Wed")+GETPIVOTDATA("Sum of INTERSTATE",'Pivot Table'!$A$28,"DAY","Wed")+GETPIVOTDATA("Sum of INTERSTATE",'Pivot Table'!$A$40,"DAY","Wed")+GETPIVOTDATA("Sum of INTERSTATE",'Pivot Table'!$A$52,"DAY","Wed")+GETPIVOTDATA("Sum of INTERSTATE",'Pivot Table'!$A$64,"DAY","Wed")+GETPIVOTDATA("Sum of INTERSTATE",'Pivot Table'!$A$76,"DAY","Wed")+GETPIVOTDATA("Sum of INTERSTATE",'Pivot Table'!$A$88,"DAY","Wed")+GETPIVOTDATA("Sum of INTERSTATE",'Pivot Table'!$A$100,"DAY","Wed")+GETPIVOTDATA("Sum of INTERSTATE",'Pivot Table'!$A$112,"DAY","Wed")+GETPIVOTDATA("Sum of INTERSTATE",'Pivot Table'!$A$124,"DAY","Wed")+GETPIVOTDATA("Sum of INTERSTATE",'Pivot Table'!$A$136,"DAY","Wed")</f>
        <v>57</v>
      </c>
      <c r="K13" s="39" t="s">
        <v>75</v>
      </c>
      <c r="L13" s="39">
        <f>GETPIVOTDATA("Sum of INTERSTATE",'Pivot Table'!$A$4,"DAY","Thu")+GETPIVOTDATA("Sum of INTERSTATE",'Pivot Table'!$A$16,"DAY","Thu")+GETPIVOTDATA("Sum of INTERSTATE",'Pivot Table'!$A$28,"DAY","Thu")+GETPIVOTDATA("Sum of INTERSTATE",'Pivot Table'!$A$40,"DAY","Thu")+GETPIVOTDATA("Sum of INTERSTATE",'Pivot Table'!$A$52,"DAY","Thu")+GETPIVOTDATA("Sum of INTERSTATE",'Pivot Table'!$A$64,"DAY","Thu")+GETPIVOTDATA("Sum of INTERSTATE",'Pivot Table'!$A$76,"DAY","Thu")+GETPIVOTDATA("Sum of INTERSTATE",'Pivot Table'!$A$88,"DAY","Thu")+GETPIVOTDATA("Sum of INTERSTATE",'Pivot Table'!$A$100,"DAY","Thu")+GETPIVOTDATA("Sum of INTERSTATE",'Pivot Table'!$A$112,"DAY","Thu")+GETPIVOTDATA("Sum of INTERSTATE",'Pivot Table'!$A$124,"DAY","Thu")+GETPIVOTDATA("Sum of INTERSTATE",'Pivot Table'!$A$136,"DAY","Thu")</f>
        <v>2</v>
      </c>
      <c r="N13" s="39" t="s">
        <v>75</v>
      </c>
      <c r="O13" s="39">
        <f>GETPIVOTDATA("Sum of INTERSTATE",'Pivot Table'!$A$4,"DAY","Fri")+GETPIVOTDATA("Sum of INTERSTATE",'Pivot Table'!$A$16,"DAY","Fri")+GETPIVOTDATA("Sum of INTERSTATE",'Pivot Table'!$A$28,"DAY","Fri")+GETPIVOTDATA("Sum of INTERSTATE",'Pivot Table'!$A$40,"DAY","Fri")+GETPIVOTDATA("Sum of INTERSTATE",'Pivot Table'!$A$52,"DAY","Fri")+GETPIVOTDATA("Sum of INTERSTATE",'Pivot Table'!$A$64,"DAY","Fri")+GETPIVOTDATA("Sum of INTERSTATE",'Pivot Table'!$A$76,"DAY","Fri")+GETPIVOTDATA("Sum of INTERSTATE",'Pivot Table'!$A$88,"DAY","Fri")+GETPIVOTDATA("Sum of INTERSTATE",'Pivot Table'!$A$100,"DAY","Fri")+GETPIVOTDATA("Sum of INTERSTATE",'Pivot Table'!$A$112,"DAY","Fri")+GETPIVOTDATA("Sum of INTERSTATE",'Pivot Table'!$A$124,"DAY","Fri")+GETPIVOTDATA("Sum of INTERSTATE",'Pivot Table'!$A$136,"DAY","Fri")</f>
        <v>48</v>
      </c>
      <c r="Q13" s="39" t="s">
        <v>75</v>
      </c>
      <c r="R13" s="39">
        <f>GETPIVOTDATA("Sum of INTERSTATE",'Pivot Table'!$A$4,"DAY","Sat")+GETPIVOTDATA("Sum of INTERSTATE",'Pivot Table'!$A$16,"DAY","Sat")+GETPIVOTDATA("Sum of INTERSTATE",'Pivot Table'!$A$28,"DAY","Sat")+GETPIVOTDATA("Sum of INTERSTATE",'Pivot Table'!$A$40,"DAY","Sat")+GETPIVOTDATA("Sum of INTERSTATE",'Pivot Table'!$A$52,"DAY","Sat")+GETPIVOTDATA("Sum of INTERSTATE",'Pivot Table'!$A$64,"DAY","Sat")+GETPIVOTDATA("Sum of INTERSTATE",'Pivot Table'!$A$76,"DAY","Sat")+GETPIVOTDATA("Sum of INTERSTATE",'Pivot Table'!$A$88,"DAY","Sat")+GETPIVOTDATA("Sum of INTERSTATE",'Pivot Table'!$A$100,"DAY","Sat")+GETPIVOTDATA("Sum of INTERSTATE",'Pivot Table'!$A$112,"DAY","Sat")+GETPIVOTDATA("Sum of INTERSTATE",'Pivot Table'!$A$124,"DAY","Sat")+GETPIVOTDATA("Sum of INTERSTATE",'Pivot Table'!$A$136,"DAY","Sat")</f>
        <v>0</v>
      </c>
      <c r="T13" s="39" t="s">
        <v>75</v>
      </c>
      <c r="U13" s="39">
        <f>GETPIVOTDATA("Sum of INTERSTATE",'Pivot Table'!$A$4,"DAY","Sun")+GETPIVOTDATA("Sum of INTERSTATE",'Pivot Table'!$A$16,"DAY","Sun")+GETPIVOTDATA("Sum of INTERSTATE",'Pivot Table'!$A$28,"DAY","Sun")+GETPIVOTDATA("Sum of INTERSTATE",'Pivot Table'!$A$40,"DAY","Sun")+GETPIVOTDATA("Sum of INTERSTATE",'Pivot Table'!$A$52,"DAY","Sun")+GETPIVOTDATA("Sum of INTERSTATE",'Pivot Table'!$A$64,"DAY","Sun")+GETPIVOTDATA("Sum of INTERSTATE",'Pivot Table'!$A$76,"DAY","Sun")+GETPIVOTDATA("Sum of INTERSTATE",'Pivot Table'!$A$88,"DAY","Sun")+GETPIVOTDATA("Sum of INTERSTATE",'Pivot Table'!$A$100,"DAY","Sun")+GETPIVOTDATA("Sum of INTERSTATE",'Pivot Table'!$A$112,"DAY","Sun")+GETPIVOTDATA("Sum of INTERSTATE",'Pivot Table'!$A$124,"DAY","Sun")+GETPIVOTDATA("Sum of INTERSTATE",'Pivot Table'!$A$136,"DAY","Sun")</f>
        <v>1</v>
      </c>
    </row>
    <row r="14" spans="2:21" x14ac:dyDescent="0.25">
      <c r="B14" s="39" t="s">
        <v>76</v>
      </c>
      <c r="C14" s="39">
        <f>GETPIVOTDATA("Sum of INTERNATIONAL",'Pivot Table'!$A$4,"DAY","Mon")+GETPIVOTDATA("Sum of INTERNATIONAL",'Pivot Table'!$A$16,"DAY","Mon")+GETPIVOTDATA("Sum of INTERNATIONAL",'Pivot Table'!$A$28,"DAY","Mon")+GETPIVOTDATA("Sum of INTERNATIONAL",'Pivot Table'!$A$40,"DAY","Mon")+GETPIVOTDATA("Sum of INTERNATIONAL",'Pivot Table'!$A$52,"DAY","Mon")+GETPIVOTDATA("Sum of INTERNATIONAL",'Pivot Table'!$A$64,"DAY","Mon")+GETPIVOTDATA("Sum of INTERNATIONAL",'Pivot Table'!$A$76,"DAY","Mon")+GETPIVOTDATA("Sum of INTERNATIONAL",'Pivot Table'!$A$88,"DAY","Mon")+GETPIVOTDATA("Sum of INTERNATIONAL",'Pivot Table'!$A$100,"DAY","Mon")+GETPIVOTDATA("Sum of INTERNATIONAL",'Pivot Table'!$A$112,"DAY","Mon")+GETPIVOTDATA("Sum of INTERNATIONAL",'Pivot Table'!$A$124,"DAY","Mon")+GETPIVOTDATA("Sum of INTERNATIONAL",'Pivot Table'!$A$136,"DAY","Mon")</f>
        <v>87</v>
      </c>
      <c r="E14" s="39" t="s">
        <v>76</v>
      </c>
      <c r="F14" s="39">
        <f>GETPIVOTDATA("Sum of INTERNATIONAL",'Pivot Table'!$A$4,"DAY","Tue")+GETPIVOTDATA("Sum of INTERNATIONAL",'Pivot Table'!$A$16,"DAY","Tue")+GETPIVOTDATA("Sum of INTERNATIONAL",'Pivot Table'!$A$28,"DAY","Tue")+GETPIVOTDATA("Sum of INTERNATIONAL",'Pivot Table'!$A$40,"DAY","Tue")+GETPIVOTDATA("Sum of INTERNATIONAL",'Pivot Table'!$A$52,"DAY","Tue")+GETPIVOTDATA("Sum of INTERNATIONAL",'Pivot Table'!$A$64,"DAY","Tue")+GETPIVOTDATA("Sum of INTERNATIONAL",'Pivot Table'!$A$76,"DAY","Tue")+GETPIVOTDATA("Sum of INTERNATIONAL",'Pivot Table'!$A$88,"DAY","Tue")+GETPIVOTDATA("Sum of INTERNATIONAL",'Pivot Table'!$A$100,"DAY","Tue")+GETPIVOTDATA("Sum of INTERNATIONAL",'Pivot Table'!$A$112,"DAY","Tue")+GETPIVOTDATA("Sum of INTERNATIONAL",'Pivot Table'!$A$124,"DAY","Tue")+GETPIVOTDATA("Sum of INTERNATIONAL",'Pivot Table'!$A$136,"DAY","Tue")</f>
        <v>18</v>
      </c>
      <c r="H14" s="39" t="s">
        <v>76</v>
      </c>
      <c r="I14" s="39">
        <f>GETPIVOTDATA("Sum of INTERNATIONAL",'Pivot Table'!$A$4,"DAY","Wed")+GETPIVOTDATA("Sum of INTERNATIONAL",'Pivot Table'!$A$16,"DAY","Wed")+GETPIVOTDATA("Sum of INTERNATIONAL",'Pivot Table'!$A$28,"DAY","Wed")+GETPIVOTDATA("Sum of INTERNATIONAL",'Pivot Table'!$A$40,"DAY","Wed")+GETPIVOTDATA("Sum of INTERNATIONAL",'Pivot Table'!$A$52,"DAY","Wed")+GETPIVOTDATA("Sum of INTERNATIONAL",'Pivot Table'!$A$64,"DAY","Wed")+GETPIVOTDATA("Sum of INTERNATIONAL",'Pivot Table'!$A$76,"DAY","Wed")+GETPIVOTDATA("Sum of INTERNATIONAL",'Pivot Table'!$A$88,"DAY","Wed")+GETPIVOTDATA("Sum of INTERNATIONAL",'Pivot Table'!$A$100,"DAY","Wed")+GETPIVOTDATA("Sum of INTERNATIONAL",'Pivot Table'!$A$112,"DAY","Wed")+GETPIVOTDATA("Sum of INTERNATIONAL",'Pivot Table'!$A$124,"DAY","Wed")+GETPIVOTDATA("Sum of INTERNATIONAL",'Pivot Table'!$A$136,"DAY","Wed")</f>
        <v>169</v>
      </c>
      <c r="K14" s="39" t="s">
        <v>76</v>
      </c>
      <c r="L14" s="39">
        <f>GETPIVOTDATA("Sum of INTERNATIONAL",'Pivot Table'!$A$4,"DAY","Thu")+GETPIVOTDATA("Sum of INTERNATIONAL",'Pivot Table'!$A$16,"DAY","Thu")+GETPIVOTDATA("Sum of INTERNATIONAL",'Pivot Table'!$A$28,"DAY","Thu")+GETPIVOTDATA("Sum of INTERNATIONAL",'Pivot Table'!$A$40,"DAY","Thu")+GETPIVOTDATA("Sum of INTERNATIONAL",'Pivot Table'!$A$52,"DAY","Thu")+GETPIVOTDATA("Sum of INTERNATIONAL",'Pivot Table'!$A$64,"DAY","Thu")+GETPIVOTDATA("Sum of INTERNATIONAL",'Pivot Table'!$A$76,"DAY","Thu")+GETPIVOTDATA("Sum of INTERNATIONAL",'Pivot Table'!$A$88,"DAY","Thu")+GETPIVOTDATA("Sum of INTERNATIONAL",'Pivot Table'!$A$100,"DAY","Thu")+GETPIVOTDATA("Sum of INTERNATIONAL",'Pivot Table'!$A$112,"DAY","Thu")+GETPIVOTDATA("Sum of INTERNATIONAL",'Pivot Table'!$A$124,"DAY","Thu")+GETPIVOTDATA("Sum of INTERNATIONAL",'Pivot Table'!$A$136,"DAY","Thu")</f>
        <v>1</v>
      </c>
      <c r="N14" s="39" t="s">
        <v>76</v>
      </c>
      <c r="O14" s="39">
        <f>GETPIVOTDATA("Sum of INTERNATIONAL",'Pivot Table'!$A$4,"DAY","Fri")+GETPIVOTDATA("Sum of INTERNATIONAL",'Pivot Table'!$A$16,"DAY","Fri")+GETPIVOTDATA("Sum of INTERNATIONAL",'Pivot Table'!$A$28,"DAY","Fri")+GETPIVOTDATA("Sum of INTERNATIONAL",'Pivot Table'!$A$40,"DAY","Fri")+GETPIVOTDATA("Sum of INTERNATIONAL",'Pivot Table'!$A$52,"DAY","Fri")+GETPIVOTDATA("Sum of INTERNATIONAL",'Pivot Table'!$A$64,"DAY","Fri")+GETPIVOTDATA("Sum of INTERNATIONAL",'Pivot Table'!$A$76,"DAY","Fri")+GETPIVOTDATA("Sum of INTERNATIONAL",'Pivot Table'!$A$88,"DAY","Fri")+GETPIVOTDATA("Sum of INTERNATIONAL",'Pivot Table'!$A$100,"DAY","Fri")+GETPIVOTDATA("Sum of INTERNATIONAL",'Pivot Table'!$A$112,"DAY","Fri")+GETPIVOTDATA("Sum of INTERNATIONAL",'Pivot Table'!$A$124,"DAY","Fri")+GETPIVOTDATA("Sum of INTERNATIONAL",'Pivot Table'!$A$136,"DAY","Fri")</f>
        <v>47</v>
      </c>
      <c r="Q14" s="39" t="s">
        <v>76</v>
      </c>
      <c r="R14" s="39">
        <f>GETPIVOTDATA("Sum of INTERNATIONAL",'Pivot Table'!$A$4,"DAY","Sat")+GETPIVOTDATA("Sum of INTERNATIONAL",'Pivot Table'!$A$16,"DAY","Sat")+GETPIVOTDATA("Sum of INTERNATIONAL",'Pivot Table'!$A$28,"DAY","Sat")+GETPIVOTDATA("Sum of INTERNATIONAL",'Pivot Table'!$A$40,"DAY","Sat")+GETPIVOTDATA("Sum of INTERNATIONAL",'Pivot Table'!$A$52,"DAY","Sat")+GETPIVOTDATA("Sum of INTERNATIONAL",'Pivot Table'!$A$64,"DAY","Sat")+GETPIVOTDATA("Sum of INTERNATIONAL",'Pivot Table'!$A$76,"DAY","Sat")+GETPIVOTDATA("Sum of INTERNATIONAL",'Pivot Table'!$A$88,"DAY","Sat")+GETPIVOTDATA("Sum of INTERNATIONAL",'Pivot Table'!$A$100,"DAY","Sat")+GETPIVOTDATA("Sum of INTERNATIONAL",'Pivot Table'!$A$112,"DAY","Sat")+GETPIVOTDATA("Sum of INTERNATIONAL",'Pivot Table'!$A$124,"DAY","Sat")+GETPIVOTDATA("Sum of INTERNATIONAL",'Pivot Table'!$A$136,"DAY","Sat")</f>
        <v>3</v>
      </c>
      <c r="T14" s="39" t="s">
        <v>76</v>
      </c>
      <c r="U14" s="39">
        <f>GETPIVOTDATA("Sum of INTERNATIONAL",'Pivot Table'!$A$4,"DAY","Sun")+GETPIVOTDATA("Sum of INTERNATIONAL",'Pivot Table'!$A$16,"DAY","Sun")+GETPIVOTDATA("Sum of INTERNATIONAL",'Pivot Table'!$A$28,"DAY","Sun")+GETPIVOTDATA("Sum of INTERNATIONAL",'Pivot Table'!$A$40,"DAY","Sun")+GETPIVOTDATA("Sum of INTERNATIONAL",'Pivot Table'!$A$52,"DAY","Sun")+GETPIVOTDATA("Sum of INTERNATIONAL",'Pivot Table'!$A$64,"DAY","Sun")+GETPIVOTDATA("Sum of INTERNATIONAL",'Pivot Table'!$A$76,"DAY","Sun")+GETPIVOTDATA("Sum of INTERNATIONAL",'Pivot Table'!$A$88,"DAY","Sun")+GETPIVOTDATA("Sum of INTERNATIONAL",'Pivot Table'!$A$100,"DAY","Sun")+GETPIVOTDATA("Sum of INTERNATIONAL",'Pivot Table'!$A$112,"DAY","Sun")+GETPIVOTDATA("Sum of INTERNATIONAL",'Pivot Table'!$A$124,"DAY","Sun")+GETPIVOTDATA("Sum of INTERNATIONAL",'Pivot Table'!$A$136,"DAY","Sun")</f>
        <v>7</v>
      </c>
    </row>
    <row r="15" spans="2:21" x14ac:dyDescent="0.25">
      <c r="B15" s="39" t="s">
        <v>77</v>
      </c>
      <c r="C15" s="39">
        <f>GETPIVOTDATA("Sum of INDUSTRY GUEST",'Pivot Table'!$A$4,"DAY","Mon")+GETPIVOTDATA("Sum of INDUSTRY GUEST",'Pivot Table'!$A$16,"DAY","Mon")+GETPIVOTDATA("Sum of INDUSTRY GUEST",'Pivot Table'!$A$28,"DAY","Mon")+GETPIVOTDATA("Sum of INDUSTRY GUEST",'Pivot Table'!$A$40,"DAY","Mon")+GETPIVOTDATA("Sum of INDUSTRY GUEST",'Pivot Table'!$A$52,"DAY","Mon")+GETPIVOTDATA("Sum of INDUSTRY GUEST",'Pivot Table'!$A$64,"DAY","Mon")+GETPIVOTDATA("Sum of INDUSTRY GUEST",'Pivot Table'!$A$76,"DAY","Mon")+GETPIVOTDATA("Sum of INDUSTRY GUEST",'Pivot Table'!$A$88,"DAY","Mon")+GETPIVOTDATA("Sum of INDUSTRY GUEST",'Pivot Table'!$A$100,"DAY","Mon")+GETPIVOTDATA("Sum of INDUSTRY GUEST",'Pivot Table'!$A$112,"DAY","Mon")+GETPIVOTDATA("Sum of INDUSTRY GUEST",'Pivot Table'!$A$124,"DAY","Mon")+GETPIVOTDATA("Sum of INDUSTRY GUEST",'Pivot Table'!$A$136,"DAY","Mon")</f>
        <v>12</v>
      </c>
      <c r="E15" s="39" t="s">
        <v>77</v>
      </c>
      <c r="F15" s="39">
        <f>GETPIVOTDATA("Sum of INDUSTRY GUEST",'Pivot Table'!$A$4,"DAY","Tue")+GETPIVOTDATA("Sum of INDUSTRY GUEST",'Pivot Table'!$A$16,"DAY","Tue")+GETPIVOTDATA("Sum of INDUSTRY GUEST",'Pivot Table'!$A$28,"DAY","Tue")+GETPIVOTDATA("Sum of INDUSTRY GUEST",'Pivot Table'!$A$40,"DAY","Tue")+GETPIVOTDATA("Sum of INDUSTRY GUEST",'Pivot Table'!$A$52,"DAY","Tue")+GETPIVOTDATA("Sum of INDUSTRY GUEST",'Pivot Table'!$A$64,"DAY","Tue")+GETPIVOTDATA("Sum of INDUSTRY GUEST",'Pivot Table'!$A$76,"DAY","Tue")+GETPIVOTDATA("Sum of INDUSTRY GUEST",'Pivot Table'!$A$88,"DAY","Tue")+GETPIVOTDATA("Sum of INDUSTRY GUEST",'Pivot Table'!$A$100,"DAY","Tue")+GETPIVOTDATA("Sum of INDUSTRY GUEST",'Pivot Table'!$A$112,"DAY","Tue")+GETPIVOTDATA("Sum of INDUSTRY GUEST",'Pivot Table'!$A$124,"DAY","Tue")+GETPIVOTDATA("Sum of INDUSTRY GUEST",'Pivot Table'!$A$136,"DAY","Tue")</f>
        <v>13</v>
      </c>
      <c r="H15" s="39" t="s">
        <v>77</v>
      </c>
      <c r="I15" s="39">
        <f>GETPIVOTDATA("Sum of INDUSTRY GUEST",'Pivot Table'!$A$4,"DAY","Wed")+GETPIVOTDATA("Sum of INDUSTRY GUEST",'Pivot Table'!$A$16,"DAY","Wed")+GETPIVOTDATA("Sum of INDUSTRY GUEST",'Pivot Table'!$A$28,"DAY","Wed")+GETPIVOTDATA("Sum of INDUSTRY GUEST",'Pivot Table'!$A$40,"DAY","Wed")+GETPIVOTDATA("Sum of INDUSTRY GUEST",'Pivot Table'!$A$52,"DAY","Wed")+GETPIVOTDATA("Sum of INDUSTRY GUEST",'Pivot Table'!$A$64,"DAY","Wed")+GETPIVOTDATA("Sum of INDUSTRY GUEST",'Pivot Table'!$A$76,"DAY","Wed")+GETPIVOTDATA("Sum of INDUSTRY GUEST",'Pivot Table'!$A$88,"DAY","Wed")+GETPIVOTDATA("Sum of INDUSTRY GUEST",'Pivot Table'!$A$100,"DAY","Wed")+GETPIVOTDATA("Sum of INDUSTRY GUEST",'Pivot Table'!$A$112,"DAY","Wed")+GETPIVOTDATA("Sum of INDUSTRY GUEST",'Pivot Table'!$A$124,"DAY","Wed")+GETPIVOTDATA("Sum of INDUSTRY GUEST",'Pivot Table'!$A$136,"DAY","Wed")</f>
        <v>45</v>
      </c>
      <c r="K15" s="39" t="s">
        <v>77</v>
      </c>
      <c r="L15" s="39">
        <f>GETPIVOTDATA("Sum of INDUSTRY GUEST",'Pivot Table'!$A$4,"DAY","Thu")+GETPIVOTDATA("Sum of INDUSTRY GUEST",'Pivot Table'!$A$16,"DAY","Thu")+GETPIVOTDATA("Sum of INDUSTRY GUEST",'Pivot Table'!$A$28,"DAY","Thu")+GETPIVOTDATA("Sum of INDUSTRY GUEST",'Pivot Table'!$A$40,"DAY","Thu")+GETPIVOTDATA("Sum of INDUSTRY GUEST",'Pivot Table'!$A$52,"DAY","Thu")+GETPIVOTDATA("Sum of INDUSTRY GUEST",'Pivot Table'!$A$64,"DAY","Thu")+GETPIVOTDATA("Sum of INDUSTRY GUEST",'Pivot Table'!$A$76,"DAY","Thu")+GETPIVOTDATA("Sum of INDUSTRY GUEST",'Pivot Table'!$A$88,"DAY","Thu")+GETPIVOTDATA("Sum of INDUSTRY GUEST",'Pivot Table'!$A$100,"DAY","Thu")+GETPIVOTDATA("Sum of INDUSTRY GUEST",'Pivot Table'!$A$112,"DAY","Thu")+GETPIVOTDATA("Sum of INDUSTRY GUEST",'Pivot Table'!$A$124,"DAY","Thu")+GETPIVOTDATA("Sum of INDUSTRY GUEST",'Pivot Table'!$A$136,"DAY","Thu")</f>
        <v>7</v>
      </c>
      <c r="N15" s="39" t="s">
        <v>77</v>
      </c>
      <c r="O15" s="39">
        <f>GETPIVOTDATA("Sum of INDUSTRY GUEST",'Pivot Table'!$A$4,"DAY","Fri")+GETPIVOTDATA("Sum of INDUSTRY GUEST",'Pivot Table'!$A$16,"DAY","Fri")+GETPIVOTDATA("Sum of INDUSTRY GUEST",'Pivot Table'!$A$28,"DAY","Fri")+GETPIVOTDATA("Sum of INDUSTRY GUEST",'Pivot Table'!$A$40,"DAY","Fri")+GETPIVOTDATA("Sum of INDUSTRY GUEST",'Pivot Table'!$A$52,"DAY","Fri")+GETPIVOTDATA("Sum of INDUSTRY GUEST",'Pivot Table'!$A$64,"DAY","Fri")+GETPIVOTDATA("Sum of INDUSTRY GUEST",'Pivot Table'!$A$76,"DAY","Fri")+GETPIVOTDATA("Sum of INDUSTRY GUEST",'Pivot Table'!$A$88,"DAY","Fri")+GETPIVOTDATA("Sum of INDUSTRY GUEST",'Pivot Table'!$A$100,"DAY","Fri")+GETPIVOTDATA("Sum of INDUSTRY GUEST",'Pivot Table'!$A$112,"DAY","Fri")+GETPIVOTDATA("Sum of INDUSTRY GUEST",'Pivot Table'!$A$124,"DAY","Fri")+GETPIVOTDATA("Sum of INDUSTRY GUEST",'Pivot Table'!$A$136,"DAY","Fri")</f>
        <v>19</v>
      </c>
      <c r="Q15" s="39" t="s">
        <v>77</v>
      </c>
      <c r="R15" s="39">
        <f>GETPIVOTDATA("Sum of INDUSTRY GUEST",'Pivot Table'!$A$4,"DAY","Sat")+GETPIVOTDATA("Sum of INDUSTRY GUEST",'Pivot Table'!$A$16,"DAY","Sat")+GETPIVOTDATA("Sum of INDUSTRY GUEST",'Pivot Table'!$A$28,"DAY","Sat")+GETPIVOTDATA("Sum of INDUSTRY GUEST",'Pivot Table'!$A$40,"DAY","Sat")+GETPIVOTDATA("Sum of INDUSTRY GUEST",'Pivot Table'!$A$52,"DAY","Sat")+GETPIVOTDATA("Sum of INDUSTRY GUEST",'Pivot Table'!$A$64,"DAY","Sat")+GETPIVOTDATA("Sum of INDUSTRY GUEST",'Pivot Table'!$A$76,"DAY","Sat")+GETPIVOTDATA("Sum of INDUSTRY GUEST",'Pivot Table'!$A$88,"DAY","Sat")+GETPIVOTDATA("Sum of INDUSTRY GUEST",'Pivot Table'!$A$100,"DAY","Sat")+GETPIVOTDATA("Sum of INDUSTRY GUEST",'Pivot Table'!$A$112,"DAY","Sat")+GETPIVOTDATA("Sum of INDUSTRY GUEST",'Pivot Table'!$A$124,"DAY","Sat")+GETPIVOTDATA("Sum of INDUSTRY GUEST",'Pivot Table'!$A$136,"DAY","Sat")</f>
        <v>0</v>
      </c>
      <c r="T15" s="39" t="s">
        <v>77</v>
      </c>
      <c r="U15" s="39">
        <f>GETPIVOTDATA("Sum of INDUSTRY GUEST",'Pivot Table'!$A$4,"DAY","Sun")+GETPIVOTDATA("Sum of INDUSTRY GUEST",'Pivot Table'!$A$16,"DAY","Sun")+GETPIVOTDATA("Sum of INDUSTRY GUEST",'Pivot Table'!$A$28,"DAY","Sun")+GETPIVOTDATA("Sum of INDUSTRY GUEST",'Pivot Table'!$A$40,"DAY","Sun")+GETPIVOTDATA("Sum of INDUSTRY GUEST",'Pivot Table'!$A$52,"DAY","Sun")+GETPIVOTDATA("Sum of INDUSTRY GUEST",'Pivot Table'!$A$64,"DAY","Sun")+GETPIVOTDATA("Sum of INDUSTRY GUEST",'Pivot Table'!$A$76,"DAY","Sun")+GETPIVOTDATA("Sum of INDUSTRY GUEST",'Pivot Table'!$A$88,"DAY","Sun")+GETPIVOTDATA("Sum of INDUSTRY GUEST",'Pivot Table'!$A$100,"DAY","Sun")+GETPIVOTDATA("Sum of INDUSTRY GUEST",'Pivot Table'!$A$112,"DAY","Sun")+GETPIVOTDATA("Sum of INDUSTRY GUEST",'Pivot Table'!$A$124,"DAY","Sun")+GETPIVOTDATA("Sum of INDUSTRY GUEST",'Pivot Table'!$A$136,"DAY","Sun")</f>
        <v>5</v>
      </c>
    </row>
    <row r="16" spans="2:21" x14ac:dyDescent="0.25">
      <c r="B16" s="39" t="s">
        <v>5</v>
      </c>
      <c r="C16" s="39">
        <f>GETPIVOTDATA("Sum of MEMB GUEST MICLUB",'Pivot Table'!$A$4,"DAY","Mon")+GETPIVOTDATA("Sum of MEMB GUEST MICLUB",'Pivot Table'!$A$16,"DAY","Mon")+GETPIVOTDATA("Sum of MEMB GUEST MICLUB",'Pivot Table'!$A$28,"DAY","Mon")+GETPIVOTDATA("Sum of MEMB GUEST MICLUB",'Pivot Table'!$A$40,"DAY","Mon")+GETPIVOTDATA("Sum of MEMB GUEST MICLUB",'Pivot Table'!$A$52,"DAY","Mon")+GETPIVOTDATA("Sum of MEMB GUEST MICLUB",'Pivot Table'!$A$64,"DAY","Mon")+GETPIVOTDATA("Sum of MEMB GUEST MICLUB",'Pivot Table'!$A$76,"DAY","Mon")+GETPIVOTDATA("Sum of MEMB GUEST MICLUB",'Pivot Table'!$A$88,"DAY","Mon")+GETPIVOTDATA("Sum of MEMB GUEST MICLUB",'Pivot Table'!$A$100,"DAY","Mon")+GETPIVOTDATA("Sum of MEMB GUEST MICLUB",'Pivot Table'!$A$112,"DAY","Mon")+GETPIVOTDATA("Sum of MEMB GUEST MICLUB",'Pivot Table'!$A$124,"DAY","Mon")+GETPIVOTDATA("Sum of MEMB GUEST MICLUB",'Pivot Table'!$A$136,"DAY","Mon")</f>
        <v>473</v>
      </c>
      <c r="E16" s="39" t="s">
        <v>5</v>
      </c>
      <c r="F16" s="39">
        <f>GETPIVOTDATA("Sum of MEMB GUEST MICLUB",'Pivot Table'!$A$4,"DAY","Tue")+GETPIVOTDATA("Sum of MEMB GUEST MICLUB",'Pivot Table'!$A$16,"DAY","Tue")+GETPIVOTDATA("Sum of MEMB GUEST MICLUB",'Pivot Table'!$A$28,"DAY","Tue")+GETPIVOTDATA("Sum of MEMB GUEST MICLUB",'Pivot Table'!$A$40,"DAY","Tue")+GETPIVOTDATA("Sum of MEMB GUEST MICLUB",'Pivot Table'!$A$52,"DAY","Tue")+GETPIVOTDATA("Sum of MEMB GUEST MICLUB",'Pivot Table'!$A$64,"DAY","Tue")+GETPIVOTDATA("Sum of MEMB GUEST MICLUB",'Pivot Table'!$A$76,"DAY","Tue")+GETPIVOTDATA("Sum of MEMB GUEST MICLUB",'Pivot Table'!$A$88,"DAY","Tue")+GETPIVOTDATA("Sum of MEMB GUEST MICLUB",'Pivot Table'!$A$100,"DAY","Tue")+GETPIVOTDATA("Sum of MEMB GUEST MICLUB",'Pivot Table'!$A$112,"DAY","Tue")+GETPIVOTDATA("Sum of MEMB GUEST MICLUB",'Pivot Table'!$A$124,"DAY","Tue")+GETPIVOTDATA("Sum of MEMB GUEST MICLUB",'Pivot Table'!$A$136,"DAY","Tue")</f>
        <v>149</v>
      </c>
      <c r="H16" s="39" t="s">
        <v>5</v>
      </c>
      <c r="I16" s="39">
        <f>GETPIVOTDATA("Sum of MEMB GUEST MICLUB",'Pivot Table'!$A$4,"DAY","Wed")+GETPIVOTDATA("Sum of MEMB GUEST MICLUB",'Pivot Table'!$A$16,"DAY","Wed")+GETPIVOTDATA("Sum of MEMB GUEST MICLUB",'Pivot Table'!$A$28,"DAY","Wed")+GETPIVOTDATA("Sum of MEMB GUEST MICLUB",'Pivot Table'!$A$40,"DAY","Wed")+GETPIVOTDATA("Sum of MEMB GUEST MICLUB",'Pivot Table'!$A$52,"DAY","Wed")+GETPIVOTDATA("Sum of MEMB GUEST MICLUB",'Pivot Table'!$A$64,"DAY","Wed")+GETPIVOTDATA("Sum of MEMB GUEST MICLUB",'Pivot Table'!$A$76,"DAY","Wed")+GETPIVOTDATA("Sum of MEMB GUEST MICLUB",'Pivot Table'!$A$88,"DAY","Wed")+GETPIVOTDATA("Sum of MEMB GUEST MICLUB",'Pivot Table'!$A$100,"DAY","Wed")+GETPIVOTDATA("Sum of MEMB GUEST MICLUB",'Pivot Table'!$A$112,"DAY","Wed")+GETPIVOTDATA("Sum of MEMB GUEST MICLUB",'Pivot Table'!$A$124,"DAY","Wed")+GETPIVOTDATA("Sum of MEMB GUEST MICLUB",'Pivot Table'!$A$136,"DAY","Wed")</f>
        <v>641</v>
      </c>
      <c r="K16" s="39" t="s">
        <v>5</v>
      </c>
      <c r="L16" s="39">
        <f>GETPIVOTDATA("Sum of MEMB GUEST MICLUB",'Pivot Table'!$A$4,"DAY","Thu")+GETPIVOTDATA("Sum of MEMB GUEST MICLUB",'Pivot Table'!$A$16,"DAY","Thu")+GETPIVOTDATA("Sum of MEMB GUEST MICLUB",'Pivot Table'!$A$28,"DAY","Thu")+GETPIVOTDATA("Sum of MEMB GUEST MICLUB",'Pivot Table'!$A$40,"DAY","Thu")+GETPIVOTDATA("Sum of MEMB GUEST MICLUB",'Pivot Table'!$A$52,"DAY","Thu")+GETPIVOTDATA("Sum of MEMB GUEST MICLUB",'Pivot Table'!$A$64,"DAY","Thu")+GETPIVOTDATA("Sum of MEMB GUEST MICLUB",'Pivot Table'!$A$76,"DAY","Thu")+GETPIVOTDATA("Sum of MEMB GUEST MICLUB",'Pivot Table'!$A$88,"DAY","Thu")+GETPIVOTDATA("Sum of MEMB GUEST MICLUB",'Pivot Table'!$A$100,"DAY","Thu")+GETPIVOTDATA("Sum of MEMB GUEST MICLUB",'Pivot Table'!$A$112,"DAY","Thu")+GETPIVOTDATA("Sum of MEMB GUEST MICLUB",'Pivot Table'!$A$124,"DAY","Thu")+GETPIVOTDATA("Sum of MEMB GUEST MICLUB",'Pivot Table'!$A$136,"DAY","Thu")</f>
        <v>38</v>
      </c>
      <c r="N16" s="39" t="s">
        <v>5</v>
      </c>
      <c r="O16" s="39">
        <f>GETPIVOTDATA("Sum of MEMB GUEST MICLUB",'Pivot Table'!$A$4,"DAY","Fri")+GETPIVOTDATA("Sum of MEMB GUEST MICLUB",'Pivot Table'!$A$16,"DAY","Fri")+GETPIVOTDATA("Sum of MEMB GUEST MICLUB",'Pivot Table'!$A$28,"DAY","Fri")+GETPIVOTDATA("Sum of MEMB GUEST MICLUB",'Pivot Table'!$A$40,"DAY","Fri")+GETPIVOTDATA("Sum of MEMB GUEST MICLUB",'Pivot Table'!$A$52,"DAY","Fri")+GETPIVOTDATA("Sum of MEMB GUEST MICLUB",'Pivot Table'!$A$64,"DAY","Fri")+GETPIVOTDATA("Sum of MEMB GUEST MICLUB",'Pivot Table'!$A$76,"DAY","Fri")+GETPIVOTDATA("Sum of MEMB GUEST MICLUB",'Pivot Table'!$A$88,"DAY","Fri")+GETPIVOTDATA("Sum of MEMB GUEST MICLUB",'Pivot Table'!$A$100,"DAY","Fri")+GETPIVOTDATA("Sum of MEMB GUEST MICLUB",'Pivot Table'!$A$112,"DAY","Fri")+GETPIVOTDATA("Sum of MEMB GUEST MICLUB",'Pivot Table'!$A$124,"DAY","Fri")+GETPIVOTDATA("Sum of MEMB GUEST MICLUB",'Pivot Table'!$A$136,"DAY","Fri")</f>
        <v>1397</v>
      </c>
      <c r="Q16" s="39" t="s">
        <v>5</v>
      </c>
      <c r="R16" s="39">
        <f>GETPIVOTDATA("Sum of MEMB GUEST MICLUB",'Pivot Table'!$A$4,"DAY","Sat")+GETPIVOTDATA("Sum of MEMB GUEST MICLUB",'Pivot Table'!$A$16,"DAY","Sat")+GETPIVOTDATA("Sum of MEMB GUEST MICLUB",'Pivot Table'!$A$28,"DAY","Sat")+GETPIVOTDATA("Sum of MEMB GUEST MICLUB",'Pivot Table'!$A$40,"DAY","Sat")+GETPIVOTDATA("Sum of MEMB GUEST MICLUB",'Pivot Table'!$A$52,"DAY","Sat")+GETPIVOTDATA("Sum of MEMB GUEST MICLUB",'Pivot Table'!$A$64,"DAY","Sat")+GETPIVOTDATA("Sum of MEMB GUEST MICLUB",'Pivot Table'!$A$76,"DAY","Sat")+GETPIVOTDATA("Sum of MEMB GUEST MICLUB",'Pivot Table'!$A$88,"DAY","Sat")+GETPIVOTDATA("Sum of MEMB GUEST MICLUB",'Pivot Table'!$A$100,"DAY","Sat")+GETPIVOTDATA("Sum of MEMB GUEST MICLUB",'Pivot Table'!$A$112,"DAY","Sat")+GETPIVOTDATA("Sum of MEMB GUEST MICLUB",'Pivot Table'!$A$124,"DAY","Sat")+GETPIVOTDATA("Sum of MEMB GUEST MICLUB",'Pivot Table'!$A$136,"DAY","Sat")</f>
        <v>163</v>
      </c>
      <c r="T16" s="39" t="s">
        <v>5</v>
      </c>
      <c r="U16" s="39">
        <f>GETPIVOTDATA("Sum of MEMB GUEST MICLUB",'Pivot Table'!$A$4,"DAY","Sun")+GETPIVOTDATA("Sum of MEMB GUEST MICLUB",'Pivot Table'!$A$16,"DAY","Sun")+GETPIVOTDATA("Sum of MEMB GUEST MICLUB",'Pivot Table'!$A$28,"DAY","Sun")+GETPIVOTDATA("Sum of MEMB GUEST MICLUB",'Pivot Table'!$A$40,"DAY","Sun")+GETPIVOTDATA("Sum of MEMB GUEST MICLUB",'Pivot Table'!$A$52,"DAY","Sun")+GETPIVOTDATA("Sum of MEMB GUEST MICLUB",'Pivot Table'!$A$64,"DAY","Sun")+GETPIVOTDATA("Sum of MEMB GUEST MICLUB",'Pivot Table'!$A$76,"DAY","Sun")+GETPIVOTDATA("Sum of MEMB GUEST MICLUB",'Pivot Table'!$A$88,"DAY","Sun")+GETPIVOTDATA("Sum of MEMB GUEST MICLUB",'Pivot Table'!$A$100,"DAY","Sun")+GETPIVOTDATA("Sum of MEMB GUEST MICLUB",'Pivot Table'!$A$112,"DAY","Sun")+GETPIVOTDATA("Sum of MEMB GUEST MICLUB",'Pivot Table'!$A$124,"DAY","Sun")+GETPIVOTDATA("Sum of MEMB GUEST MICLUB",'Pivot Table'!$A$136,"DAY","Sun")</f>
        <v>841</v>
      </c>
    </row>
    <row r="17" spans="2:21" ht="32.25" customHeight="1" x14ac:dyDescent="0.25">
      <c r="B17" s="35" t="s">
        <v>78</v>
      </c>
      <c r="C17" s="39">
        <f>GETPIVOTDATA("Sum of MEMB GUEST UNACCOMPANIED",'Pivot Table'!$A$4,"DAY","Mon")+GETPIVOTDATA("Sum of MEMB GUEST UNACCOMPANIED",'Pivot Table'!$A$16,"DAY","Mon")+GETPIVOTDATA("Sum of MEMB GUEST UNACCOMPANIED",'Pivot Table'!$A$28,"DAY","Mon")+GETPIVOTDATA("Sum of MEMB GUEST UNACCOMPANIED",'Pivot Table'!$A$40,"DAY","Mon")+GETPIVOTDATA("Sum of MEMB GUEST UNACCOMPANIED",'Pivot Table'!$A$52,"DAY","Mon")+GETPIVOTDATA("Sum of MEMB GUEST UNACCOMPANIED",'Pivot Table'!$A$64,"DAY","Mon")+GETPIVOTDATA("Sum of MEMB GUEST UNACCOMPANIED",'Pivot Table'!$A$76,"DAY","Mon")+GETPIVOTDATA("Sum of MEMB GUEST UNACCOMPANIED",'Pivot Table'!$A$88,"DAY","Mon")+GETPIVOTDATA("Sum of MEMB GUEST UNACCOMPANIED",'Pivot Table'!$A$100,"DAY","Mon")+GETPIVOTDATA("Sum of MEMB GUEST UNACCOMPANIED",'Pivot Table'!$A$112,"DAY","Mon")+GETPIVOTDATA("Sum of MEMB GUEST UNACCOMPANIED",'Pivot Table'!$A$124,"DAY","Mon")+GETPIVOTDATA("Sum of MEMB GUEST UNACCOMPANIED",'Pivot Table'!$A$136,"DAY","Mon")</f>
        <v>14</v>
      </c>
      <c r="E17" s="35" t="s">
        <v>78</v>
      </c>
      <c r="F17" s="39">
        <f>GETPIVOTDATA("Sum of MEMB GUEST UNACCOMPANIED",'Pivot Table'!$A$4,"DAY","Tue")+GETPIVOTDATA("Sum of MEMB GUEST UNACCOMPANIED",'Pivot Table'!$A$16,"DAY","Tue")+GETPIVOTDATA("Sum of MEMB GUEST UNACCOMPANIED",'Pivot Table'!$A$28,"DAY","Tue")+GETPIVOTDATA("Sum of MEMB GUEST UNACCOMPANIED",'Pivot Table'!$A$40,"DAY","Tue")+GETPIVOTDATA("Sum of MEMB GUEST UNACCOMPANIED",'Pivot Table'!$A$52,"DAY","Tue")+GETPIVOTDATA("Sum of MEMB GUEST UNACCOMPANIED",'Pivot Table'!$A$64,"DAY","Tue")+GETPIVOTDATA("Sum of MEMB GUEST UNACCOMPANIED",'Pivot Table'!$A$76,"DAY","Tue")+GETPIVOTDATA("Sum of MEMB GUEST UNACCOMPANIED",'Pivot Table'!$A$88,"DAY","Tue")+GETPIVOTDATA("Sum of MEMB GUEST UNACCOMPANIED",'Pivot Table'!$A$100,"DAY","Tue")+GETPIVOTDATA("Sum of MEMB GUEST UNACCOMPANIED",'Pivot Table'!$A$112,"DAY","Tue")+GETPIVOTDATA("Sum of MEMB GUEST UNACCOMPANIED",'Pivot Table'!$A$124,"DAY","Tue")+GETPIVOTDATA("Sum of MEMB GUEST UNACCOMPANIED",'Pivot Table'!$A$136,"DAY","Tue")</f>
        <v>0</v>
      </c>
      <c r="H17" s="35" t="s">
        <v>78</v>
      </c>
      <c r="I17" s="39">
        <f>GETPIVOTDATA("Sum of MEMB GUEST UNACCOMPANIED",'Pivot Table'!$A$4,"DAY","Wed")+GETPIVOTDATA("Sum of MEMB GUEST UNACCOMPANIED",'Pivot Table'!$A$16,"DAY","Wed")+GETPIVOTDATA("Sum of MEMB GUEST UNACCOMPANIED",'Pivot Table'!$A$28,"DAY","Wed")+GETPIVOTDATA("Sum of MEMB GUEST UNACCOMPANIED",'Pivot Table'!$A$40,"DAY","Wed")+GETPIVOTDATA("Sum of MEMB GUEST UNACCOMPANIED",'Pivot Table'!$A$52,"DAY","Wed")+GETPIVOTDATA("Sum of MEMB GUEST UNACCOMPANIED",'Pivot Table'!$A$64,"DAY","Wed")+GETPIVOTDATA("Sum of MEMB GUEST UNACCOMPANIED",'Pivot Table'!$A$76,"DAY","Wed")+GETPIVOTDATA("Sum of MEMB GUEST UNACCOMPANIED",'Pivot Table'!$A$88,"DAY","Wed")+GETPIVOTDATA("Sum of MEMB GUEST UNACCOMPANIED",'Pivot Table'!$A$100,"DAY","Wed")+GETPIVOTDATA("Sum of MEMB GUEST UNACCOMPANIED",'Pivot Table'!$A$112,"DAY","Wed")+GETPIVOTDATA("Sum of MEMB GUEST UNACCOMPANIED",'Pivot Table'!$A$124,"DAY","Wed")+GETPIVOTDATA("Sum of MEMB GUEST UNACCOMPANIED",'Pivot Table'!$A$136,"DAY","Wed")</f>
        <v>18</v>
      </c>
      <c r="K17" s="35" t="s">
        <v>78</v>
      </c>
      <c r="L17" s="39">
        <f>GETPIVOTDATA("Sum of MEMB GUEST UNACCOMPANIED",'Pivot Table'!$A$4,"DAY","Thu")+GETPIVOTDATA("Sum of MEMB GUEST UNACCOMPANIED",'Pivot Table'!$A$16,"DAY","Thu")+GETPIVOTDATA("Sum of MEMB GUEST UNACCOMPANIED",'Pivot Table'!$A$28,"DAY","Thu")+GETPIVOTDATA("Sum of MEMB GUEST UNACCOMPANIED",'Pivot Table'!$A$40,"DAY","Thu")+GETPIVOTDATA("Sum of MEMB GUEST UNACCOMPANIED",'Pivot Table'!$A$52,"DAY","Thu")+GETPIVOTDATA("Sum of MEMB GUEST UNACCOMPANIED",'Pivot Table'!$A$64,"DAY","Thu")+GETPIVOTDATA("Sum of MEMB GUEST UNACCOMPANIED",'Pivot Table'!$A$76,"DAY","Thu")+GETPIVOTDATA("Sum of MEMB GUEST UNACCOMPANIED",'Pivot Table'!$A$88,"DAY","Thu")+GETPIVOTDATA("Sum of MEMB GUEST UNACCOMPANIED",'Pivot Table'!$A$100,"DAY","Thu")+GETPIVOTDATA("Sum of MEMB GUEST UNACCOMPANIED",'Pivot Table'!$A$112,"DAY","Thu")+GETPIVOTDATA("Sum of MEMB GUEST UNACCOMPANIED",'Pivot Table'!$A$124,"DAY","Thu")+GETPIVOTDATA("Sum of MEMB GUEST UNACCOMPANIED",'Pivot Table'!$A$136,"DAY","Thu")</f>
        <v>0</v>
      </c>
      <c r="N17" s="35" t="s">
        <v>78</v>
      </c>
      <c r="O17" s="39">
        <f>GETPIVOTDATA("Sum of MEMB GUEST UNACCOMPANIED",'Pivot Table'!$A$4,"DAY","Fri")+GETPIVOTDATA("Sum of MEMB GUEST UNACCOMPANIED",'Pivot Table'!$A$16,"DAY","Fri")+GETPIVOTDATA("Sum of MEMB GUEST UNACCOMPANIED",'Pivot Table'!$A$28,"DAY","Fri")+GETPIVOTDATA("Sum of MEMB GUEST UNACCOMPANIED",'Pivot Table'!$A$40,"DAY","Fri")+GETPIVOTDATA("Sum of MEMB GUEST UNACCOMPANIED",'Pivot Table'!$A$52,"DAY","Fri")+GETPIVOTDATA("Sum of MEMB GUEST UNACCOMPANIED",'Pivot Table'!$A$64,"DAY","Fri")+GETPIVOTDATA("Sum of MEMB GUEST UNACCOMPANIED",'Pivot Table'!$A$76,"DAY","Fri")+GETPIVOTDATA("Sum of MEMB GUEST UNACCOMPANIED",'Pivot Table'!$A$88,"DAY","Fri")+GETPIVOTDATA("Sum of MEMB GUEST UNACCOMPANIED",'Pivot Table'!$A$100,"DAY","Fri")+GETPIVOTDATA("Sum of MEMB GUEST UNACCOMPANIED",'Pivot Table'!$A$112,"DAY","Fri")+GETPIVOTDATA("Sum of MEMB GUEST UNACCOMPANIED",'Pivot Table'!$A$124,"DAY","Fri")+GETPIVOTDATA("Sum of MEMB GUEST UNACCOMPANIED",'Pivot Table'!$A$136,"DAY","Fri")</f>
        <v>12</v>
      </c>
      <c r="Q17" s="35" t="s">
        <v>78</v>
      </c>
      <c r="R17" s="39">
        <f>GETPIVOTDATA("Sum of MEMB GUEST UNACCOMPANIED",'Pivot Table'!$A$4,"DAY","Sat")+GETPIVOTDATA("Sum of MEMB GUEST UNACCOMPANIED",'Pivot Table'!$A$16,"DAY","Sat")+GETPIVOTDATA("Sum of MEMB GUEST UNACCOMPANIED",'Pivot Table'!$A$28,"DAY","Sat")+GETPIVOTDATA("Sum of MEMB GUEST UNACCOMPANIED",'Pivot Table'!$A$40,"DAY","Sat")+GETPIVOTDATA("Sum of MEMB GUEST UNACCOMPANIED",'Pivot Table'!$A$52,"DAY","Sat")+GETPIVOTDATA("Sum of MEMB GUEST UNACCOMPANIED",'Pivot Table'!$A$64,"DAY","Sat")+GETPIVOTDATA("Sum of MEMB GUEST UNACCOMPANIED",'Pivot Table'!$A$76,"DAY","Sat")+GETPIVOTDATA("Sum of MEMB GUEST UNACCOMPANIED",'Pivot Table'!$A$88,"DAY","Sat")+GETPIVOTDATA("Sum of MEMB GUEST UNACCOMPANIED",'Pivot Table'!$A$100,"DAY","Sat")+GETPIVOTDATA("Sum of MEMB GUEST UNACCOMPANIED",'Pivot Table'!$A$112,"DAY","Sat")+GETPIVOTDATA("Sum of MEMB GUEST UNACCOMPANIED",'Pivot Table'!$A$124,"DAY","Sat")+GETPIVOTDATA("Sum of MEMB GUEST UNACCOMPANIED",'Pivot Table'!$A$136,"DAY","Sat")</f>
        <v>0</v>
      </c>
      <c r="T17" s="35" t="s">
        <v>78</v>
      </c>
      <c r="U17" s="39">
        <f>GETPIVOTDATA("Sum of MEMB GUEST UNACCOMPANIED",'Pivot Table'!$A$4,"DAY","Sun")+GETPIVOTDATA("Sum of MEMB GUEST UNACCOMPANIED",'Pivot Table'!$A$16,"DAY","Sun")+GETPIVOTDATA("Sum of MEMB GUEST UNACCOMPANIED",'Pivot Table'!$A$28,"DAY","Sun")+GETPIVOTDATA("Sum of MEMB GUEST UNACCOMPANIED",'Pivot Table'!$A$40,"DAY","Sun")+GETPIVOTDATA("Sum of MEMB GUEST UNACCOMPANIED",'Pivot Table'!$A$52,"DAY","Sun")+GETPIVOTDATA("Sum of MEMB GUEST UNACCOMPANIED",'Pivot Table'!$A$64,"DAY","Sun")+GETPIVOTDATA("Sum of MEMB GUEST UNACCOMPANIED",'Pivot Table'!$A$76,"DAY","Sun")+GETPIVOTDATA("Sum of MEMB GUEST UNACCOMPANIED",'Pivot Table'!$A$88,"DAY","Sun")+GETPIVOTDATA("Sum of MEMB GUEST UNACCOMPANIED",'Pivot Table'!$A$100,"DAY","Sun")+GETPIVOTDATA("Sum of MEMB GUEST UNACCOMPANIED",'Pivot Table'!$A$112,"DAY","Sun")+GETPIVOTDATA("Sum of MEMB GUEST UNACCOMPANIED",'Pivot Table'!$A$124,"DAY","Sun")+GETPIVOTDATA("Sum of MEMB GUEST UNACCOMPANIED",'Pivot Table'!$A$136,"DAY","Sun")</f>
        <v>0</v>
      </c>
    </row>
    <row r="18" spans="2:21" x14ac:dyDescent="0.25">
      <c r="B18" s="39" t="s">
        <v>6</v>
      </c>
      <c r="C18" s="39">
        <f>GETPIVOTDATA("Sum of CORPORATE",'Pivot Table'!$A$4,"DAY","Mon")+GETPIVOTDATA("Sum of CORPORATE",'Pivot Table'!$A$16,"DAY","Mon")+GETPIVOTDATA("Sum of CORPORATE",'Pivot Table'!$A$28,"DAY","Mon")+GETPIVOTDATA("Sum of CORPORATE",'Pivot Table'!$A$40,"DAY","Mon")+GETPIVOTDATA("Sum of CORPORATE",'Pivot Table'!$A$52,"DAY","Mon")+GETPIVOTDATA("Sum of CORPORATE",'Pivot Table'!$A$64,"DAY","Mon")+GETPIVOTDATA("Sum of CORPORATE",'Pivot Table'!$A$76,"DAY","Mon")+GETPIVOTDATA("Sum of CORPORATE",'Pivot Table'!$A$88,"DAY","Mon")+GETPIVOTDATA("Sum of CORPORATE",'Pivot Table'!$A$100,"DAY","Mon")+GETPIVOTDATA("Sum of CORPORATE",'Pivot Table'!$A$112,"DAY","Mon")+GETPIVOTDATA("Sum of CORPORATE",'Pivot Table'!$A$124,"DAY","Mon")+GETPIVOTDATA("Sum of CORPORATE",'Pivot Table'!$A$136,"DAY","Mon")</f>
        <v>36</v>
      </c>
      <c r="E18" s="39" t="s">
        <v>6</v>
      </c>
      <c r="F18" s="39">
        <f>GETPIVOTDATA("Sum of CORPORATE",'Pivot Table'!$A$4,"DAY","Tue")+GETPIVOTDATA("Sum of CORPORATE",'Pivot Table'!$A$16,"DAY","Tue")+GETPIVOTDATA("Sum of CORPORATE",'Pivot Table'!$A$28,"DAY","Tue")+GETPIVOTDATA("Sum of CORPORATE",'Pivot Table'!$A$40,"DAY","Tue")+GETPIVOTDATA("Sum of CORPORATE",'Pivot Table'!$A$52,"DAY","Tue")+GETPIVOTDATA("Sum of CORPORATE",'Pivot Table'!$A$64,"DAY","Tue")+GETPIVOTDATA("Sum of CORPORATE",'Pivot Table'!$A$76,"DAY","Tue")+GETPIVOTDATA("Sum of CORPORATE",'Pivot Table'!$A$88,"DAY","Tue")+GETPIVOTDATA("Sum of CORPORATE",'Pivot Table'!$A$100,"DAY","Tue")+GETPIVOTDATA("Sum of CORPORATE",'Pivot Table'!$A$112,"DAY","Tue")+GETPIVOTDATA("Sum of CORPORATE",'Pivot Table'!$A$124,"DAY","Tue")+GETPIVOTDATA("Sum of CORPORATE",'Pivot Table'!$A$136,"DAY","Tue")</f>
        <v>0</v>
      </c>
      <c r="H18" s="39" t="s">
        <v>6</v>
      </c>
      <c r="I18" s="39">
        <f>GETPIVOTDATA("Sum of CORPORATE",'Pivot Table'!$A$4,"DAY","Wed")+GETPIVOTDATA("Sum of CORPORATE",'Pivot Table'!$A$16,"DAY","Wed")+GETPIVOTDATA("Sum of CORPORATE",'Pivot Table'!$A$28,"DAY","Wed")+GETPIVOTDATA("Sum of CORPORATE",'Pivot Table'!$A$40,"DAY","Wed")+GETPIVOTDATA("Sum of CORPORATE",'Pivot Table'!$A$52,"DAY","Wed")+GETPIVOTDATA("Sum of CORPORATE",'Pivot Table'!$A$64,"DAY","Wed")+GETPIVOTDATA("Sum of CORPORATE",'Pivot Table'!$A$76,"DAY","Wed")+GETPIVOTDATA("Sum of CORPORATE",'Pivot Table'!$A$88,"DAY","Wed")+GETPIVOTDATA("Sum of CORPORATE",'Pivot Table'!$A$100,"DAY","Wed")+GETPIVOTDATA("Sum of CORPORATE",'Pivot Table'!$A$112,"DAY","Wed")+GETPIVOTDATA("Sum of CORPORATE",'Pivot Table'!$A$124,"DAY","Wed")+GETPIVOTDATA("Sum of CORPORATE",'Pivot Table'!$A$136,"DAY","Wed")</f>
        <v>2103</v>
      </c>
      <c r="K18" s="39" t="s">
        <v>6</v>
      </c>
      <c r="L18" s="39">
        <f>GETPIVOTDATA("Sum of CORPORATE",'Pivot Table'!$A$4,"DAY","Thu")+GETPIVOTDATA("Sum of CORPORATE",'Pivot Table'!$A$16,"DAY","Thu")++GETPIVOTDATA("Sum of CORPORATE",'Pivot Table'!$A$28,"DAY","Thu")+GETPIVOTDATA("Sum of CORPORATE",'Pivot Table'!$A$40,"DAY","Thu")+GETPIVOTDATA("Sum of CORPORATE",'Pivot Table'!$A$52,"DAY","Thu")+GETPIVOTDATA("Sum of CORPORATE",'Pivot Table'!$A$64,"DAY","Thu")+GETPIVOTDATA("Sum of CORPORATE",'Pivot Table'!$A$76,"DAY","Thu")+GETPIVOTDATA("Sum of CORPORATE",'Pivot Table'!$A$88,"DAY","Thu")+GETPIVOTDATA("Sum of CORPORATE",'Pivot Table'!$A$100,"DAY","Thu")+GETPIVOTDATA("Sum of CORPORATE",'Pivot Table'!$A$112,"DAY","Thu")+GETPIVOTDATA("Sum of CORPORATE",'Pivot Table'!$A$124,"DAY","Thu")+GETPIVOTDATA("Sum of CORPORATE",'Pivot Table'!$A$136,"DAY","Thu")</f>
        <v>0</v>
      </c>
      <c r="N18" s="39" t="s">
        <v>6</v>
      </c>
      <c r="O18" s="39">
        <f>GETPIVOTDATA("Sum of CORPORATE",'Pivot Table'!$A$4,"DAY","Fri")+GETPIVOTDATA("Sum of CORPORATE",'Pivot Table'!$A$16,"DAY","Fri")+GETPIVOTDATA("Sum of CORPORATE",'Pivot Table'!$A$28,"DAY","Fri")+GETPIVOTDATA("Sum of CORPORATE",'Pivot Table'!$A$40,"DAY","Fri")+GETPIVOTDATA("Sum of CORPORATE",'Pivot Table'!$A$52,"DAY","Fri")+GETPIVOTDATA("Sum of CORPORATE",'Pivot Table'!$A$64,"DAY","Fri")+GETPIVOTDATA("Sum of CORPORATE",'Pivot Table'!$A$76,"DAY","Sat")+GETPIVOTDATA("Sum of CORPORATE",'Pivot Table'!$A$88,"DAY","Fri")+GETPIVOTDATA("Sum of CORPORATE",'Pivot Table'!$A$100,"DAY","Fri")+GETPIVOTDATA("Sum of CORPORATE",'Pivot Table'!$A$112,"DAY","Fri")+GETPIVOTDATA("Sum of CORPORATE",'Pivot Table'!$A$124,"DAY","Fri")+GETPIVOTDATA("Sum of CORPORATE",'Pivot Table'!$A$136,"DAY","Fri")</f>
        <v>513</v>
      </c>
      <c r="Q18" s="39" t="s">
        <v>6</v>
      </c>
      <c r="R18" s="39">
        <f>GETPIVOTDATA("Sum of CORPORATE",'Pivot Table'!$A$4,"DAY","Sat")+GETPIVOTDATA("Sum of CORPORATE",'Pivot Table'!$A$16,"DAY","Sat")+GETPIVOTDATA("Sum of CORPORATE",'Pivot Table'!$A$28,"DAY","Sat")+GETPIVOTDATA("Sum of CORPORATE",'Pivot Table'!$A$40,"DAY","Sat")+GETPIVOTDATA("Sum of CORPORATE",'Pivot Table'!$A$52,"DAY","Sat")+GETPIVOTDATA("Sum of CORPORATE",'Pivot Table'!$A$64,"DAY","Sat")+GETPIVOTDATA("Sum of CORPORATE",'Pivot Table'!$A$76,"DAY","Sat")+GETPIVOTDATA("Sum of CORPORATE",'Pivot Table'!$A$88,"DAY","Sat")+GETPIVOTDATA("Sum of CORPORATE",'Pivot Table'!$A$100,"DAY","Sat")+GETPIVOTDATA("Sum of CORPORATE",'Pivot Table'!$A$112,"DAY","Sat")+GETPIVOTDATA("Sum of CORPORATE",'Pivot Table'!$A$124,"DAY","Sat")+GETPIVOTDATA("Sum of CORPORATE",'Pivot Table'!$A$136,"DAY","Sat")</f>
        <v>0</v>
      </c>
      <c r="T18" s="39" t="s">
        <v>6</v>
      </c>
      <c r="U18" s="39">
        <f>GETPIVOTDATA("Sum of CORPORATE",'Pivot Table'!$A$4,"DAY","Sun")+GETPIVOTDATA("Sum of CORPORATE",'Pivot Table'!$A$16,"DAY","Sun")+GETPIVOTDATA("Sum of CORPORATE",'Pivot Table'!$A$28,"DAY","Sun")+GETPIVOTDATA("Sum of CORPORATE",'Pivot Table'!$A$40,"DAY","Sun")+GETPIVOTDATA("Sum of CORPORATE",'Pivot Table'!$A$52,"DAY","Sun")+GETPIVOTDATA("Sum of CORPORATE",'Pivot Table'!$A$64,"DAY","Sun")+GETPIVOTDATA("Sum of CORPORATE",'Pivot Table'!$A$76,"DAY","Sun")+GETPIVOTDATA("Sum of CORPORATE",'Pivot Table'!$A$88,"DAY","Sun")+GETPIVOTDATA("Sum of CORPORATE",'Pivot Table'!$A$100,"DAY","Sun")+GETPIVOTDATA("Sum of CORPORATE",'Pivot Table'!$A$112,"DAY","Sun")+GETPIVOTDATA("Sum of CORPORATE",'Pivot Table'!$A$124,"DAY","Sun")+GETPIVOTDATA("Sum of CORPORATE",'Pivot Table'!$A$136,"DAY","Sun")</f>
        <v>0</v>
      </c>
    </row>
    <row r="19" spans="2:21" x14ac:dyDescent="0.25">
      <c r="B19" s="39" t="s">
        <v>84</v>
      </c>
      <c r="C19" s="39">
        <f>GETPIVOTDATA("Sum of NON-PLAYING",'Pivot Table'!$A$4,"DAY","Mon")+GETPIVOTDATA("Sum of NON-PLAYING",'Pivot Table'!$A$16,"DAY","Mon")+GETPIVOTDATA("Sum of NON-PLAYING",'Pivot Table'!$A$28,"DAY","Mon")+GETPIVOTDATA("Sum of NON-PLAYING",'Pivot Table'!$A$40,"DAY","Mon")+GETPIVOTDATA("Sum of NON-PLAYING",'Pivot Table'!$A$52,"DAY","Mon")+GETPIVOTDATA("Sum of NON-PLAYING",'Pivot Table'!$A$64,"DAY","Mon")+GETPIVOTDATA("Sum of NON-PLAYING",'Pivot Table'!$A$76,"DAY","Mon")+GETPIVOTDATA("Sum of NON-PLAYING",'Pivot Table'!$A$88,"DAY","Mon")+GETPIVOTDATA("Sum of NON-PLAYING",'Pivot Table'!$A$100,"DAY","Mon")+GETPIVOTDATA("Sum of NON-PLAYING",'Pivot Table'!$A$112,"DAY","Mon")+GETPIVOTDATA("Sum of NON-PLAYING",'Pivot Table'!$A$124,"DAY","Mon")+GETPIVOTDATA("Sum of NON-PLAYING",'Pivot Table'!$A$136,"DAY","Mon")</f>
        <v>30</v>
      </c>
      <c r="E19" s="39" t="s">
        <v>84</v>
      </c>
      <c r="F19" s="39">
        <f>GETPIVOTDATA("Sum of NON-PLAYING",'Pivot Table'!$A$4,"DAY","Tue")+GETPIVOTDATA("Sum of NON-PLAYING",'Pivot Table'!$A$16,"DAY","Tue")+GETPIVOTDATA("Sum of NON-PLAYING",'Pivot Table'!$A$28,"DAY","Tue")+GETPIVOTDATA("Sum of NON-PLAYING",'Pivot Table'!$A$40,"DAY","Tue")+GETPIVOTDATA("Sum of NON-PLAYING",'Pivot Table'!$A$52,"DAY","Tue")+GETPIVOTDATA("Sum of NON-PLAYING",'Pivot Table'!$A$64,"DAY","Tue")+GETPIVOTDATA("Sum of NON-PLAYING",'Pivot Table'!$A$76,"DAY","Tue")+GETPIVOTDATA("Sum of NON-PLAYING",'Pivot Table'!$A$88,"DAY","Tue")+GETPIVOTDATA("Sum of NON-PLAYING",'Pivot Table'!$A$100,"DAY","Tue")+GETPIVOTDATA("Sum of NON-PLAYING",'Pivot Table'!$A$112,"DAY","Tue")+GETPIVOTDATA("Sum of NON-PLAYING",'Pivot Table'!$A$124,"DAY","Tue")+GETPIVOTDATA("Sum of NON-PLAYING",'Pivot Table'!$A$136,"DAY","Tue")</f>
        <v>33</v>
      </c>
      <c r="H19" s="39" t="s">
        <v>84</v>
      </c>
      <c r="I19" s="39">
        <f>GETPIVOTDATA("Sum of NON-PLAYING",'Pivot Table'!$A$4,"DAY","Wed")+GETPIVOTDATA("Sum of NON-PLAYING",'Pivot Table'!$A$16,"DAY","Wed")+GETPIVOTDATA("Sum of NON-PLAYING",'Pivot Table'!$A$28,"DAY","Wed")+GETPIVOTDATA("Sum of NON-PLAYING",'Pivot Table'!$A$40,"DAY","Wed")+GETPIVOTDATA("Sum of NON-PLAYING",'Pivot Table'!$A$52,"DAY","Wed")+GETPIVOTDATA("Sum of NON-PLAYING",'Pivot Table'!$A$64,"DAY","Wed")+GETPIVOTDATA("Sum of NON-PLAYING",'Pivot Table'!$A$76,"DAY","Wed")+GETPIVOTDATA("Sum of NON-PLAYING",'Pivot Table'!$A$88,"DAY","Wed")+GETPIVOTDATA("Sum of NON-PLAYING",'Pivot Table'!$A$100,"DAY","Wed")+GETPIVOTDATA("Sum of NON-PLAYING",'Pivot Table'!$A$112,"DAY","Wed")+GETPIVOTDATA("Sum of NON-PLAYING",'Pivot Table'!$A$124,"DAY","Wed")+GETPIVOTDATA("Sum of NON-PLAYING",'Pivot Table'!$A$136,"DAY","Wed")</f>
        <v>20</v>
      </c>
      <c r="K19" s="39" t="s">
        <v>84</v>
      </c>
      <c r="L19" s="39">
        <f>GETPIVOTDATA("Sum of NON-PLAYING",'Pivot Table'!$A$4,"DAY","Thu")+GETPIVOTDATA("Sum of NON-PLAYING",'Pivot Table'!$A$16,"DAY","Thu")+GETPIVOTDATA("Sum of NON-PLAYING",'Pivot Table'!$A$28,"DAY","Thu")+GETPIVOTDATA("Sum of NON-PLAYING",'Pivot Table'!$A$40,"DAY","Thu")+GETPIVOTDATA("Sum of NON-PLAYING",'Pivot Table'!$A$52,"DAY","Thu")+GETPIVOTDATA("Sum of NON-PLAYING",'Pivot Table'!$A$64,"DAY","Thu")+GETPIVOTDATA("Sum of NON-PLAYING",'Pivot Table'!$A$76,"DAY","Thu")+GETPIVOTDATA("Sum of NON-PLAYING",'Pivot Table'!$A$88,"DAY","Thu")+GETPIVOTDATA("Sum of NON-PLAYING",'Pivot Table'!$A$100,"DAY","Thu")+GETPIVOTDATA("Sum of NON-PLAYING",'Pivot Table'!$A$112,"DAY","Thu")+GETPIVOTDATA("Sum of NON-PLAYING",'Pivot Table'!$A$124,"DAY","Thu")+GETPIVOTDATA("Sum of NON-PLAYING",'Pivot Table'!$A$136,"DAY","Thu")</f>
        <v>29</v>
      </c>
      <c r="N19" s="39" t="s">
        <v>84</v>
      </c>
      <c r="O19" s="39">
        <f>GETPIVOTDATA("Sum of NON-PLAYING",'Pivot Table'!$A$4,"DAY","Fri")+GETPIVOTDATA("Sum of NON-PLAYING",'Pivot Table'!$A$16,"DAY","Fri")+GETPIVOTDATA("Sum of NON-PLAYING",'Pivot Table'!$A$28,"DAY","Fri")+GETPIVOTDATA("Sum of NON-PLAYING",'Pivot Table'!$A$40,"DAY","Fri")+GETPIVOTDATA("Sum of NON-PLAYING",'Pivot Table'!$A$52,"DAY","Fri")+GETPIVOTDATA("Sum of NON-PLAYING",'Pivot Table'!$A$64,"DAY","Fri")+GETPIVOTDATA("Sum of NON-PLAYING",'Pivot Table'!$A$76,"DAY","Fri")+GETPIVOTDATA("Sum of NON-PLAYING",'Pivot Table'!$A$88,"DAY","Fri")+GETPIVOTDATA("Sum of NON-PLAYING",'Pivot Table'!$A$100,"DAY","Fri")+GETPIVOTDATA("Sum of NON-PLAYING",'Pivot Table'!$A$112,"DAY","Fri")+GETPIVOTDATA("Sum of NON-PLAYING",'Pivot Table'!$A$124,"DAY","Fri")+GETPIVOTDATA("Sum of NON-PLAYING",'Pivot Table'!$A$136,"DAY","Fri")</f>
        <v>55</v>
      </c>
      <c r="Q19" s="39" t="s">
        <v>84</v>
      </c>
      <c r="R19" s="39">
        <f>GETPIVOTDATA("Sum of NON-PLAYING",'Pivot Table'!$A$4,"DAY","Sat")+GETPIVOTDATA("Sum of NON-PLAYING",'Pivot Table'!$A$16,"DAY","Sat")+GETPIVOTDATA("Sum of NON-PLAYING",'Pivot Table'!$A$28,"DAY","Sat")+GETPIVOTDATA("Sum of NON-PLAYING",'Pivot Table'!$A$40,"DAY","Sat")+GETPIVOTDATA("Sum of NON-PLAYING",'Pivot Table'!$A$52,"DAY","Sat")+GETPIVOTDATA("Sum of NON-PLAYING",'Pivot Table'!$A$64,"DAY","Sat")+GETPIVOTDATA("Sum of NON-PLAYING",'Pivot Table'!$A$76,"DAY","Sat")+GETPIVOTDATA("Sum of NON-PLAYING",'Pivot Table'!$A$88,"DAY","Sat")+GETPIVOTDATA("Sum of NON-PLAYING",'Pivot Table'!$A$100,"DAY","Sat")+GETPIVOTDATA("Sum of NON-PLAYING",'Pivot Table'!$A$112,"DAY","Sat")+GETPIVOTDATA("Sum of NON-PLAYING",'Pivot Table'!$A$124,"DAY","Sat")+GETPIVOTDATA("Sum of NON-PLAYING",'Pivot Table'!$A$136,"DAY","Sat")</f>
        <v>14</v>
      </c>
      <c r="T19" s="39" t="s">
        <v>84</v>
      </c>
      <c r="U19" s="39">
        <f>GETPIVOTDATA("Sum of NON-PLAYING",'Pivot Table'!$A$4,"DAY","Sun")+GETPIVOTDATA("Sum of NON-PLAYING",'Pivot Table'!$A$16,"DAY","Sun")+GETPIVOTDATA("Sum of NON-PLAYING",'Pivot Table'!$A$28,"DAY","Sun")+GETPIVOTDATA("Sum of NON-PLAYING",'Pivot Table'!$A$40,"DAY","Sun")+GETPIVOTDATA("Sum of NON-PLAYING",'Pivot Table'!$A$52,"DAY","Sun")+GETPIVOTDATA("Sum of NON-PLAYING",'Pivot Table'!$A$64,"DAY","Sun")+GETPIVOTDATA("Sum of NON-PLAYING",'Pivot Table'!$A$76,"DAY","Sun")+GETPIVOTDATA("Sum of NON-PLAYING",'Pivot Table'!$A$88,"DAY","Sun")+GETPIVOTDATA("Sum of NON-PLAYING",'Pivot Table'!$A$100,"DAY","Sun")+GETPIVOTDATA("Sum of NON-PLAYING",'Pivot Table'!$A$112,"DAY","Sun")+GETPIVOTDATA("Sum of NON-PLAYING",'Pivot Table'!$A$124,"DAY","Sun")+GETPIVOTDATA("Sum of NON-PLAYING",'Pivot Table'!$A$136,"DAY","Sun")</f>
        <v>48</v>
      </c>
    </row>
    <row r="20" spans="2:21" x14ac:dyDescent="0.25">
      <c r="B20" s="39" t="s">
        <v>79</v>
      </c>
      <c r="C20" s="39">
        <f>GETPIVOTDATA("Sum of VOUCHER",'Pivot Table'!$A$4,"DAY","Mon")+GETPIVOTDATA("Sum of VOUCHER",'Pivot Table'!$A$16,"DAY","Mon")+GETPIVOTDATA("Sum of VOUCHER",'Pivot Table'!$A$28,"DAY","Mon")+GETPIVOTDATA("Sum of VOUCHER",'Pivot Table'!$A$40,"DAY","Mon")+GETPIVOTDATA("Sum of VOUCHER",'Pivot Table'!$A$52,"DAY","Mon")+GETPIVOTDATA("Sum of VOUCHER",'Pivot Table'!$A$64,"DAY","Mon")+GETPIVOTDATA("Sum of VOUCHER",'Pivot Table'!$A$76,"DAY","Mon")+GETPIVOTDATA("Sum of VOUCHER",'Pivot Table'!$A$88,"DAY","Mon")+GETPIVOTDATA("Sum of VOUCHER",'Pivot Table'!$A$100,"DAY","Mon")+GETPIVOTDATA("Sum of VOUCHER",'Pivot Table'!$A$112,"DAY","Mon")+GETPIVOTDATA("Sum of VOUCHER",'Pivot Table'!$A$124,"DAY","Mon")+GETPIVOTDATA("Sum of VOUCHER",'Pivot Table'!$A$136,"DAY","Mon")</f>
        <v>106</v>
      </c>
      <c r="E20" s="39" t="s">
        <v>79</v>
      </c>
      <c r="F20" s="39">
        <f>GETPIVOTDATA("Sum of VOUCHER",'Pivot Table'!$A$4,"DAY","Tue")+GETPIVOTDATA("Sum of VOUCHER",'Pivot Table'!$A$16,"DAY","Tue")+GETPIVOTDATA("Sum of VOUCHER",'Pivot Table'!$A$28,"DAY","Tue")+GETPIVOTDATA("Sum of VOUCHER",'Pivot Table'!$A$40,"DAY","Tue")+GETPIVOTDATA("Sum of VOUCHER",'Pivot Table'!$A$52,"DAY","Tue")+GETPIVOTDATA("Sum of VOUCHER",'Pivot Table'!$A$64,"DAY","Tue")+GETPIVOTDATA("Sum of VOUCHER",'Pivot Table'!$A$76,"DAY","Tue")+GETPIVOTDATA("Sum of VOUCHER",'Pivot Table'!$A$88,"DAY","Tue")+GETPIVOTDATA("Sum of VOUCHER",'Pivot Table'!$A$100,"DAY","Tue")+GETPIVOTDATA("Sum of VOUCHER",'Pivot Table'!$A$112,"DAY","Tue")+GETPIVOTDATA("Sum of VOUCHER",'Pivot Table'!$A$124,"DAY","Tue")+GETPIVOTDATA("Sum of VOUCHER",'Pivot Table'!$A$136,"DAY","Tue")</f>
        <v>8</v>
      </c>
      <c r="H20" s="39" t="s">
        <v>79</v>
      </c>
      <c r="I20" s="39">
        <f>GETPIVOTDATA("Sum of VOUCHER",'Pivot Table'!$A$4,"DAY","Wed")+GETPIVOTDATA("Sum of VOUCHER",'Pivot Table'!$A$16,"DAY","Wed")+GETPIVOTDATA("Sum of VOUCHER",'Pivot Table'!$A$28,"DAY","Wed")+GETPIVOTDATA("Sum of VOUCHER",'Pivot Table'!$A$40,"DAY","Wed")+GETPIVOTDATA("Sum of VOUCHER",'Pivot Table'!$A$52,"DAY","Wed")+GETPIVOTDATA("Sum of VOUCHER",'Pivot Table'!$A$64,"DAY","Wed")+GETPIVOTDATA("Sum of VOUCHER",'Pivot Table'!$A$76,"DAY","Wed")+GETPIVOTDATA("Sum of VOUCHER",'Pivot Table'!$A$88,"DAY","Wed")+GETPIVOTDATA("Sum of VOUCHER",'Pivot Table'!$A$100,"DAY","Wed")+GETPIVOTDATA("Sum of VOUCHER",'Pivot Table'!$A$112,"DAY","Wed")+GETPIVOTDATA("Sum of VOUCHER",'Pivot Table'!$A$124,"DAY","Wed")+GETPIVOTDATA("Sum of VOUCHER",'Pivot Table'!$A$136,"DAY","Wed")</f>
        <v>214</v>
      </c>
      <c r="K20" s="39" t="s">
        <v>79</v>
      </c>
      <c r="L20" s="39">
        <f>GETPIVOTDATA("Sum of VOUCHER",'Pivot Table'!$A$4,"DAY","Thu")+GETPIVOTDATA("Sum of VOUCHER",'Pivot Table'!$A$16,"DAY","Thu")+GETPIVOTDATA("Sum of VOUCHER",'Pivot Table'!$A$28,"DAY","Thu")+GETPIVOTDATA("Sum of VOUCHER",'Pivot Table'!$A$40,"DAY","Thu")+GETPIVOTDATA("Sum of VOUCHER",'Pivot Table'!$A$52,"DAY","Thu")+GETPIVOTDATA("Sum of VOUCHER",'Pivot Table'!$A$64,"DAY","Thu")+GETPIVOTDATA("Sum of VOUCHER",'Pivot Table'!$A$76,"DAY","Thu")+GETPIVOTDATA("Sum of VOUCHER",'Pivot Table'!$A$88,"DAY","Thu")+GETPIVOTDATA("Sum of VOUCHER",'Pivot Table'!$A$100,"DAY","Thu")+GETPIVOTDATA("Sum of VOUCHER",'Pivot Table'!$A$112,"DAY","Thu")+GETPIVOTDATA("Sum of VOUCHER",'Pivot Table'!$A$124,"DAY","Thu")+GETPIVOTDATA("Sum of VOUCHER",'Pivot Table'!$A$136,"DAY","Thu")</f>
        <v>4</v>
      </c>
      <c r="N20" s="39" t="s">
        <v>79</v>
      </c>
      <c r="O20" s="39">
        <f>GETPIVOTDATA("Sum of VOUCHER",'Pivot Table'!$A$4,"DAY","Fri")+GETPIVOTDATA("Sum of VOUCHER",'Pivot Table'!$A$16,"DAY","Fri")+GETPIVOTDATA("Sum of VOUCHER",'Pivot Table'!$A$28,"DAY","Fri")+GETPIVOTDATA("Sum of VOUCHER",'Pivot Table'!$A$40,"DAY","Fri")+GETPIVOTDATA("Sum of VOUCHER",'Pivot Table'!$A$52,"DAY","Fri")+GETPIVOTDATA("Sum of VOUCHER",'Pivot Table'!$A$64,"DAY","Fri")+GETPIVOTDATA("Sum of VOUCHER",'Pivot Table'!$A$76,"DAY","Fri")+GETPIVOTDATA("Sum of VOUCHER",'Pivot Table'!$A$88,"DAY","Fri")+GETPIVOTDATA("Sum of VOUCHER",'Pivot Table'!$A$100,"DAY","Fri")+GETPIVOTDATA("Sum of VOUCHER",'Pivot Table'!$A$112,"DAY","Fri")+GETPIVOTDATA("Sum of VOUCHER",'Pivot Table'!$A$124,"DAY","Fri")+GETPIVOTDATA("Sum of VOUCHER",'Pivot Table'!$A$136,"DAY","Fri")</f>
        <v>139</v>
      </c>
      <c r="Q20" s="39" t="s">
        <v>79</v>
      </c>
      <c r="R20" s="39">
        <f>GETPIVOTDATA("Sum of VOUCHER",'Pivot Table'!$A$4,"DAY","Sat")+GETPIVOTDATA("Sum of VOUCHER",'Pivot Table'!$A$16,"DAY","Sat")+GETPIVOTDATA("Sum of VOUCHER",'Pivot Table'!$A$28,"DAY","Sat")+GETPIVOTDATA("Sum of VOUCHER",'Pivot Table'!$A$40,"DAY","Sat")+GETPIVOTDATA("Sum of VOUCHER",'Pivot Table'!$A$52,"DAY","Sat")+GETPIVOTDATA("Sum of VOUCHER",'Pivot Table'!$A$64,"DAY","Sat")+GETPIVOTDATA("Sum of VOUCHER",'Pivot Table'!$A$76,"DAY","Sat")+GETPIVOTDATA("Sum of VOUCHER",'Pivot Table'!$A$88,"DAY","Sat")+GETPIVOTDATA("Sum of VOUCHER",'Pivot Table'!$A$100,"DAY","Sat")+GETPIVOTDATA("Sum of VOUCHER",'Pivot Table'!$A$112,"DAY","Sat")+GETPIVOTDATA("Sum of VOUCHER",'Pivot Table'!$A$124,"DAY","Sat")+GETPIVOTDATA("Sum of VOUCHER",'Pivot Table'!$A$136,"DAY","Sat")</f>
        <v>0</v>
      </c>
      <c r="T20" s="39" t="s">
        <v>79</v>
      </c>
      <c r="U20" s="39">
        <f>GETPIVOTDATA("Sum of VOUCHER",'Pivot Table'!$A$4,"DAY","Sun")+GETPIVOTDATA("Sum of VOUCHER",'Pivot Table'!$A$16,"DAY","Sun")+GETPIVOTDATA("Sum of VOUCHER",'Pivot Table'!$A$28,"DAY","Sun")+GETPIVOTDATA("Sum of VOUCHER",'Pivot Table'!$A$40,"DAY","Sun")+GETPIVOTDATA("Sum of VOUCHER",'Pivot Table'!$A$52,"DAY","Sun")+GETPIVOTDATA("Sum of VOUCHER",'Pivot Table'!$A$64,"DAY","Sun")+GETPIVOTDATA("Sum of VOUCHER",'Pivot Table'!$A$76,"DAY","Sun")+GETPIVOTDATA("Sum of VOUCHER",'Pivot Table'!$A$88,"DAY","Sun")+GETPIVOTDATA("Sum of VOUCHER",'Pivot Table'!$A$100,"DAY","Sun")+GETPIVOTDATA("Sum of VOUCHER",'Pivot Table'!$A$112,"DAY","Sun")+GETPIVOTDATA("Sum of VOUCHER",'Pivot Table'!$A$124,"DAY","Sun")+GETPIVOTDATA("Sum of VOUCHER",'Pivot Table'!$A$136,"DAY","Sun")</f>
        <v>157</v>
      </c>
    </row>
    <row r="21" spans="2:21" x14ac:dyDescent="0.25">
      <c r="B21" s="39" t="s">
        <v>7</v>
      </c>
      <c r="C21" s="39">
        <f>GETPIVOTDATA("Sum of RECIP",'Pivot Table'!$A$4,"DAY","Mon")+GETPIVOTDATA("Sum of RECIP",'Pivot Table'!$A$16,"DAY","Mon")+GETPIVOTDATA("Sum of RECIP",'Pivot Table'!$A$28,"DAY","Mon")+GETPIVOTDATA("Sum of RECIP",'Pivot Table'!$A$40,"DAY","Mon")+GETPIVOTDATA("Sum of RECIP",'Pivot Table'!$A$52,"DAY","Mon")+GETPIVOTDATA("Sum of RECIP",'Pivot Table'!$A$64,"DAY","Mon")+GETPIVOTDATA("Sum of RECIP",'Pivot Table'!$A$76,"DAY","Mon")+GETPIVOTDATA("Sum of RECIP",'Pivot Table'!$A$88,"DAY","Mon")+GETPIVOTDATA("Sum of RECIP",'Pivot Table'!$A$100,"DAY","Mon")+GETPIVOTDATA("Sum of RECIP",'Pivot Table'!$A$112,"DAY","Mon")+GETPIVOTDATA("Sum of RECIP",'Pivot Table'!$A$124,"DAY","Mon")+GETPIVOTDATA("Sum of RECIP",'Pivot Table'!$A$136,"DAY","Mon")</f>
        <v>178</v>
      </c>
      <c r="E21" s="39" t="s">
        <v>7</v>
      </c>
      <c r="F21" s="39">
        <f>GETPIVOTDATA("Sum of RECIP",'Pivot Table'!$A$4,"DAY","Tue")+GETPIVOTDATA("Sum of RECIP",'Pivot Table'!$A$16,"DAY","Tue")+GETPIVOTDATA("Sum of RECIP",'Pivot Table'!$A$28,"DAY","Tue")+GETPIVOTDATA("Sum of RECIP",'Pivot Table'!$A$40,"DAY","Tue")+GETPIVOTDATA("Sum of RECIP",'Pivot Table'!$A$52,"DAY","Tue")+GETPIVOTDATA("Sum of RECIP",'Pivot Table'!$A$64,"DAY","Tue")+GETPIVOTDATA("Sum of RECIP",'Pivot Table'!$A$76,"DAY","Tue")+GETPIVOTDATA("Sum of RECIP",'Pivot Table'!$A$88,"DAY","Tue")+GETPIVOTDATA("Sum of RECIP",'Pivot Table'!$A$100,"DAY","Tue")+GETPIVOTDATA("Sum of RECIP",'Pivot Table'!$A$112,"DAY","Tue")+GETPIVOTDATA("Sum of RECIP",'Pivot Table'!$A$124,"DAY","Tue")+GETPIVOTDATA("Sum of RECIP",'Pivot Table'!$A$136,"DAY","Tue")</f>
        <v>16</v>
      </c>
      <c r="H21" s="39" t="s">
        <v>7</v>
      </c>
      <c r="I21" s="39">
        <f>GETPIVOTDATA("Sum of RECIP",'Pivot Table'!$A$4,"DAY","Wed")+GETPIVOTDATA("Sum of RECIP",'Pivot Table'!$A$16,"DAY","Wed")+GETPIVOTDATA("Sum of RECIP",'Pivot Table'!$A$28,"DAY","Wed")+GETPIVOTDATA("Sum of RECIP",'Pivot Table'!$A$40,"DAY","Wed")+GETPIVOTDATA("Sum of RECIP",'Pivot Table'!$A$52,"DAY","Wed")+GETPIVOTDATA("Sum of RECIP",'Pivot Table'!$A$64,"DAY","Wed")+GETPIVOTDATA("Sum of RECIP",'Pivot Table'!$A$76,"DAY","Wed")+GETPIVOTDATA("Sum of RECIP",'Pivot Table'!$A$88,"DAY","Wed")+GETPIVOTDATA("Sum of RECIP",'Pivot Table'!$A$100,"DAY","Wed")+GETPIVOTDATA("Sum of RECIP",'Pivot Table'!$A$112,"DAY","Wed")+GETPIVOTDATA("Sum of RECIP",'Pivot Table'!$A$124,"DAY","Wed")+GETPIVOTDATA("Sum of RECIP",'Pivot Table'!$A$136,"DAY","Wed")</f>
        <v>189</v>
      </c>
      <c r="K21" s="39" t="s">
        <v>7</v>
      </c>
      <c r="L21" s="39">
        <f>GETPIVOTDATA("Sum of RECIP",'Pivot Table'!$A$4,"DAY","Thu")+GETPIVOTDATA("Sum of RECIP",'Pivot Table'!$A$16,"DAY","Thu")+GETPIVOTDATA("Sum of RECIP",'Pivot Table'!$A$28,"DAY","Thu")+GETPIVOTDATA("Sum of RECIP",'Pivot Table'!$A$40,"DAY","Thu")+GETPIVOTDATA("Sum of RECIP",'Pivot Table'!$A$52,"DAY","Thu")+GETPIVOTDATA("Sum of RECIP",'Pivot Table'!$A$64,"DAY","Thu")+GETPIVOTDATA("Sum of RECIP",'Pivot Table'!$A$76,"DAY","Thu")+GETPIVOTDATA("Sum of RECIP",'Pivot Table'!$A$88,"DAY","Thu")+GETPIVOTDATA("Sum of RECIP",'Pivot Table'!$A$100,"DAY","Thu")+GETPIVOTDATA("Sum of RECIP",'Pivot Table'!$A$112,"DAY","Thu")+GETPIVOTDATA("Sum of RECIP",'Pivot Table'!$A$124,"DAY","Thu")+GETPIVOTDATA("Sum of RECIP",'Pivot Table'!$A$136,"DAY","Thu")</f>
        <v>44</v>
      </c>
      <c r="N21" s="39" t="s">
        <v>7</v>
      </c>
      <c r="O21" s="39">
        <f>GETPIVOTDATA("Sum of RECIP",'Pivot Table'!$A$4,"DAY","Fri")+GETPIVOTDATA("Sum of RECIP",'Pivot Table'!$A$16,"DAY","Fri")+GETPIVOTDATA("Sum of RECIP",'Pivot Table'!$A$28,"DAY","Fri")+GETPIVOTDATA("Sum of RECIP",'Pivot Table'!$A$40,"DAY","Fri")+GETPIVOTDATA("Sum of RECIP",'Pivot Table'!$A$52,"DAY","Fri")+GETPIVOTDATA("Sum of RECIP",'Pivot Table'!$A$64,"DAY","Fri")+GETPIVOTDATA("Sum of RECIP",'Pivot Table'!$A$76,"DAY","Fri")+GETPIVOTDATA("Sum of RECIP",'Pivot Table'!$A$88,"DAY","Fri")+GETPIVOTDATA("Sum of RECIP",'Pivot Table'!$A$100,"DAY","Fri")+GETPIVOTDATA("Sum of RECIP",'Pivot Table'!$A$112,"DAY","Fri")+GETPIVOTDATA("Sum of RECIP",'Pivot Table'!$A$124,"DAY","Fri")+GETPIVOTDATA("Sum of RECIP",'Pivot Table'!$A$136,"DAY","Fri")</f>
        <v>164</v>
      </c>
      <c r="Q21" s="39" t="s">
        <v>7</v>
      </c>
      <c r="R21" s="39">
        <f>GETPIVOTDATA("Sum of RECIP",'Pivot Table'!$A$4,"DAY","Sat")+GETPIVOTDATA("Sum of RECIP",'Pivot Table'!$A$16,"DAY","Sat")+GETPIVOTDATA("Sum of RECIP",'Pivot Table'!$A$28,"DAY","Sat")+GETPIVOTDATA("Sum of RECIP",'Pivot Table'!$A$40,"DAY","Sat")+GETPIVOTDATA("Sum of RECIP",'Pivot Table'!$A$52,"DAY","Sat")+GETPIVOTDATA("Sum of RECIP",'Pivot Table'!$A$64,"DAY","Sat")+GETPIVOTDATA("Sum of RECIP",'Pivot Table'!$A$76,"DAY","Sat")+GETPIVOTDATA("Sum of RECIP",'Pivot Table'!$A$88,"DAY","Sat")+GETPIVOTDATA("Sum of RECIP",'Pivot Table'!$A$100,"DAY","Sat")+GETPIVOTDATA("Sum of RECIP",'Pivot Table'!$A$112,"DAY","Sat")+GETPIVOTDATA("Sum of RECIP",'Pivot Table'!$A$124,"DAY","Sat")+GETPIVOTDATA("Sum of RECIP",'Pivot Table'!$A$136,"DAY","Sat")</f>
        <v>54</v>
      </c>
      <c r="T21" s="39" t="s">
        <v>7</v>
      </c>
      <c r="U21" s="39">
        <f>GETPIVOTDATA("Sum of RECIP",'Pivot Table'!$A$4,"DAY","Sun")+GETPIVOTDATA("Sum of RECIP",'Pivot Table'!$A$16,"DAY","Sun")+GETPIVOTDATA("Sum of RECIP",'Pivot Table'!$A$28,"DAY","Sun")+GETPIVOTDATA("Sum of RECIP",'Pivot Table'!$A$40,"DAY","Sun")+GETPIVOTDATA("Sum of RECIP",'Pivot Table'!$A$52,"DAY","Sun")+GETPIVOTDATA("Sum of RECIP",'Pivot Table'!$A$64,"DAY","Sun")+GETPIVOTDATA("Sum of RECIP",'Pivot Table'!$A$76,"DAY","Sun")+GETPIVOTDATA("Sum of RECIP",'Pivot Table'!$A$88,"DAY","Sun")+GETPIVOTDATA("Sum of RECIP",'Pivot Table'!$A$100,"DAY","Sun")+GETPIVOTDATA("Sum of RECIP",'Pivot Table'!$A$112,"DAY","Sun")+GETPIVOTDATA("Sum of RECIP",'Pivot Table'!$A$124,"DAY","Sun")+GETPIVOTDATA("Sum of RECIP",'Pivot Table'!$A$136,"DAY","Sun")</f>
        <v>132</v>
      </c>
    </row>
    <row r="22" spans="2:21" x14ac:dyDescent="0.25">
      <c r="B22" s="39" t="s">
        <v>80</v>
      </c>
      <c r="C22" s="39">
        <f>GETPIVOTDATA("Sum of COMP",'Pivot Table'!$A$4,"DAY","Mon")+GETPIVOTDATA("Sum of COMP",'Pivot Table'!$A$16,"DAY","Mon")+GETPIVOTDATA("Sum of COMP",'Pivot Table'!$A$28,"DAY","Mon")+GETPIVOTDATA("Sum of COMP",'Pivot Table'!$A$40,"DAY","Mon")+GETPIVOTDATA("Sum of COMP",'Pivot Table'!$A$52,"DAY","Mon")+GETPIVOTDATA("Sum of COMP",'Pivot Table'!$A$64,"DAY","Mon")+GETPIVOTDATA("Sum of COMP",'Pivot Table'!$A$76,"DAY","Mon")+GETPIVOTDATA("Sum of COMP",'Pivot Table'!$A$88,"DAY","Mon")+GETPIVOTDATA("Sum of COMP",'Pivot Table'!$A$100,"DAY","Mon")+GETPIVOTDATA("Sum of COMP",'Pivot Table'!$A$112,"DAY","Mon")+GETPIVOTDATA("Sum of COMP",'Pivot Table'!$A$124,"DAY","Mon")+GETPIVOTDATA("Sum of COMP",'Pivot Table'!$A$136,"DAY","Mon")</f>
        <v>2701</v>
      </c>
      <c r="E22" s="39" t="s">
        <v>80</v>
      </c>
      <c r="F22" s="39">
        <f>GETPIVOTDATA("Sum of COMP",'Pivot Table'!$A$4,"DAY","Tue")+GETPIVOTDATA("Sum of COMP",'Pivot Table'!$A$16,"DAY","Tue")+GETPIVOTDATA("Sum of COMP",'Pivot Table'!$A$28,"DAY","Tue")+GETPIVOTDATA("Sum of COMP",'Pivot Table'!$A$40,"DAY","Tue")+GETPIVOTDATA("Sum of COMP",'Pivot Table'!$A$52,"DAY","Tue")+GETPIVOTDATA("Sum of COMP",'Pivot Table'!$A$64,"DAY","Tue")+GETPIVOTDATA("Sum of COMP",'Pivot Table'!$A$76,"DAY","Tue")+GETPIVOTDATA("Sum of COMP",'Pivot Table'!$A$88,"DAY","Tue")+GETPIVOTDATA("Sum of COMP",'Pivot Table'!$A$100,"DAY","Tue")+GETPIVOTDATA("Sum of COMP",'Pivot Table'!$A$112,"DAY","Tue")+GETPIVOTDATA("Sum of COMP",'Pivot Table'!$A$124,"DAY","Tue")+GETPIVOTDATA("Sum of COMP",'Pivot Table'!$A$136,"DAY","Tue")</f>
        <v>140</v>
      </c>
      <c r="H22" s="39" t="s">
        <v>80</v>
      </c>
      <c r="I22" s="39">
        <f>GETPIVOTDATA("Sum of COMP",'Pivot Table'!$A$4,"DAY","Wed")+GETPIVOTDATA("Sum of COMP",'Pivot Table'!$A$16,"DAY","Wed")+GETPIVOTDATA("Sum of COMP",'Pivot Table'!$A$28,"DAY","Wed")+GETPIVOTDATA("Sum of COMP",'Pivot Table'!$A$40,"DAY","Wed")+GETPIVOTDATA("Sum of COMP",'Pivot Table'!$A$52,"DAY","Wed")+GETPIVOTDATA("Sum of COMP",'Pivot Table'!$A$64,"DAY","Wed")+GETPIVOTDATA("Sum of COMP",'Pivot Table'!$A$76,"DAY","Wed")+GETPIVOTDATA("Sum of COMP",'Pivot Table'!$A$88,"DAY","Wed")+GETPIVOTDATA("Sum of COMP",'Pivot Table'!$A$100,"DAY","Wed")+GETPIVOTDATA("Sum of COMP",'Pivot Table'!$A$112,"DAY","Wed")+GETPIVOTDATA("Sum of COMP",'Pivot Table'!$A$124,"DAY","Wed")+GETPIVOTDATA("Sum of COMP",'Pivot Table'!$A$136,"DAY","Wed")</f>
        <v>1038</v>
      </c>
      <c r="K22" s="39" t="s">
        <v>80</v>
      </c>
      <c r="L22" s="39">
        <f>GETPIVOTDATA("Sum of COMP",'Pivot Table'!$A$4,"DAY","Thu")+GETPIVOTDATA("Sum of COMP",'Pivot Table'!$A$16,"DAY","Thu")+GETPIVOTDATA("Sum of COMP",'Pivot Table'!$A$28,"DAY","Thu")+GETPIVOTDATA("Sum of COMP",'Pivot Table'!$A$40,"DAY","Thu")+GETPIVOTDATA("Sum of COMP",'Pivot Table'!$A$52,"DAY","Thu")+GETPIVOTDATA("Sum of COMP",'Pivot Table'!$A$64,"DAY","Thu")+GETPIVOTDATA("Sum of COMP",'Pivot Table'!$A$76,"DAY","Thu")+GETPIVOTDATA("Sum of COMP",'Pivot Table'!$A$88,"DAY","Thu")+GETPIVOTDATA("Sum of COMP",'Pivot Table'!$A$100,"DAY","Thu")+GETPIVOTDATA("Sum of COMP",'Pivot Table'!$A$112,"DAY","Thu")+GETPIVOTDATA("Sum of COMP",'Pivot Table'!$A$124,"DAY","Thu")+GETPIVOTDATA("Sum of COMP",'Pivot Table'!$A$136,"DAY","Thu")</f>
        <v>7228</v>
      </c>
      <c r="N22" s="39" t="s">
        <v>80</v>
      </c>
      <c r="O22" s="39">
        <f>GETPIVOTDATA("Sum of COMP",'Pivot Table'!$A$4,"DAY","Fri")+GETPIVOTDATA("Sum of COMP",'Pivot Table'!$A$16,"DAY","Fri")+GETPIVOTDATA("Sum of COMP",'Pivot Table'!$A$28,"DAY","Fri")+GETPIVOTDATA("Sum of COMP",'Pivot Table'!$A$40,"DAY","Fri")+GETPIVOTDATA("Sum of COMP",'Pivot Table'!$A$52,"DAY","Fri")+GETPIVOTDATA("Sum of COMP",'Pivot Table'!$A$64,"DAY","Fri")+GETPIVOTDATA("Sum of COMP",'Pivot Table'!$A$76,"DAY","Fri")+GETPIVOTDATA("Sum of COMP",'Pivot Table'!$A$88,"DAY","Fri")+GETPIVOTDATA("Sum of COMP",'Pivot Table'!$A$100,"DAY","Fri")+GETPIVOTDATA("Sum of COMP",'Pivot Table'!$A$112,"DAY","Fri")+GETPIVOTDATA("Sum of COMP",'Pivot Table'!$A$124,"DAY","Fri")+GETPIVOTDATA("Sum of COMP",'Pivot Table'!$A$136,"DAY","Fri")</f>
        <v>3090</v>
      </c>
      <c r="Q22" s="39" t="s">
        <v>80</v>
      </c>
      <c r="R22" s="39">
        <f>GETPIVOTDATA("Sum of COMP",'Pivot Table'!$A$4,"DAY","Sat")+GETPIVOTDATA("Sum of COMP",'Pivot Table'!$A$16,"DAY","Sat")+GETPIVOTDATA("Sum of COMP",'Pivot Table'!$A$28,"DAY","Sat")+GETPIVOTDATA("Sum of COMP",'Pivot Table'!$A$40,"DAY","Sat")+GETPIVOTDATA("Sum of COMP",'Pivot Table'!$A$52,"DAY","Sat")+GETPIVOTDATA("Sum of COMP",'Pivot Table'!$A$64,"DAY","Sat")+GETPIVOTDATA("Sum of COMP",'Pivot Table'!$A$76,"DAY","Sat")+GETPIVOTDATA("Sum of COMP",'Pivot Table'!$A$88,"DAY","Sat")+GETPIVOTDATA("Sum of COMP",'Pivot Table'!$A$100,"DAY","Sat")+GETPIVOTDATA("Sum of COMP",'Pivot Table'!$A$112,"DAY","Sat")+GETPIVOTDATA("Sum of COMP",'Pivot Table'!$A$124,"DAY","Sat")+GETPIVOTDATA("Sum of COMP",'Pivot Table'!$A$136,"DAY","Sat")</f>
        <v>6688</v>
      </c>
      <c r="T22" s="39" t="s">
        <v>80</v>
      </c>
      <c r="U22" s="39">
        <f>GETPIVOTDATA("Sum of COMP",'Pivot Table'!$A$4,"DAY","Sun")+GETPIVOTDATA("Sum of COMP",'Pivot Table'!$A$16,"DAY","Sun")+GETPIVOTDATA("Sum of COMP",'Pivot Table'!$A$28,"DAY","Sun")+GETPIVOTDATA("Sum of COMP",'Pivot Table'!$A$40,"DAY","Sun")+GETPIVOTDATA("Sum of COMP",'Pivot Table'!$A$52,"DAY","Sun")+GETPIVOTDATA("Sum of COMP",'Pivot Table'!$A$64,"DAY","Sun")+GETPIVOTDATA("Sum of COMP",'Pivot Table'!$A$76,"DAY","Sun")+GETPIVOTDATA("Sum of COMP",'Pivot Table'!$A$88,"DAY","Sun")+GETPIVOTDATA("Sum of COMP",'Pivot Table'!$A$100,"DAY","Sun")+GETPIVOTDATA("Sum of COMP",'Pivot Table'!$A$112,"DAY","Sun")+GETPIVOTDATA("Sum of COMP",'Pivot Table'!$A$124,"DAY","Sun")+GETPIVOTDATA("Sum of COMP",'Pivot Table'!$A$136,"DAY","Sun")</f>
        <v>5882</v>
      </c>
    </row>
    <row r="25" spans="2:21" s="34" customFormat="1" ht="21" x14ac:dyDescent="0.25">
      <c r="B25" s="34" t="s">
        <v>103</v>
      </c>
    </row>
    <row r="27" spans="2:21" s="34" customFormat="1" ht="21" x14ac:dyDescent="0.25">
      <c r="B27" s="34" t="s">
        <v>22</v>
      </c>
      <c r="E27" s="34" t="s">
        <v>27</v>
      </c>
      <c r="H27" s="34" t="s">
        <v>29</v>
      </c>
      <c r="K27" s="34" t="s">
        <v>31</v>
      </c>
      <c r="N27" s="34" t="s">
        <v>33</v>
      </c>
      <c r="Q27" s="34" t="s">
        <v>35</v>
      </c>
      <c r="T27" s="34" t="s">
        <v>37</v>
      </c>
    </row>
    <row r="29" spans="2:21" x14ac:dyDescent="0.25">
      <c r="B29" s="39" t="s">
        <v>1</v>
      </c>
      <c r="C29" s="59">
        <f>C6 /52</f>
        <v>43.46153846153846</v>
      </c>
      <c r="E29" s="39" t="s">
        <v>1</v>
      </c>
      <c r="F29" s="59">
        <f>F6 /52</f>
        <v>81.15384615384616</v>
      </c>
      <c r="H29" s="39" t="s">
        <v>1</v>
      </c>
      <c r="I29" s="59">
        <f>I6 /52</f>
        <v>64.461538461538467</v>
      </c>
      <c r="K29" s="39" t="s">
        <v>1</v>
      </c>
      <c r="L29" s="59">
        <f>L6 /52</f>
        <v>74.5</v>
      </c>
      <c r="N29" s="39" t="s">
        <v>1</v>
      </c>
      <c r="O29" s="59">
        <f>O6 /52</f>
        <v>88.057692307692307</v>
      </c>
      <c r="Q29" s="39" t="s">
        <v>1</v>
      </c>
      <c r="R29" s="59">
        <f>R6 /52</f>
        <v>82.788461538461533</v>
      </c>
      <c r="T29" s="39" t="s">
        <v>1</v>
      </c>
      <c r="U29" s="59">
        <f>U6 /52</f>
        <v>83.192307692307693</v>
      </c>
    </row>
    <row r="30" spans="2:21" x14ac:dyDescent="0.25">
      <c r="B30" s="39" t="s">
        <v>2</v>
      </c>
      <c r="C30" s="59">
        <f t="shared" ref="C30:C32" si="0">C7 /52</f>
        <v>65.365384615384613</v>
      </c>
      <c r="E30" s="39" t="s">
        <v>2</v>
      </c>
      <c r="F30" s="59">
        <f t="shared" ref="F30:F32" si="1">F7 /52</f>
        <v>31.442307692307693</v>
      </c>
      <c r="H30" s="39" t="s">
        <v>2</v>
      </c>
      <c r="I30" s="59">
        <f t="shared" ref="I30:I32" si="2">I7 /52</f>
        <v>68.442307692307693</v>
      </c>
      <c r="K30" s="39" t="s">
        <v>2</v>
      </c>
      <c r="L30" s="59">
        <f t="shared" ref="L30:L32" si="3">L7 /52</f>
        <v>73.57692307692308</v>
      </c>
      <c r="N30" s="39" t="s">
        <v>2</v>
      </c>
      <c r="O30" s="59">
        <f t="shared" ref="O30:O32" si="4">O7 /52</f>
        <v>72.288461538461533</v>
      </c>
      <c r="Q30" s="39" t="s">
        <v>2</v>
      </c>
      <c r="R30" s="59">
        <f t="shared" ref="R30:R32" si="5">R7 /52</f>
        <v>63.75</v>
      </c>
      <c r="T30" s="39" t="s">
        <v>2</v>
      </c>
      <c r="U30" s="59">
        <f t="shared" ref="U30:U32" si="6">U7 /52</f>
        <v>72.92307692307692</v>
      </c>
    </row>
    <row r="31" spans="2:21" x14ac:dyDescent="0.25">
      <c r="B31" s="39" t="s">
        <v>3</v>
      </c>
      <c r="C31" s="59">
        <f t="shared" si="0"/>
        <v>108.82692307692308</v>
      </c>
      <c r="E31" s="39" t="s">
        <v>3</v>
      </c>
      <c r="F31" s="59">
        <f t="shared" si="1"/>
        <v>112.59615384615384</v>
      </c>
      <c r="H31" s="39" t="s">
        <v>3</v>
      </c>
      <c r="I31" s="59">
        <f t="shared" si="2"/>
        <v>132.90384615384616</v>
      </c>
      <c r="K31" s="39" t="s">
        <v>3</v>
      </c>
      <c r="L31" s="59">
        <f t="shared" si="3"/>
        <v>148.07692307692307</v>
      </c>
      <c r="N31" s="39" t="s">
        <v>3</v>
      </c>
      <c r="O31" s="59">
        <f t="shared" si="4"/>
        <v>160.34615384615384</v>
      </c>
      <c r="Q31" s="39" t="s">
        <v>3</v>
      </c>
      <c r="R31" s="59">
        <f t="shared" si="5"/>
        <v>146.53846153846155</v>
      </c>
      <c r="T31" s="39" t="s">
        <v>3</v>
      </c>
      <c r="U31" s="59">
        <f t="shared" si="6"/>
        <v>156.11538461538461</v>
      </c>
    </row>
    <row r="32" spans="2:21" x14ac:dyDescent="0.25">
      <c r="B32" s="39" t="s">
        <v>82</v>
      </c>
      <c r="C32" s="59">
        <f t="shared" si="0"/>
        <v>28.21153846153846</v>
      </c>
      <c r="E32" s="39" t="s">
        <v>82</v>
      </c>
      <c r="F32" s="59">
        <f t="shared" si="1"/>
        <v>6.0769230769230766</v>
      </c>
      <c r="H32" s="39" t="s">
        <v>82</v>
      </c>
      <c r="I32" s="59">
        <f t="shared" si="2"/>
        <v>67.442307692307693</v>
      </c>
      <c r="K32" s="39" t="s">
        <v>82</v>
      </c>
      <c r="L32" s="59">
        <f t="shared" si="3"/>
        <v>1.9230769230769231</v>
      </c>
      <c r="N32" s="39" t="s">
        <v>82</v>
      </c>
      <c r="O32" s="59">
        <f t="shared" si="4"/>
        <v>49.980769230769234</v>
      </c>
      <c r="Q32" s="39" t="s">
        <v>82</v>
      </c>
      <c r="R32" s="59">
        <f t="shared" si="5"/>
        <v>4.2307692307692308</v>
      </c>
      <c r="T32" s="39" t="s">
        <v>82</v>
      </c>
      <c r="U32" s="59">
        <f t="shared" si="6"/>
        <v>26.307692307692307</v>
      </c>
    </row>
    <row r="33" spans="2:21" s="56" customFormat="1" ht="31.5" customHeight="1" x14ac:dyDescent="0.25">
      <c r="B33" s="55" t="s">
        <v>74</v>
      </c>
      <c r="C33" s="58">
        <f>SUM(C32/C31)</f>
        <v>0.2592330800494787</v>
      </c>
      <c r="E33" s="55" t="s">
        <v>74</v>
      </c>
      <c r="F33" s="58">
        <f>SUM(F32/F31)</f>
        <v>5.3970964987190437E-2</v>
      </c>
      <c r="H33" s="55" t="s">
        <v>74</v>
      </c>
      <c r="I33" s="58">
        <f>SUM(I32/I31)</f>
        <v>0.50745188829402399</v>
      </c>
      <c r="K33" s="55" t="s">
        <v>74</v>
      </c>
      <c r="L33" s="58">
        <f>SUM(L32/L31)</f>
        <v>1.2987012987012988E-2</v>
      </c>
      <c r="N33" s="55" t="s">
        <v>74</v>
      </c>
      <c r="O33" s="58">
        <f>SUM(O32/O31)</f>
        <v>0.31170544495082758</v>
      </c>
      <c r="Q33" s="55" t="s">
        <v>74</v>
      </c>
      <c r="R33" s="58">
        <f>SUM(R32/R31)</f>
        <v>2.8871391076115485E-2</v>
      </c>
      <c r="T33" s="55" t="s">
        <v>74</v>
      </c>
      <c r="U33" s="58">
        <f>SUM(U32/U31)</f>
        <v>0.16851441241685144</v>
      </c>
    </row>
    <row r="34" spans="2:21" x14ac:dyDescent="0.25">
      <c r="B34" s="35" t="s">
        <v>4</v>
      </c>
      <c r="C34" s="59">
        <f>C11 /52</f>
        <v>0</v>
      </c>
      <c r="E34" s="35" t="s">
        <v>4</v>
      </c>
      <c r="F34" s="59">
        <f>F11 /52</f>
        <v>105.88461538461539</v>
      </c>
      <c r="H34" s="35" t="s">
        <v>4</v>
      </c>
      <c r="I34" s="59">
        <f>I11 /52</f>
        <v>65.07692307692308</v>
      </c>
      <c r="K34" s="35" t="s">
        <v>4</v>
      </c>
      <c r="L34" s="59">
        <f>L11 /52</f>
        <v>145.59615384615384</v>
      </c>
      <c r="N34" s="35" t="s">
        <v>4</v>
      </c>
      <c r="O34" s="59">
        <f>O11 /52</f>
        <v>109.30769230769231</v>
      </c>
      <c r="Q34" s="35" t="s">
        <v>4</v>
      </c>
      <c r="R34" s="59">
        <f>R11 /52</f>
        <v>142.03846153846155</v>
      </c>
      <c r="T34" s="35" t="s">
        <v>4</v>
      </c>
      <c r="U34" s="59">
        <f>U11 /52</f>
        <v>128.88461538461539</v>
      </c>
    </row>
    <row r="35" spans="2:21" x14ac:dyDescent="0.25">
      <c r="B35" s="39" t="s">
        <v>83</v>
      </c>
      <c r="C35" s="59">
        <f t="shared" ref="C35:C45" si="7">C12 /52</f>
        <v>0.55769230769230771</v>
      </c>
      <c r="E35" s="39" t="s">
        <v>83</v>
      </c>
      <c r="F35" s="59">
        <f t="shared" ref="F35:F45" si="8">F12 /52</f>
        <v>0</v>
      </c>
      <c r="H35" s="39" t="s">
        <v>83</v>
      </c>
      <c r="I35" s="59">
        <f t="shared" ref="I35:I45" si="9">I12 /52</f>
        <v>0.90384615384615385</v>
      </c>
      <c r="K35" s="39" t="s">
        <v>83</v>
      </c>
      <c r="L35" s="59">
        <f t="shared" ref="L35:L45" si="10">L12 /52</f>
        <v>7.6923076923076927E-2</v>
      </c>
      <c r="N35" s="39" t="s">
        <v>83</v>
      </c>
      <c r="O35" s="59">
        <f t="shared" ref="O35:O45" si="11">O12 /52</f>
        <v>1.2692307692307692</v>
      </c>
      <c r="Q35" s="39" t="s">
        <v>83</v>
      </c>
      <c r="R35" s="59">
        <f t="shared" ref="R35:R45" si="12">R12 /52</f>
        <v>0</v>
      </c>
      <c r="T35" s="39" t="s">
        <v>83</v>
      </c>
      <c r="U35" s="59">
        <f t="shared" ref="U35:U45" si="13">U12 /52</f>
        <v>0.86538461538461542</v>
      </c>
    </row>
    <row r="36" spans="2:21" x14ac:dyDescent="0.25">
      <c r="B36" s="39" t="s">
        <v>75</v>
      </c>
      <c r="C36" s="59">
        <f t="shared" si="7"/>
        <v>0.75</v>
      </c>
      <c r="E36" s="39" t="s">
        <v>75</v>
      </c>
      <c r="F36" s="59">
        <f t="shared" si="8"/>
        <v>0</v>
      </c>
      <c r="H36" s="39" t="s">
        <v>75</v>
      </c>
      <c r="I36" s="59">
        <f t="shared" si="9"/>
        <v>1.0961538461538463</v>
      </c>
      <c r="K36" s="39" t="s">
        <v>75</v>
      </c>
      <c r="L36" s="59">
        <f t="shared" si="10"/>
        <v>3.8461538461538464E-2</v>
      </c>
      <c r="N36" s="39" t="s">
        <v>75</v>
      </c>
      <c r="O36" s="59">
        <f t="shared" si="11"/>
        <v>0.92307692307692313</v>
      </c>
      <c r="Q36" s="39" t="s">
        <v>75</v>
      </c>
      <c r="R36" s="59">
        <f t="shared" si="12"/>
        <v>0</v>
      </c>
      <c r="T36" s="39" t="s">
        <v>75</v>
      </c>
      <c r="U36" s="59">
        <f t="shared" si="13"/>
        <v>1.9230769230769232E-2</v>
      </c>
    </row>
    <row r="37" spans="2:21" x14ac:dyDescent="0.25">
      <c r="B37" s="39" t="s">
        <v>76</v>
      </c>
      <c r="C37" s="59">
        <f t="shared" si="7"/>
        <v>1.6730769230769231</v>
      </c>
      <c r="E37" s="39" t="s">
        <v>76</v>
      </c>
      <c r="F37" s="59">
        <f t="shared" si="8"/>
        <v>0.34615384615384615</v>
      </c>
      <c r="H37" s="39" t="s">
        <v>76</v>
      </c>
      <c r="I37" s="59">
        <f t="shared" si="9"/>
        <v>3.25</v>
      </c>
      <c r="K37" s="39" t="s">
        <v>76</v>
      </c>
      <c r="L37" s="59">
        <f t="shared" si="10"/>
        <v>1.9230769230769232E-2</v>
      </c>
      <c r="N37" s="39" t="s">
        <v>76</v>
      </c>
      <c r="O37" s="59">
        <f t="shared" si="11"/>
        <v>0.90384615384615385</v>
      </c>
      <c r="Q37" s="39" t="s">
        <v>76</v>
      </c>
      <c r="R37" s="59">
        <f t="shared" si="12"/>
        <v>5.7692307692307696E-2</v>
      </c>
      <c r="T37" s="39" t="s">
        <v>76</v>
      </c>
      <c r="U37" s="59">
        <f t="shared" si="13"/>
        <v>0.13461538461538461</v>
      </c>
    </row>
    <row r="38" spans="2:21" x14ac:dyDescent="0.25">
      <c r="B38" s="39" t="s">
        <v>77</v>
      </c>
      <c r="C38" s="59">
        <f t="shared" si="7"/>
        <v>0.23076923076923078</v>
      </c>
      <c r="E38" s="39" t="s">
        <v>77</v>
      </c>
      <c r="F38" s="59">
        <f t="shared" si="8"/>
        <v>0.25</v>
      </c>
      <c r="H38" s="39" t="s">
        <v>77</v>
      </c>
      <c r="I38" s="59">
        <f t="shared" si="9"/>
        <v>0.86538461538461542</v>
      </c>
      <c r="K38" s="39" t="s">
        <v>77</v>
      </c>
      <c r="L38" s="59">
        <f t="shared" si="10"/>
        <v>0.13461538461538461</v>
      </c>
      <c r="N38" s="39" t="s">
        <v>77</v>
      </c>
      <c r="O38" s="59">
        <f t="shared" si="11"/>
        <v>0.36538461538461536</v>
      </c>
      <c r="Q38" s="39" t="s">
        <v>77</v>
      </c>
      <c r="R38" s="59">
        <f t="shared" si="12"/>
        <v>0</v>
      </c>
      <c r="T38" s="39" t="s">
        <v>77</v>
      </c>
      <c r="U38" s="59">
        <f t="shared" si="13"/>
        <v>9.6153846153846159E-2</v>
      </c>
    </row>
    <row r="39" spans="2:21" x14ac:dyDescent="0.25">
      <c r="B39" s="39" t="s">
        <v>5</v>
      </c>
      <c r="C39" s="59">
        <f t="shared" si="7"/>
        <v>9.0961538461538467</v>
      </c>
      <c r="E39" s="39" t="s">
        <v>5</v>
      </c>
      <c r="F39" s="59">
        <f t="shared" si="8"/>
        <v>2.8653846153846154</v>
      </c>
      <c r="H39" s="39" t="s">
        <v>5</v>
      </c>
      <c r="I39" s="59">
        <f t="shared" si="9"/>
        <v>12.326923076923077</v>
      </c>
      <c r="K39" s="39" t="s">
        <v>5</v>
      </c>
      <c r="L39" s="59">
        <f t="shared" si="10"/>
        <v>0.73076923076923073</v>
      </c>
      <c r="N39" s="39" t="s">
        <v>5</v>
      </c>
      <c r="O39" s="59">
        <f t="shared" si="11"/>
        <v>26.865384615384617</v>
      </c>
      <c r="Q39" s="39" t="s">
        <v>5</v>
      </c>
      <c r="R39" s="59">
        <f t="shared" si="12"/>
        <v>3.1346153846153846</v>
      </c>
      <c r="T39" s="39" t="s">
        <v>5</v>
      </c>
      <c r="U39" s="59">
        <f t="shared" si="13"/>
        <v>16.173076923076923</v>
      </c>
    </row>
    <row r="40" spans="2:21" ht="33" x14ac:dyDescent="0.25">
      <c r="B40" s="35" t="s">
        <v>78</v>
      </c>
      <c r="C40" s="59">
        <f t="shared" si="7"/>
        <v>0.26923076923076922</v>
      </c>
      <c r="E40" s="35" t="s">
        <v>78</v>
      </c>
      <c r="F40" s="59">
        <f t="shared" si="8"/>
        <v>0</v>
      </c>
      <c r="H40" s="35" t="s">
        <v>78</v>
      </c>
      <c r="I40" s="59">
        <f t="shared" si="9"/>
        <v>0.34615384615384615</v>
      </c>
      <c r="K40" s="35" t="s">
        <v>78</v>
      </c>
      <c r="L40" s="59">
        <f t="shared" si="10"/>
        <v>0</v>
      </c>
      <c r="N40" s="35" t="s">
        <v>78</v>
      </c>
      <c r="O40" s="59">
        <f t="shared" si="11"/>
        <v>0.23076923076923078</v>
      </c>
      <c r="Q40" s="35" t="s">
        <v>78</v>
      </c>
      <c r="R40" s="59">
        <f t="shared" si="12"/>
        <v>0</v>
      </c>
      <c r="T40" s="35" t="s">
        <v>78</v>
      </c>
      <c r="U40" s="59">
        <f t="shared" si="13"/>
        <v>0</v>
      </c>
    </row>
    <row r="41" spans="2:21" x14ac:dyDescent="0.25">
      <c r="B41" s="39" t="s">
        <v>6</v>
      </c>
      <c r="C41" s="59">
        <f t="shared" si="7"/>
        <v>0.69230769230769229</v>
      </c>
      <c r="E41" s="39" t="s">
        <v>6</v>
      </c>
      <c r="F41" s="59">
        <f t="shared" si="8"/>
        <v>0</v>
      </c>
      <c r="H41" s="39" t="s">
        <v>6</v>
      </c>
      <c r="I41" s="59">
        <f t="shared" si="9"/>
        <v>40.442307692307693</v>
      </c>
      <c r="K41" s="39" t="s">
        <v>6</v>
      </c>
      <c r="L41" s="59">
        <f t="shared" si="10"/>
        <v>0</v>
      </c>
      <c r="N41" s="39" t="s">
        <v>6</v>
      </c>
      <c r="O41" s="59">
        <f t="shared" si="11"/>
        <v>9.865384615384615</v>
      </c>
      <c r="Q41" s="39" t="s">
        <v>6</v>
      </c>
      <c r="R41" s="59">
        <f t="shared" si="12"/>
        <v>0</v>
      </c>
      <c r="T41" s="39" t="s">
        <v>6</v>
      </c>
      <c r="U41" s="59">
        <f t="shared" si="13"/>
        <v>0</v>
      </c>
    </row>
    <row r="42" spans="2:21" x14ac:dyDescent="0.25">
      <c r="B42" s="39" t="s">
        <v>84</v>
      </c>
      <c r="C42" s="59">
        <f t="shared" si="7"/>
        <v>0.57692307692307687</v>
      </c>
      <c r="E42" s="39" t="s">
        <v>84</v>
      </c>
      <c r="F42" s="59">
        <f t="shared" si="8"/>
        <v>0.63461538461538458</v>
      </c>
      <c r="H42" s="39" t="s">
        <v>84</v>
      </c>
      <c r="I42" s="59">
        <f t="shared" si="9"/>
        <v>0.38461538461538464</v>
      </c>
      <c r="K42" s="39" t="s">
        <v>84</v>
      </c>
      <c r="L42" s="59">
        <f t="shared" si="10"/>
        <v>0.55769230769230771</v>
      </c>
      <c r="N42" s="39" t="s">
        <v>84</v>
      </c>
      <c r="O42" s="59">
        <f t="shared" si="11"/>
        <v>1.0576923076923077</v>
      </c>
      <c r="Q42" s="39" t="s">
        <v>84</v>
      </c>
      <c r="R42" s="59">
        <f t="shared" si="12"/>
        <v>0.26923076923076922</v>
      </c>
      <c r="T42" s="39" t="s">
        <v>84</v>
      </c>
      <c r="U42" s="59">
        <f t="shared" si="13"/>
        <v>0.92307692307692313</v>
      </c>
    </row>
    <row r="43" spans="2:21" x14ac:dyDescent="0.25">
      <c r="B43" s="39" t="s">
        <v>79</v>
      </c>
      <c r="C43" s="59">
        <f t="shared" si="7"/>
        <v>2.0384615384615383</v>
      </c>
      <c r="E43" s="39" t="s">
        <v>79</v>
      </c>
      <c r="F43" s="59">
        <f t="shared" si="8"/>
        <v>0.15384615384615385</v>
      </c>
      <c r="H43" s="39" t="s">
        <v>79</v>
      </c>
      <c r="I43" s="59">
        <f t="shared" si="9"/>
        <v>4.115384615384615</v>
      </c>
      <c r="K43" s="39" t="s">
        <v>79</v>
      </c>
      <c r="L43" s="59">
        <f t="shared" si="10"/>
        <v>7.6923076923076927E-2</v>
      </c>
      <c r="N43" s="39" t="s">
        <v>79</v>
      </c>
      <c r="O43" s="59">
        <f t="shared" si="11"/>
        <v>2.6730769230769229</v>
      </c>
      <c r="Q43" s="39" t="s">
        <v>79</v>
      </c>
      <c r="R43" s="59">
        <f t="shared" si="12"/>
        <v>0</v>
      </c>
      <c r="T43" s="39" t="s">
        <v>79</v>
      </c>
      <c r="U43" s="59">
        <f t="shared" si="13"/>
        <v>3.0192307692307692</v>
      </c>
    </row>
    <row r="44" spans="2:21" x14ac:dyDescent="0.25">
      <c r="B44" s="39" t="s">
        <v>7</v>
      </c>
      <c r="C44" s="59">
        <f t="shared" si="7"/>
        <v>3.4230769230769229</v>
      </c>
      <c r="E44" s="39" t="s">
        <v>7</v>
      </c>
      <c r="F44" s="59">
        <f t="shared" si="8"/>
        <v>0.30769230769230771</v>
      </c>
      <c r="H44" s="39" t="s">
        <v>7</v>
      </c>
      <c r="I44" s="59">
        <f t="shared" si="9"/>
        <v>3.6346153846153846</v>
      </c>
      <c r="K44" s="39" t="s">
        <v>7</v>
      </c>
      <c r="L44" s="59">
        <f t="shared" si="10"/>
        <v>0.84615384615384615</v>
      </c>
      <c r="N44" s="39" t="s">
        <v>7</v>
      </c>
      <c r="O44" s="59">
        <f t="shared" si="11"/>
        <v>3.1538461538461537</v>
      </c>
      <c r="Q44" s="39" t="s">
        <v>7</v>
      </c>
      <c r="R44" s="59">
        <f t="shared" si="12"/>
        <v>1.0384615384615385</v>
      </c>
      <c r="T44" s="39" t="s">
        <v>7</v>
      </c>
      <c r="U44" s="59">
        <f t="shared" si="13"/>
        <v>2.5384615384615383</v>
      </c>
    </row>
    <row r="45" spans="2:21" x14ac:dyDescent="0.25">
      <c r="B45" s="39" t="s">
        <v>80</v>
      </c>
      <c r="C45" s="59">
        <f t="shared" si="7"/>
        <v>51.942307692307693</v>
      </c>
      <c r="E45" s="39" t="s">
        <v>80</v>
      </c>
      <c r="F45" s="59">
        <f t="shared" si="8"/>
        <v>2.6923076923076925</v>
      </c>
      <c r="H45" s="39" t="s">
        <v>80</v>
      </c>
      <c r="I45" s="59">
        <f t="shared" si="9"/>
        <v>19.96153846153846</v>
      </c>
      <c r="K45" s="39" t="s">
        <v>80</v>
      </c>
      <c r="L45" s="59">
        <f t="shared" si="10"/>
        <v>139</v>
      </c>
      <c r="N45" s="39" t="s">
        <v>80</v>
      </c>
      <c r="O45" s="59">
        <f t="shared" si="11"/>
        <v>59.42307692307692</v>
      </c>
      <c r="Q45" s="39" t="s">
        <v>80</v>
      </c>
      <c r="R45" s="59">
        <f t="shared" si="12"/>
        <v>128.61538461538461</v>
      </c>
      <c r="T45" s="39" t="s">
        <v>80</v>
      </c>
      <c r="U45" s="59">
        <f t="shared" si="13"/>
        <v>113.11538461538461</v>
      </c>
    </row>
    <row r="48" spans="2:21" x14ac:dyDescent="0.25">
      <c r="B48" s="39" t="s">
        <v>22</v>
      </c>
      <c r="C48" s="89">
        <f>GETPIVOTDATA("Sum of TOTAL FIELD",'Pivot Table'!$A$4,"DAY","Mon")+GETPIVOTDATA("Sum of TOTAL FIELD",'Pivot Table'!$A$16,"DAY","Mon")+GETPIVOTDATA("Sum of TOTAL FIELD",'Pivot Table'!$A$28,"DAY","Mon")+GETPIVOTDATA("Sum of TOTAL FIELD",'Pivot Table'!$A$40,"DAY","Mon")+GETPIVOTDATA("Sum of TOTAL FIELD",'Pivot Table'!$A$52,"DAY","Mon")+GETPIVOTDATA("Sum of TOTAL FIELD",'Pivot Table'!$A$64,"DAY","Mon")+GETPIVOTDATA("Sum of TOTAL FIELD",'Pivot Table'!$A$76,"DAY","Mon")+GETPIVOTDATA("Sum of TOTAL FIELD",'Pivot Table'!$A$88,"DAY","Mon")+GETPIVOTDATA("Sum of TOTAL FIELD",'Pivot Table'!$A$100,"DAY","Mon")+GETPIVOTDATA("Sum of TOTAL FIELD",'Pivot Table'!$A$112,"DAY","Mon")+GETPIVOTDATA("Sum of TOTAL FIELD",'Pivot Table'!$A$124,"DAY","Mon")+GETPIVOTDATA("Sum of TOTAL FIELD",'Pivot Table'!$A$136,"DAY","Mon")</f>
        <v>5659</v>
      </c>
      <c r="D48" s="58">
        <f>SUM(C48/C55)</f>
        <v>0.11272683811079461</v>
      </c>
    </row>
    <row r="49" spans="2:21" ht="21" x14ac:dyDescent="0.25">
      <c r="B49" s="39" t="s">
        <v>27</v>
      </c>
      <c r="C49" s="89">
        <f>GETPIVOTDATA("Sum of TOTAL FIELD",'Pivot Table'!$A$4,"DAY","Tue")+GETPIVOTDATA("Sum of TOTAL FIELD",'Pivot Table'!$A$16,"DAY","Tue")+GETPIVOTDATA("Sum of TOTAL FIELD",'Pivot Table'!$A$28,"DAY","Tue")+GETPIVOTDATA("Sum of TOTAL FIELD",'Pivot Table'!$A$40,"DAY","Tue")+GETPIVOTDATA("Sum of TOTAL FIELD",'Pivot Table'!$A$52,"DAY","Tue")+GETPIVOTDATA("Sum of TOTAL FIELD",'Pivot Table'!$A$64,"DAY","Tue")+GETPIVOTDATA("Sum of TOTAL FIELD",'Pivot Table'!$A$76,"DAY","Tue")+GETPIVOTDATA("Sum of TOTAL FIELD",'Pivot Table'!$A$88,"DAY","Tue")+GETPIVOTDATA("Sum of TOTAL FIELD",'Pivot Table'!$A$100,"DAY","Tue")+GETPIVOTDATA("Sum of TOTAL FIELD",'Pivot Table'!$A$112,"DAY","Tue")+GETPIVOTDATA("Sum of TOTAL FIELD",'Pivot Table'!$A$124,"DAY","Tue")+GETPIVOTDATA("Sum of TOTAL FIELD",'Pivot Table'!$A$136,"DAY","Tue")</f>
        <v>5855</v>
      </c>
      <c r="D49" s="58">
        <f>SUM(C49/C55)</f>
        <v>0.1166311428059202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</row>
    <row r="50" spans="2:21" x14ac:dyDescent="0.25">
      <c r="B50" s="39" t="s">
        <v>29</v>
      </c>
      <c r="C50" s="89">
        <f>GETPIVOTDATA("Sum of TOTAL FIELD",'Pivot Table'!$A$4,"DAY","Wed")+GETPIVOTDATA("Sum of TOTAL FIELD",'Pivot Table'!$A$16,"DAY","Wed")+GETPIVOTDATA("Sum of TOTAL FIELD",'Pivot Table'!$A$28,"DAY","Wed")+GETPIVOTDATA("Sum of TOTAL FIELD",'Pivot Table'!$A$40,"DAY","Wed")+GETPIVOTDATA("Sum of TOTAL FIELD",'Pivot Table'!$A$52,"DAY","Wed")+GETPIVOTDATA("Sum of TOTAL FIELD",'Pivot Table'!$A$64,"DAY","Wed")+GETPIVOTDATA("Sum of TOTAL FIELD",'Pivot Table'!$A$76,"DAY","Wed")+GETPIVOTDATA("Sum of TOTAL FIELD",'Pivot Table'!$A$88,"DAY","Wed")+GETPIVOTDATA("Sum of TOTAL FIELD",'Pivot Table'!$A$100,"DAY","Wed")+GETPIVOTDATA("Sum of TOTAL FIELD",'Pivot Table'!$A$112,"DAY","Wed")+GETPIVOTDATA("Sum of TOTAL FIELD",'Pivot Table'!$A$124,"DAY","Wed")+GETPIVOTDATA("Sum of TOTAL FIELD",'Pivot Table'!$A$136,"DAY","Wed")</f>
        <v>6911</v>
      </c>
      <c r="D50" s="58">
        <f>SUM(C50/C55)</f>
        <v>0.13766658034700505</v>
      </c>
    </row>
    <row r="51" spans="2:21" ht="21" x14ac:dyDescent="0.25">
      <c r="B51" s="39" t="s">
        <v>31</v>
      </c>
      <c r="C51" s="89">
        <f>GETPIVOTDATA("Sum of TOTAL FIELD",'Pivot Table'!$A$4,"DAY","Thu")+GETPIVOTDATA("Sum of TOTAL FIELD",'Pivot Table'!$A$16,"DAY","Thu")+GETPIVOTDATA("Sum of TOTAL FIELD",'Pivot Table'!$A$28,"DAY","Thu")+GETPIVOTDATA("Sum of TOTAL FIELD",'Pivot Table'!$A$40,"DAY","Thu")+GETPIVOTDATA("Sum of TOTAL FIELD",'Pivot Table'!$A$52,"DAY","Thu")+GETPIVOTDATA("Sum of TOTAL FIELD",'Pivot Table'!$A$64,"DAY","Thu")+GETPIVOTDATA("Sum of TOTAL FIELD",'Pivot Table'!$A$76,"DAY","Thu")+GETPIVOTDATA("Sum of TOTAL FIELD",'Pivot Table'!$A$88,"DAY","Thu")+GETPIVOTDATA("Sum of TOTAL FIELD",'Pivot Table'!$A$100,"DAY","Thu")+GETPIVOTDATA("Sum of TOTAL FIELD",'Pivot Table'!$A$112,"DAY","Thu")+GETPIVOTDATA("Sum of TOTAL FIELD",'Pivot Table'!$A$124,"DAY","Thu")+GETPIVOTDATA("Sum of TOTAL FIELD",'Pivot Table'!$A$136,"DAY","Thu")</f>
        <v>7700</v>
      </c>
      <c r="D51" s="58">
        <f>SUM(C51/C55)</f>
        <v>0.15338339873707696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</row>
    <row r="52" spans="2:21" x14ac:dyDescent="0.25">
      <c r="B52" s="39" t="s">
        <v>33</v>
      </c>
      <c r="C52" s="89">
        <f>GETPIVOTDATA("Sum of TOTAL FIELD",'Pivot Table'!$A$4,"DAY","Fri")+GETPIVOTDATA("Sum of TOTAL FIELD",'Pivot Table'!$A$16,"DAY","Fri")+GETPIVOTDATA("Sum of TOTAL FIELD",'Pivot Table'!$A$28,"DAY","Fri")+GETPIVOTDATA("Sum of TOTAL FIELD",'Pivot Table'!$A$40,"DAY","Fri")+GETPIVOTDATA("Sum of TOTAL FIELD",'Pivot Table'!$A$52,"DAY","Fri")+GETPIVOTDATA("Sum of TOTAL FIELD",'Pivot Table'!$A$64,"DAY","Fri")+GETPIVOTDATA("Sum of TOTAL FIELD",'Pivot Table'!$A$76,"DAY","Fri")+GETPIVOTDATA("Sum of TOTAL FIELD",'Pivot Table'!$A$88,"DAY","Fri")+GETPIVOTDATA("Sum of TOTAL FIELD",'Pivot Table'!$A$100,"DAY","Fri")+GETPIVOTDATA("Sum of TOTAL FIELD",'Pivot Table'!$A$112,"DAY","Fri")+GETPIVOTDATA("Sum of TOTAL FIELD",'Pivot Table'!$A$124,"DAY","Fri")+GETPIVOTDATA("Sum of TOTAL FIELD",'Pivot Table'!$A$136,"DAY","Fri")</f>
        <v>8338</v>
      </c>
      <c r="D52" s="58">
        <f>SUM(C52/C55)</f>
        <v>0.16609230891814905</v>
      </c>
    </row>
    <row r="53" spans="2:21" x14ac:dyDescent="0.25">
      <c r="B53" s="39" t="s">
        <v>35</v>
      </c>
      <c r="C53" s="89">
        <f>GETPIVOTDATA("Sum of TOTAL FIELD",'Pivot Table'!$A$4,"DAY","Sat")+GETPIVOTDATA("Sum of TOTAL FIELD",'Pivot Table'!$A$16,"DAY","Sat")+GETPIVOTDATA("Sum of TOTAL FIELD",'Pivot Table'!$A$28,"DAY","Sat")+GETPIVOTDATA("Sum of TOTAL FIELD",'Pivot Table'!$A$40,"DAY","Sat")+GETPIVOTDATA("Sum of TOTAL FIELD",'Pivot Table'!$A$52,"DAY","Sat")+GETPIVOTDATA("Sum of TOTAL FIELD",'Pivot Table'!$A$64,"DAY","Sat")+GETPIVOTDATA("Sum of TOTAL FIELD",'Pivot Table'!$A$76,"DAY","Sat")+GETPIVOTDATA("Sum of TOTAL FIELD",'Pivot Table'!$A$88,"DAY","Sat")+GETPIVOTDATA("Sum of TOTAL FIELD",'Pivot Table'!$A$100,"DAY","Sat")+GETPIVOTDATA("Sum of TOTAL FIELD",'Pivot Table'!$A$112,"DAY","Sat")+GETPIVOTDATA("Sum of TOTAL FIELD",'Pivot Table'!$A$124,"DAY","Sat")+GETPIVOTDATA("Sum of TOTAL FIELD",'Pivot Table'!$A$136,"DAY","Sat")</f>
        <v>7620</v>
      </c>
      <c r="D53" s="58">
        <f>SUM(C53/C55)</f>
        <v>0.15178980498396447</v>
      </c>
      <c r="F53" s="60"/>
      <c r="I53" s="60"/>
      <c r="L53" s="60"/>
      <c r="O53" s="60"/>
      <c r="R53" s="60"/>
      <c r="U53" s="60"/>
    </row>
    <row r="54" spans="2:21" x14ac:dyDescent="0.25">
      <c r="B54" s="39" t="s">
        <v>37</v>
      </c>
      <c r="C54" s="89">
        <f>GETPIVOTDATA("Sum of TOTAL FIELD",'Pivot Table'!$A$4,"DAY","Sun")+GETPIVOTDATA("Sum of TOTAL FIELD",'Pivot Table'!$A$16,"DAY","Sun")+GETPIVOTDATA("Sum of TOTAL FIELD",'Pivot Table'!$A$28,"DAY","Sun")+GETPIVOTDATA("Sum of TOTAL FIELD",'Pivot Table'!$A$40,"DAY","Sun")+GETPIVOTDATA("Sum of TOTAL FIELD",'Pivot Table'!$A$52,"DAY","Sun")+GETPIVOTDATA("Sum of TOTAL FIELD",'Pivot Table'!$A$64,"DAY","Sun")+GETPIVOTDATA("Sum of TOTAL FIELD",'Pivot Table'!$A$76,"DAY","Sun")+GETPIVOTDATA("Sum of TOTAL FIELD",'Pivot Table'!$A$88,"DAY","Sun")+GETPIVOTDATA("Sum of TOTAL FIELD",'Pivot Table'!$A$100,"DAY","Sun")+GETPIVOTDATA("Sum of TOTAL FIELD",'Pivot Table'!$A$112,"DAY","Sun")+GETPIVOTDATA("Sum of TOTAL FIELD",'Pivot Table'!$A$124,"DAY","Sun")+GETPIVOTDATA("Sum of TOTAL FIELD",'Pivot Table'!$A$136,"DAY","Sun")</f>
        <v>8118</v>
      </c>
      <c r="D54" s="58">
        <f>SUM(C54/C55)</f>
        <v>0.1617099260970897</v>
      </c>
      <c r="F54" s="60"/>
      <c r="I54" s="60"/>
      <c r="L54" s="60"/>
      <c r="O54" s="60"/>
      <c r="R54" s="60"/>
      <c r="U54" s="60"/>
    </row>
    <row r="55" spans="2:21" x14ac:dyDescent="0.25">
      <c r="B55" s="39" t="s">
        <v>113</v>
      </c>
      <c r="C55" s="89">
        <f>SUM(C48:C54)</f>
        <v>50201</v>
      </c>
      <c r="D55" s="90">
        <f>SUM(D48:D54)</f>
        <v>1</v>
      </c>
      <c r="F55" s="60"/>
      <c r="I55" s="60"/>
      <c r="L55" s="60"/>
      <c r="O55" s="60"/>
      <c r="R55" s="60"/>
      <c r="U55" s="60"/>
    </row>
    <row r="56" spans="2:21" x14ac:dyDescent="0.25">
      <c r="C56" s="60"/>
      <c r="F56" s="60"/>
      <c r="I56" s="60"/>
      <c r="L56" s="60"/>
      <c r="O56" s="60"/>
      <c r="R56" s="60"/>
      <c r="U56" s="60"/>
    </row>
    <row r="57" spans="2:21" x14ac:dyDescent="0.25">
      <c r="B57" s="61"/>
      <c r="C57" s="60"/>
      <c r="E57" s="61"/>
      <c r="F57" s="60"/>
      <c r="H57" s="61"/>
      <c r="I57" s="60"/>
      <c r="K57" s="61"/>
      <c r="L57" s="60"/>
      <c r="N57" s="61"/>
      <c r="O57" s="60"/>
      <c r="Q57" s="61"/>
      <c r="R57" s="60"/>
      <c r="T57" s="61"/>
      <c r="U57" s="60"/>
    </row>
    <row r="58" spans="2:21" x14ac:dyDescent="0.25">
      <c r="B58" s="62"/>
      <c r="C58" s="60"/>
      <c r="E58" s="62"/>
      <c r="F58" s="60"/>
      <c r="H58" s="62"/>
      <c r="I58" s="60"/>
      <c r="K58" s="62"/>
      <c r="L58" s="60"/>
      <c r="N58" s="62"/>
      <c r="O58" s="60"/>
      <c r="Q58" s="62"/>
      <c r="R58" s="60"/>
      <c r="T58" s="62"/>
      <c r="U58" s="60"/>
    </row>
    <row r="59" spans="2:21" x14ac:dyDescent="0.25">
      <c r="C59" s="60"/>
      <c r="F59" s="60"/>
      <c r="I59" s="60"/>
      <c r="L59" s="60"/>
      <c r="O59" s="60"/>
      <c r="R59" s="60"/>
      <c r="U59" s="60"/>
    </row>
    <row r="60" spans="2:21" x14ac:dyDescent="0.25">
      <c r="C60" s="60"/>
      <c r="F60" s="60"/>
      <c r="I60" s="60"/>
      <c r="L60" s="60"/>
      <c r="O60" s="60"/>
      <c r="R60" s="60"/>
      <c r="U60" s="60"/>
    </row>
    <row r="61" spans="2:21" x14ac:dyDescent="0.25">
      <c r="C61" s="60"/>
      <c r="F61" s="60"/>
      <c r="I61" s="60"/>
      <c r="L61" s="60"/>
      <c r="O61" s="60"/>
      <c r="R61" s="60"/>
      <c r="U61" s="60"/>
    </row>
    <row r="62" spans="2:21" x14ac:dyDescent="0.25">
      <c r="C62" s="60"/>
      <c r="F62" s="60"/>
      <c r="I62" s="60"/>
      <c r="L62" s="60"/>
      <c r="O62" s="60"/>
      <c r="R62" s="60"/>
      <c r="U62" s="60"/>
    </row>
    <row r="63" spans="2:21" x14ac:dyDescent="0.25">
      <c r="C63" s="60"/>
      <c r="F63" s="60"/>
      <c r="I63" s="60"/>
      <c r="L63" s="60"/>
      <c r="O63" s="60"/>
      <c r="R63" s="60"/>
      <c r="U63" s="60"/>
    </row>
    <row r="64" spans="2:21" x14ac:dyDescent="0.25">
      <c r="B64" s="62"/>
      <c r="C64" s="60"/>
      <c r="E64" s="62"/>
      <c r="F64" s="60"/>
      <c r="H64" s="62"/>
      <c r="I64" s="60"/>
      <c r="K64" s="62"/>
      <c r="L64" s="60"/>
      <c r="N64" s="62"/>
      <c r="O64" s="60"/>
      <c r="Q64" s="62"/>
      <c r="R64" s="60"/>
      <c r="T64" s="62"/>
      <c r="U64" s="60"/>
    </row>
    <row r="65" spans="3:21" x14ac:dyDescent="0.25">
      <c r="C65" s="60"/>
      <c r="F65" s="60"/>
      <c r="I65" s="60"/>
      <c r="L65" s="60"/>
      <c r="O65" s="60"/>
      <c r="R65" s="60"/>
      <c r="U65" s="60"/>
    </row>
    <row r="66" spans="3:21" x14ac:dyDescent="0.25">
      <c r="C66" s="60"/>
      <c r="F66" s="60"/>
      <c r="I66" s="60"/>
      <c r="L66" s="60"/>
      <c r="O66" s="60"/>
      <c r="R66" s="60"/>
      <c r="U66" s="60"/>
    </row>
    <row r="67" spans="3:21" x14ac:dyDescent="0.25">
      <c r="C67" s="60"/>
      <c r="F67" s="60"/>
      <c r="I67" s="60"/>
      <c r="L67" s="60"/>
      <c r="O67" s="60"/>
      <c r="R67" s="60"/>
      <c r="U67" s="60"/>
    </row>
    <row r="68" spans="3:21" x14ac:dyDescent="0.25">
      <c r="C68" s="60"/>
      <c r="F68" s="60"/>
      <c r="I68" s="60"/>
      <c r="L68" s="60"/>
      <c r="O68" s="60"/>
      <c r="R68" s="60"/>
      <c r="U68" s="60"/>
    </row>
    <row r="69" spans="3:21" x14ac:dyDescent="0.25">
      <c r="C69" s="60"/>
      <c r="F69" s="60"/>
      <c r="I69" s="60"/>
      <c r="L69" s="60"/>
      <c r="O69" s="60"/>
      <c r="R69" s="60"/>
      <c r="U69" s="60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A725-303B-4D61-A2BB-0E5513FABA81}">
  <dimension ref="B2:W51"/>
  <sheetViews>
    <sheetView showGridLines="0" workbookViewId="0">
      <selection activeCell="Y5" sqref="Y5"/>
    </sheetView>
  </sheetViews>
  <sheetFormatPr defaultRowHeight="16.5" x14ac:dyDescent="0.25"/>
  <cols>
    <col min="1" max="1" width="9.140625" style="6"/>
    <col min="2" max="2" width="12.7109375" style="6" bestFit="1" customWidth="1"/>
    <col min="3" max="3" width="10.42578125" style="6" bestFit="1" customWidth="1"/>
    <col min="4" max="4" width="11.42578125" style="6" bestFit="1" customWidth="1"/>
    <col min="5" max="5" width="12.140625" style="6" bestFit="1" customWidth="1"/>
    <col min="6" max="6" width="5.140625" style="6" bestFit="1" customWidth="1"/>
    <col min="7" max="7" width="4.5703125" style="6" bestFit="1" customWidth="1"/>
    <col min="8" max="8" width="12.7109375" style="6" bestFit="1" customWidth="1"/>
    <col min="9" max="9" width="10.42578125" style="6" bestFit="1" customWidth="1"/>
    <col min="10" max="10" width="11.42578125" style="6" bestFit="1" customWidth="1"/>
    <col min="11" max="11" width="12.140625" style="6" bestFit="1" customWidth="1"/>
    <col min="12" max="12" width="8" style="6" bestFit="1" customWidth="1"/>
    <col min="13" max="13" width="10" style="6" bestFit="1" customWidth="1"/>
    <col min="14" max="14" width="12.7109375" style="6" bestFit="1" customWidth="1"/>
    <col min="15" max="15" width="10.42578125" style="6" bestFit="1" customWidth="1"/>
    <col min="16" max="16" width="11.42578125" style="6" bestFit="1" customWidth="1"/>
    <col min="17" max="17" width="12.140625" style="6" bestFit="1" customWidth="1"/>
    <col min="18" max="19" width="9.140625" style="6"/>
    <col min="20" max="20" width="12.7109375" style="6" bestFit="1" customWidth="1"/>
    <col min="21" max="21" width="10.42578125" style="6" bestFit="1" customWidth="1"/>
    <col min="22" max="22" width="11.42578125" style="6" bestFit="1" customWidth="1"/>
    <col min="23" max="23" width="12.140625" style="6" bestFit="1" customWidth="1"/>
    <col min="24" max="16384" width="9.140625" style="6"/>
  </cols>
  <sheetData>
    <row r="2" spans="2:23" x14ac:dyDescent="0.25">
      <c r="B2" s="106" t="s">
        <v>8</v>
      </c>
      <c r="C2" s="107"/>
      <c r="D2" s="107"/>
      <c r="E2" s="108"/>
      <c r="H2" s="106" t="s">
        <v>81</v>
      </c>
      <c r="I2" s="107"/>
      <c r="J2" s="107"/>
      <c r="K2" s="108"/>
      <c r="N2" s="106" t="s">
        <v>9</v>
      </c>
      <c r="O2" s="107"/>
      <c r="P2" s="107"/>
      <c r="Q2" s="108"/>
      <c r="T2" s="106" t="s">
        <v>10</v>
      </c>
      <c r="U2" s="107"/>
      <c r="V2" s="107"/>
      <c r="W2" s="108"/>
    </row>
    <row r="3" spans="2:23" x14ac:dyDescent="0.25">
      <c r="B3" s="109"/>
      <c r="C3" s="110"/>
      <c r="D3" s="110"/>
      <c r="E3" s="111"/>
      <c r="H3" s="109"/>
      <c r="I3" s="110"/>
      <c r="J3" s="110"/>
      <c r="K3" s="111"/>
      <c r="N3" s="109"/>
      <c r="O3" s="110"/>
      <c r="P3" s="110"/>
      <c r="Q3" s="111"/>
      <c r="T3" s="109"/>
      <c r="U3" s="110"/>
      <c r="V3" s="110"/>
      <c r="W3" s="111"/>
    </row>
    <row r="5" spans="2:23" x14ac:dyDescent="0.25">
      <c r="B5" s="39"/>
      <c r="C5" s="91" t="s">
        <v>18</v>
      </c>
      <c r="D5" s="91" t="s">
        <v>3</v>
      </c>
      <c r="E5" s="91" t="s">
        <v>116</v>
      </c>
      <c r="F5" s="92"/>
      <c r="G5" s="92"/>
      <c r="H5" s="39"/>
      <c r="I5" s="91" t="s">
        <v>18</v>
      </c>
      <c r="J5" s="91" t="s">
        <v>3</v>
      </c>
      <c r="K5" s="91" t="s">
        <v>116</v>
      </c>
      <c r="L5" s="92"/>
      <c r="M5" s="92"/>
      <c r="N5" s="39"/>
      <c r="O5" s="91" t="s">
        <v>18</v>
      </c>
      <c r="P5" s="91" t="s">
        <v>3</v>
      </c>
      <c r="Q5" s="91" t="s">
        <v>116</v>
      </c>
      <c r="T5" s="39"/>
      <c r="U5" s="91" t="s">
        <v>18</v>
      </c>
      <c r="V5" s="91" t="s">
        <v>3</v>
      </c>
      <c r="W5" s="91" t="s">
        <v>116</v>
      </c>
    </row>
    <row r="6" spans="2:23" x14ac:dyDescent="0.25">
      <c r="B6" s="39" t="s">
        <v>22</v>
      </c>
      <c r="C6" s="39">
        <v>615</v>
      </c>
      <c r="D6" s="112">
        <v>4605</v>
      </c>
      <c r="E6" s="58">
        <f>SUM(C6/D6)</f>
        <v>0.13355048859934854</v>
      </c>
      <c r="H6" s="39" t="s">
        <v>22</v>
      </c>
      <c r="I6" s="39">
        <v>466</v>
      </c>
      <c r="J6" s="112">
        <v>4410</v>
      </c>
      <c r="K6" s="58">
        <f>SUM(I6/J6)</f>
        <v>0.10566893424036281</v>
      </c>
      <c r="N6" s="39" t="s">
        <v>22</v>
      </c>
      <c r="O6" s="39">
        <v>470</v>
      </c>
      <c r="P6" s="112">
        <v>4414</v>
      </c>
      <c r="Q6" s="58">
        <f>SUM(O6/P6)</f>
        <v>0.10647938377888537</v>
      </c>
      <c r="T6" s="39" t="s">
        <v>22</v>
      </c>
      <c r="U6" s="39">
        <v>571</v>
      </c>
      <c r="V6" s="112">
        <v>4400</v>
      </c>
      <c r="W6" s="58">
        <f>SUM(U6/V6)</f>
        <v>0.12977272727272726</v>
      </c>
    </row>
    <row r="7" spans="2:23" x14ac:dyDescent="0.25">
      <c r="B7" s="39" t="s">
        <v>27</v>
      </c>
      <c r="C7" s="39">
        <v>533</v>
      </c>
      <c r="D7" s="112"/>
      <c r="E7" s="58">
        <f>SUM(C7/D6)</f>
        <v>0.11574375678610206</v>
      </c>
      <c r="H7" s="39" t="s">
        <v>27</v>
      </c>
      <c r="I7" s="39">
        <v>474</v>
      </c>
      <c r="J7" s="112"/>
      <c r="K7" s="58">
        <f>SUM(I7/J6)</f>
        <v>0.10748299319727891</v>
      </c>
      <c r="N7" s="39" t="s">
        <v>27</v>
      </c>
      <c r="O7" s="39">
        <v>480</v>
      </c>
      <c r="P7" s="112"/>
      <c r="Q7" s="58">
        <f>SUM(O7/P6)</f>
        <v>0.10874490258269144</v>
      </c>
      <c r="T7" s="39" t="s">
        <v>27</v>
      </c>
      <c r="U7" s="39">
        <v>549</v>
      </c>
      <c r="V7" s="112"/>
      <c r="W7" s="58">
        <f>SUM(U7/V6)</f>
        <v>0.12477272727272727</v>
      </c>
    </row>
    <row r="8" spans="2:23" x14ac:dyDescent="0.25">
      <c r="B8" s="39" t="s">
        <v>29</v>
      </c>
      <c r="C8" s="39">
        <v>823</v>
      </c>
      <c r="D8" s="112"/>
      <c r="E8" s="93">
        <f>SUM(C8/D6)</f>
        <v>0.17871878393051033</v>
      </c>
      <c r="H8" s="39" t="s">
        <v>29</v>
      </c>
      <c r="I8" s="39">
        <v>648</v>
      </c>
      <c r="J8" s="112"/>
      <c r="K8" s="94">
        <f>SUM(I8/J6)</f>
        <v>0.14693877551020409</v>
      </c>
      <c r="N8" s="39" t="s">
        <v>29</v>
      </c>
      <c r="O8" s="39">
        <v>569</v>
      </c>
      <c r="P8" s="112"/>
      <c r="Q8" s="94">
        <f>SUM(O8/P6)</f>
        <v>0.12890801993656548</v>
      </c>
      <c r="T8" s="39" t="s">
        <v>29</v>
      </c>
      <c r="U8" s="39">
        <v>641</v>
      </c>
      <c r="V8" s="112"/>
      <c r="W8" s="94">
        <f>SUM(U8/V6)</f>
        <v>0.14568181818181819</v>
      </c>
    </row>
    <row r="9" spans="2:23" x14ac:dyDescent="0.25">
      <c r="B9" s="39" t="s">
        <v>31</v>
      </c>
      <c r="C9" s="39">
        <v>624</v>
      </c>
      <c r="D9" s="112"/>
      <c r="E9" s="58">
        <f>SUM(C9/D6)</f>
        <v>0.13550488599348534</v>
      </c>
      <c r="H9" s="39" t="s">
        <v>31</v>
      </c>
      <c r="I9" s="39">
        <v>768</v>
      </c>
      <c r="J9" s="112"/>
      <c r="K9" s="93">
        <f>SUM(I9/J6)</f>
        <v>0.17414965986394557</v>
      </c>
      <c r="N9" s="39" t="s">
        <v>31</v>
      </c>
      <c r="O9" s="39">
        <v>605</v>
      </c>
      <c r="P9" s="112"/>
      <c r="Q9" s="58">
        <f>SUM(O9/P6)</f>
        <v>0.13706388763026733</v>
      </c>
      <c r="T9" s="39" t="s">
        <v>31</v>
      </c>
      <c r="U9" s="39">
        <v>686</v>
      </c>
      <c r="V9" s="112"/>
      <c r="W9" s="93">
        <f>SUM(U9/V6)</f>
        <v>0.15590909090909091</v>
      </c>
    </row>
    <row r="10" spans="2:23" x14ac:dyDescent="0.25">
      <c r="B10" s="39" t="s">
        <v>33</v>
      </c>
      <c r="C10" s="39">
        <v>686</v>
      </c>
      <c r="D10" s="112"/>
      <c r="E10" s="58">
        <f>SUM(C10/D6)</f>
        <v>0.14896851248642778</v>
      </c>
      <c r="H10" s="39" t="s">
        <v>33</v>
      </c>
      <c r="I10" s="39">
        <v>698</v>
      </c>
      <c r="J10" s="112"/>
      <c r="K10" s="58">
        <f>SUM(I10/J6)</f>
        <v>0.15827664399092969</v>
      </c>
      <c r="N10" s="39" t="s">
        <v>33</v>
      </c>
      <c r="O10" s="39">
        <v>942</v>
      </c>
      <c r="P10" s="112"/>
      <c r="Q10" s="93">
        <f>SUM(O10/P6)</f>
        <v>0.21341187131853195</v>
      </c>
      <c r="T10" s="39" t="s">
        <v>33</v>
      </c>
      <c r="U10" s="39">
        <v>682</v>
      </c>
      <c r="V10" s="112"/>
      <c r="W10" s="58">
        <f>SUM(U10/V6)</f>
        <v>0.155</v>
      </c>
    </row>
    <row r="11" spans="2:23" x14ac:dyDescent="0.25">
      <c r="B11" s="39" t="s">
        <v>35</v>
      </c>
      <c r="C11" s="39">
        <v>614</v>
      </c>
      <c r="D11" s="112"/>
      <c r="E11" s="58">
        <f>SUM(C11/D6)</f>
        <v>0.13333333333333333</v>
      </c>
      <c r="H11" s="39" t="s">
        <v>35</v>
      </c>
      <c r="I11" s="39">
        <v>677</v>
      </c>
      <c r="J11" s="112"/>
      <c r="K11" s="58">
        <f>SUM(I11/J6)</f>
        <v>0.15351473922902495</v>
      </c>
      <c r="N11" s="39" t="s">
        <v>35</v>
      </c>
      <c r="O11" s="39">
        <v>694</v>
      </c>
      <c r="P11" s="112"/>
      <c r="Q11" s="58">
        <f>SUM(O11/P6)</f>
        <v>0.15722700498414136</v>
      </c>
      <c r="T11" s="39" t="s">
        <v>35</v>
      </c>
      <c r="U11" s="39">
        <v>611</v>
      </c>
      <c r="V11" s="112"/>
      <c r="W11" s="58">
        <f>SUM(U11/V6)</f>
        <v>0.13886363636363636</v>
      </c>
    </row>
    <row r="12" spans="2:23" x14ac:dyDescent="0.25">
      <c r="B12" s="39" t="s">
        <v>37</v>
      </c>
      <c r="C12" s="39">
        <v>710</v>
      </c>
      <c r="D12" s="112"/>
      <c r="E12" s="58">
        <f>SUM(C12/D6)</f>
        <v>0.15418023887079263</v>
      </c>
      <c r="H12" s="39" t="s">
        <v>37</v>
      </c>
      <c r="I12" s="39">
        <v>679</v>
      </c>
      <c r="J12" s="112"/>
      <c r="K12" s="58">
        <f>SUM(I12/J6)</f>
        <v>0.15396825396825398</v>
      </c>
      <c r="N12" s="39" t="s">
        <v>37</v>
      </c>
      <c r="O12" s="39">
        <v>654</v>
      </c>
      <c r="P12" s="112"/>
      <c r="Q12" s="58">
        <f>SUM(O12/P6)</f>
        <v>0.14816492976891707</v>
      </c>
      <c r="T12" s="39" t="s">
        <v>37</v>
      </c>
      <c r="U12" s="39">
        <v>660</v>
      </c>
      <c r="V12" s="112"/>
      <c r="W12" s="94">
        <f>SUM(U12/V6)</f>
        <v>0.15</v>
      </c>
    </row>
    <row r="15" spans="2:23" x14ac:dyDescent="0.25">
      <c r="B15" s="106" t="s">
        <v>11</v>
      </c>
      <c r="C15" s="107"/>
      <c r="D15" s="107"/>
      <c r="E15" s="108"/>
      <c r="H15" s="106" t="s">
        <v>12</v>
      </c>
      <c r="I15" s="107"/>
      <c r="J15" s="107"/>
      <c r="K15" s="108"/>
      <c r="N15" s="106" t="s">
        <v>13</v>
      </c>
      <c r="O15" s="107"/>
      <c r="P15" s="107"/>
      <c r="Q15" s="108"/>
      <c r="T15" s="106" t="s">
        <v>14</v>
      </c>
      <c r="U15" s="107"/>
      <c r="V15" s="107"/>
      <c r="W15" s="108"/>
    </row>
    <row r="16" spans="2:23" x14ac:dyDescent="0.25">
      <c r="B16" s="109"/>
      <c r="C16" s="110"/>
      <c r="D16" s="110"/>
      <c r="E16" s="111"/>
      <c r="H16" s="109"/>
      <c r="I16" s="110"/>
      <c r="J16" s="110"/>
      <c r="K16" s="111"/>
      <c r="N16" s="109"/>
      <c r="O16" s="110"/>
      <c r="P16" s="110"/>
      <c r="Q16" s="111"/>
      <c r="T16" s="109"/>
      <c r="U16" s="110"/>
      <c r="V16" s="110"/>
      <c r="W16" s="111"/>
    </row>
    <row r="18" spans="2:23" x14ac:dyDescent="0.25">
      <c r="B18" s="39"/>
      <c r="C18" s="91" t="s">
        <v>18</v>
      </c>
      <c r="D18" s="91" t="s">
        <v>3</v>
      </c>
      <c r="E18" s="91" t="s">
        <v>116</v>
      </c>
      <c r="H18" s="39"/>
      <c r="I18" s="91" t="s">
        <v>18</v>
      </c>
      <c r="J18" s="91" t="s">
        <v>3</v>
      </c>
      <c r="K18" s="91" t="s">
        <v>116</v>
      </c>
      <c r="N18" s="39"/>
      <c r="O18" s="91" t="s">
        <v>18</v>
      </c>
      <c r="P18" s="91" t="s">
        <v>3</v>
      </c>
      <c r="Q18" s="91" t="s">
        <v>116</v>
      </c>
      <c r="T18" s="39"/>
      <c r="U18" s="91" t="s">
        <v>18</v>
      </c>
      <c r="V18" s="91" t="s">
        <v>3</v>
      </c>
      <c r="W18" s="91" t="s">
        <v>116</v>
      </c>
    </row>
    <row r="19" spans="2:23" x14ac:dyDescent="0.25">
      <c r="B19" s="39" t="s">
        <v>22</v>
      </c>
      <c r="C19" s="39">
        <v>456</v>
      </c>
      <c r="D19" s="112">
        <v>4660</v>
      </c>
      <c r="E19" s="58">
        <f>SUM(C19/D19)</f>
        <v>9.7854077253218888E-2</v>
      </c>
      <c r="H19" s="39" t="s">
        <v>22</v>
      </c>
      <c r="I19" s="39">
        <v>458</v>
      </c>
      <c r="J19" s="112">
        <v>3913</v>
      </c>
      <c r="K19" s="58">
        <f>SUM(I19/J19)</f>
        <v>0.1170457449527217</v>
      </c>
      <c r="N19" s="39" t="s">
        <v>22</v>
      </c>
      <c r="O19" s="39">
        <v>476</v>
      </c>
      <c r="P19" s="112">
        <v>3750</v>
      </c>
      <c r="Q19" s="58">
        <f>SUM(O19/P19)</f>
        <v>0.12693333333333334</v>
      </c>
      <c r="T19" s="39" t="s">
        <v>22</v>
      </c>
      <c r="U19" s="39">
        <v>351</v>
      </c>
      <c r="V19" s="112">
        <v>4055</v>
      </c>
      <c r="W19" s="58">
        <f>SUM(U19/V19)</f>
        <v>8.6559802712700376E-2</v>
      </c>
    </row>
    <row r="20" spans="2:23" x14ac:dyDescent="0.25">
      <c r="B20" s="39" t="s">
        <v>27</v>
      </c>
      <c r="C20" s="39">
        <v>489</v>
      </c>
      <c r="D20" s="112"/>
      <c r="E20" s="58">
        <f>SUM(C20/D19)</f>
        <v>0.10493562231759657</v>
      </c>
      <c r="H20" s="39" t="s">
        <v>27</v>
      </c>
      <c r="I20" s="39">
        <v>346</v>
      </c>
      <c r="J20" s="112"/>
      <c r="K20" s="58">
        <f>SUM(I20/J19)</f>
        <v>8.8423204702274466E-2</v>
      </c>
      <c r="N20" s="39" t="s">
        <v>27</v>
      </c>
      <c r="O20" s="39">
        <v>464</v>
      </c>
      <c r="P20" s="112"/>
      <c r="Q20" s="58">
        <f>SUM(O20/P19)</f>
        <v>0.12373333333333333</v>
      </c>
      <c r="T20" s="39" t="s">
        <v>27</v>
      </c>
      <c r="U20" s="39">
        <v>434</v>
      </c>
      <c r="V20" s="112"/>
      <c r="W20" s="58">
        <f>SUM(U20/V19)</f>
        <v>0.10702836004932183</v>
      </c>
    </row>
    <row r="21" spans="2:23" x14ac:dyDescent="0.25">
      <c r="B21" s="39" t="s">
        <v>29</v>
      </c>
      <c r="C21" s="39">
        <v>718</v>
      </c>
      <c r="D21" s="112"/>
      <c r="E21" s="94">
        <f>SUM(C21/D19)</f>
        <v>0.15407725321888413</v>
      </c>
      <c r="H21" s="39" t="s">
        <v>29</v>
      </c>
      <c r="I21" s="39">
        <v>534</v>
      </c>
      <c r="J21" s="112"/>
      <c r="K21" s="94">
        <f>SUM(I21/J19)</f>
        <v>0.13646818297981089</v>
      </c>
      <c r="N21" s="39" t="s">
        <v>29</v>
      </c>
      <c r="O21" s="39">
        <v>553</v>
      </c>
      <c r="P21" s="112"/>
      <c r="Q21" s="94">
        <f>SUM(O21/P19)</f>
        <v>0.14746666666666666</v>
      </c>
      <c r="T21" s="39" t="s">
        <v>29</v>
      </c>
      <c r="U21" s="39">
        <v>406</v>
      </c>
      <c r="V21" s="112"/>
      <c r="W21" s="95">
        <f>SUM(U21/V19)</f>
        <v>0.1001233045622688</v>
      </c>
    </row>
    <row r="22" spans="2:23" x14ac:dyDescent="0.25">
      <c r="B22" s="39" t="s">
        <v>31</v>
      </c>
      <c r="C22" s="39">
        <v>768</v>
      </c>
      <c r="D22" s="112"/>
      <c r="E22" s="58">
        <f>SUM(C22/D19)</f>
        <v>0.1648068669527897</v>
      </c>
      <c r="H22" s="39" t="s">
        <v>31</v>
      </c>
      <c r="I22" s="39">
        <v>572</v>
      </c>
      <c r="J22" s="112"/>
      <c r="K22" s="58">
        <f>SUM(I22/J19)</f>
        <v>0.1461794019933555</v>
      </c>
      <c r="N22" s="39" t="s">
        <v>31</v>
      </c>
      <c r="O22" s="39">
        <v>517</v>
      </c>
      <c r="P22" s="112"/>
      <c r="Q22" s="58">
        <f>SUM(O22/P19)</f>
        <v>0.13786666666666667</v>
      </c>
      <c r="T22" s="39" t="s">
        <v>31</v>
      </c>
      <c r="U22" s="39">
        <v>701</v>
      </c>
      <c r="V22" s="112"/>
      <c r="W22" s="58">
        <f>SUM(U22/V19)</f>
        <v>0.17287299630086314</v>
      </c>
    </row>
    <row r="23" spans="2:23" x14ac:dyDescent="0.25">
      <c r="B23" s="39" t="s">
        <v>33</v>
      </c>
      <c r="C23" s="39">
        <v>865</v>
      </c>
      <c r="D23" s="112"/>
      <c r="E23" s="93">
        <f>SUM(C23/D19)</f>
        <v>0.18562231759656653</v>
      </c>
      <c r="H23" s="39" t="s">
        <v>33</v>
      </c>
      <c r="I23" s="39">
        <v>604</v>
      </c>
      <c r="J23" s="112"/>
      <c r="K23" s="58">
        <f>SUM(I23/J19)</f>
        <v>0.15435727063634042</v>
      </c>
      <c r="N23" s="39" t="s">
        <v>33</v>
      </c>
      <c r="O23" s="39">
        <v>613</v>
      </c>
      <c r="P23" s="112"/>
      <c r="Q23" s="58">
        <f>SUM(O23/P19)</f>
        <v>0.16346666666666668</v>
      </c>
      <c r="T23" s="39" t="s">
        <v>33</v>
      </c>
      <c r="U23" s="39">
        <v>712</v>
      </c>
      <c r="V23" s="112"/>
      <c r="W23" s="58">
        <f>SUM(U23/V19)</f>
        <v>0.17558569667077681</v>
      </c>
    </row>
    <row r="24" spans="2:23" x14ac:dyDescent="0.25">
      <c r="B24" s="39" t="s">
        <v>35</v>
      </c>
      <c r="C24" s="39">
        <v>651</v>
      </c>
      <c r="D24" s="112"/>
      <c r="E24" s="58">
        <f>SUM(C24/D19)</f>
        <v>0.13969957081545065</v>
      </c>
      <c r="H24" s="39" t="s">
        <v>35</v>
      </c>
      <c r="I24" s="39">
        <v>607</v>
      </c>
      <c r="J24" s="112"/>
      <c r="K24" s="58">
        <f>SUM(I24/J19)</f>
        <v>0.15512394582162023</v>
      </c>
      <c r="N24" s="39" t="s">
        <v>35</v>
      </c>
      <c r="O24" s="39">
        <v>512</v>
      </c>
      <c r="P24" s="112"/>
      <c r="Q24" s="58">
        <f>SUM(O24/P19)</f>
        <v>0.13653333333333334</v>
      </c>
      <c r="T24" s="39" t="s">
        <v>35</v>
      </c>
      <c r="U24" s="39">
        <v>787</v>
      </c>
      <c r="V24" s="112"/>
      <c r="W24" s="93">
        <f>SUM(U24/V19)</f>
        <v>0.1940813810110974</v>
      </c>
    </row>
    <row r="25" spans="2:23" x14ac:dyDescent="0.25">
      <c r="B25" s="39" t="s">
        <v>37</v>
      </c>
      <c r="C25" s="39">
        <v>713</v>
      </c>
      <c r="D25" s="112"/>
      <c r="E25" s="58">
        <f>SUM(C25/D19)</f>
        <v>0.15300429184549355</v>
      </c>
      <c r="H25" s="39" t="s">
        <v>37</v>
      </c>
      <c r="I25" s="39">
        <v>792</v>
      </c>
      <c r="J25" s="112"/>
      <c r="K25" s="93">
        <f>SUM(I25/J19)</f>
        <v>0.20240224891387681</v>
      </c>
      <c r="N25" s="39" t="s">
        <v>37</v>
      </c>
      <c r="O25" s="39">
        <v>615</v>
      </c>
      <c r="P25" s="112"/>
      <c r="Q25" s="93">
        <f>SUM(O25/P19)</f>
        <v>0.16400000000000001</v>
      </c>
      <c r="T25" s="39" t="s">
        <v>37</v>
      </c>
      <c r="U25" s="39">
        <v>664</v>
      </c>
      <c r="V25" s="112"/>
      <c r="W25" s="58">
        <f>SUM(U25/V19)</f>
        <v>0.16374845869297164</v>
      </c>
    </row>
    <row r="28" spans="2:23" x14ac:dyDescent="0.25">
      <c r="B28" s="106" t="s">
        <v>15</v>
      </c>
      <c r="C28" s="107"/>
      <c r="D28" s="107"/>
      <c r="E28" s="108"/>
      <c r="H28" s="106" t="s">
        <v>16</v>
      </c>
      <c r="I28" s="107"/>
      <c r="J28" s="107"/>
      <c r="K28" s="108"/>
      <c r="N28" s="106" t="s">
        <v>66</v>
      </c>
      <c r="O28" s="107"/>
      <c r="P28" s="107"/>
      <c r="Q28" s="108"/>
      <c r="T28" s="106" t="s">
        <v>17</v>
      </c>
      <c r="U28" s="107"/>
      <c r="V28" s="107"/>
      <c r="W28" s="108"/>
    </row>
    <row r="29" spans="2:23" x14ac:dyDescent="0.25">
      <c r="B29" s="109"/>
      <c r="C29" s="110"/>
      <c r="D29" s="110"/>
      <c r="E29" s="111"/>
      <c r="H29" s="109"/>
      <c r="I29" s="110"/>
      <c r="J29" s="110"/>
      <c r="K29" s="111"/>
      <c r="N29" s="109"/>
      <c r="O29" s="110"/>
      <c r="P29" s="110"/>
      <c r="Q29" s="111"/>
      <c r="T29" s="109"/>
      <c r="U29" s="110"/>
      <c r="V29" s="110"/>
      <c r="W29" s="111"/>
    </row>
    <row r="30" spans="2:23" ht="22.5" x14ac:dyDescent="0.25">
      <c r="B30" s="10"/>
      <c r="C30" s="10"/>
      <c r="D30" s="10"/>
      <c r="E30" s="10"/>
      <c r="H30" s="10"/>
      <c r="I30" s="10"/>
      <c r="J30" s="10"/>
      <c r="K30" s="10"/>
      <c r="N30" s="10"/>
      <c r="O30" s="10"/>
      <c r="P30" s="10"/>
      <c r="Q30" s="10"/>
      <c r="T30" s="10"/>
      <c r="U30" s="10"/>
      <c r="V30" s="10"/>
      <c r="W30" s="10"/>
    </row>
    <row r="32" spans="2:23" x14ac:dyDescent="0.25">
      <c r="B32" s="39"/>
      <c r="C32" s="91" t="s">
        <v>18</v>
      </c>
      <c r="D32" s="91" t="s">
        <v>3</v>
      </c>
      <c r="E32" s="91" t="s">
        <v>116</v>
      </c>
      <c r="H32" s="39"/>
      <c r="I32" s="91" t="s">
        <v>18</v>
      </c>
      <c r="J32" s="91" t="s">
        <v>3</v>
      </c>
      <c r="K32" s="91" t="s">
        <v>116</v>
      </c>
      <c r="N32" s="39"/>
      <c r="O32" s="91" t="s">
        <v>18</v>
      </c>
      <c r="P32" s="91" t="s">
        <v>3</v>
      </c>
      <c r="Q32" s="91" t="s">
        <v>116</v>
      </c>
      <c r="T32" s="39"/>
      <c r="U32" s="91" t="s">
        <v>18</v>
      </c>
      <c r="V32" s="91" t="s">
        <v>3</v>
      </c>
      <c r="W32" s="91" t="s">
        <v>116</v>
      </c>
    </row>
    <row r="33" spans="2:23" x14ac:dyDescent="0.25">
      <c r="B33" s="39" t="s">
        <v>22</v>
      </c>
      <c r="C33" s="39">
        <v>511</v>
      </c>
      <c r="D33" s="112">
        <v>4089</v>
      </c>
      <c r="E33" s="58">
        <f>SUM(C33/D33)</f>
        <v>0.12496943017852775</v>
      </c>
      <c r="H33" s="39" t="s">
        <v>22</v>
      </c>
      <c r="I33" s="39">
        <v>381</v>
      </c>
      <c r="J33" s="112">
        <v>4158</v>
      </c>
      <c r="K33" s="58">
        <f>SUM(I33/J33)</f>
        <v>9.1630591630591632E-2</v>
      </c>
      <c r="N33" s="39" t="s">
        <v>22</v>
      </c>
      <c r="O33" s="39">
        <v>326</v>
      </c>
      <c r="P33" s="112">
        <v>3553</v>
      </c>
      <c r="Q33" s="58">
        <f>SUM(O33/P33)</f>
        <v>9.1753447790599491E-2</v>
      </c>
      <c r="T33" s="39" t="s">
        <v>22</v>
      </c>
      <c r="U33" s="39">
        <v>578</v>
      </c>
      <c r="V33" s="112">
        <v>4199</v>
      </c>
      <c r="W33" s="58">
        <f>SUM(U33/V33)</f>
        <v>0.13765182186234817</v>
      </c>
    </row>
    <row r="34" spans="2:23" x14ac:dyDescent="0.25">
      <c r="B34" s="39" t="s">
        <v>27</v>
      </c>
      <c r="C34" s="39">
        <v>442</v>
      </c>
      <c r="D34" s="112"/>
      <c r="E34" s="58">
        <f>SUM(C34/D33)</f>
        <v>0.10809488872584984</v>
      </c>
      <c r="H34" s="39" t="s">
        <v>27</v>
      </c>
      <c r="I34" s="39">
        <v>680</v>
      </c>
      <c r="J34" s="112"/>
      <c r="K34" s="58">
        <f>SUM(I34/J33)</f>
        <v>0.16354016354016354</v>
      </c>
      <c r="N34" s="39" t="s">
        <v>27</v>
      </c>
      <c r="O34" s="39">
        <v>466</v>
      </c>
      <c r="P34" s="112"/>
      <c r="Q34" s="58">
        <f>SUM(O34/P33)</f>
        <v>0.13115676892766676</v>
      </c>
      <c r="T34" s="39" t="s">
        <v>27</v>
      </c>
      <c r="U34" s="39">
        <v>498</v>
      </c>
      <c r="V34" s="112"/>
      <c r="W34" s="58">
        <f>SUM(U34/V33)</f>
        <v>0.11859966658728269</v>
      </c>
    </row>
    <row r="35" spans="2:23" x14ac:dyDescent="0.25">
      <c r="B35" s="39" t="s">
        <v>29</v>
      </c>
      <c r="C35" s="39">
        <v>602</v>
      </c>
      <c r="D35" s="112"/>
      <c r="E35" s="93">
        <f>SUM(C35/D33)</f>
        <v>0.14722426021032037</v>
      </c>
      <c r="H35" s="39" t="s">
        <v>29</v>
      </c>
      <c r="I35" s="39">
        <v>675</v>
      </c>
      <c r="J35" s="112"/>
      <c r="K35" s="95">
        <f>SUM(I35/J33)</f>
        <v>0.16233766233766234</v>
      </c>
      <c r="N35" s="39" t="s">
        <v>29</v>
      </c>
      <c r="O35" s="39">
        <v>394</v>
      </c>
      <c r="P35" s="112"/>
      <c r="Q35" s="94">
        <f>SUM(O35/P33)</f>
        <v>0.11089220377146074</v>
      </c>
      <c r="T35" s="39" t="s">
        <v>29</v>
      </c>
      <c r="U35" s="39">
        <v>356</v>
      </c>
      <c r="V35" s="112"/>
      <c r="W35" s="95">
        <f>SUM(U35/V33)</f>
        <v>8.4782090974041435E-2</v>
      </c>
    </row>
    <row r="36" spans="2:23" x14ac:dyDescent="0.25">
      <c r="B36" s="39" t="s">
        <v>31</v>
      </c>
      <c r="C36" s="39">
        <v>588</v>
      </c>
      <c r="D36" s="112"/>
      <c r="E36" s="58">
        <f>SUM(C36/D33)</f>
        <v>0.1438004402054292</v>
      </c>
      <c r="H36" s="39" t="s">
        <v>31</v>
      </c>
      <c r="I36" s="39">
        <v>857</v>
      </c>
      <c r="J36" s="112"/>
      <c r="K36" s="93">
        <f>SUM(I36/J33)</f>
        <v>0.2061087061087061</v>
      </c>
      <c r="N36" s="39" t="s">
        <v>31</v>
      </c>
      <c r="O36" s="39">
        <v>472</v>
      </c>
      <c r="P36" s="112"/>
      <c r="Q36" s="58">
        <f>SUM(O36/P33)</f>
        <v>0.13284548269068394</v>
      </c>
      <c r="T36" s="39" t="s">
        <v>31</v>
      </c>
      <c r="U36" s="39">
        <v>542</v>
      </c>
      <c r="V36" s="112"/>
      <c r="W36" s="58">
        <f>SUM(U36/V33)</f>
        <v>0.12907835198856871</v>
      </c>
    </row>
    <row r="37" spans="2:23" x14ac:dyDescent="0.25">
      <c r="B37" s="39" t="s">
        <v>33</v>
      </c>
      <c r="C37" s="39">
        <v>654</v>
      </c>
      <c r="D37" s="112"/>
      <c r="E37" s="58">
        <f>SUM(C37/D33)</f>
        <v>0.15994130594277328</v>
      </c>
      <c r="H37" s="39" t="s">
        <v>33</v>
      </c>
      <c r="I37" s="39">
        <v>507</v>
      </c>
      <c r="J37" s="112"/>
      <c r="K37" s="58">
        <f>SUM(I37/J33)</f>
        <v>0.12193362193362194</v>
      </c>
      <c r="N37" s="39" t="s">
        <v>33</v>
      </c>
      <c r="O37" s="39">
        <v>695</v>
      </c>
      <c r="P37" s="112"/>
      <c r="Q37" s="58">
        <f>SUM(O37/P33)</f>
        <v>0.19560934421615536</v>
      </c>
      <c r="T37" s="39" t="s">
        <v>33</v>
      </c>
      <c r="U37" s="39">
        <v>677</v>
      </c>
      <c r="V37" s="112"/>
      <c r="W37" s="58">
        <f>SUM(U37/V33)</f>
        <v>0.16122886401524172</v>
      </c>
    </row>
    <row r="38" spans="2:23" x14ac:dyDescent="0.25">
      <c r="B38" s="39" t="s">
        <v>35</v>
      </c>
      <c r="C38" s="39">
        <v>518</v>
      </c>
      <c r="D38" s="112"/>
      <c r="E38" s="58">
        <f>SUM(C38/D33)</f>
        <v>0.12668134018097335</v>
      </c>
      <c r="H38" s="39" t="s">
        <v>35</v>
      </c>
      <c r="I38" s="39">
        <v>560</v>
      </c>
      <c r="J38" s="112"/>
      <c r="K38" s="58">
        <f>SUM(I38/J33)</f>
        <v>0.13468013468013468</v>
      </c>
      <c r="N38" s="39" t="s">
        <v>35</v>
      </c>
      <c r="O38" s="39">
        <v>733</v>
      </c>
      <c r="P38" s="112"/>
      <c r="Q38" s="93">
        <f>SUM(O38/P33)</f>
        <v>0.20630453138193075</v>
      </c>
      <c r="T38" s="39" t="s">
        <v>35</v>
      </c>
      <c r="U38" s="39">
        <v>656</v>
      </c>
      <c r="V38" s="112"/>
      <c r="W38" s="58">
        <f>SUM(U38/V33)</f>
        <v>0.15622767325553702</v>
      </c>
    </row>
    <row r="39" spans="2:23" x14ac:dyDescent="0.25">
      <c r="B39" s="39" t="s">
        <v>37</v>
      </c>
      <c r="C39" s="39">
        <v>774</v>
      </c>
      <c r="D39" s="112"/>
      <c r="E39" s="58">
        <f>SUM(C39/D33)</f>
        <v>0.1892883345561262</v>
      </c>
      <c r="H39" s="39" t="s">
        <v>37</v>
      </c>
      <c r="I39" s="39">
        <v>498</v>
      </c>
      <c r="J39" s="112"/>
      <c r="K39" s="58">
        <f>SUM(I39/J33)</f>
        <v>0.11976911976911978</v>
      </c>
      <c r="N39" s="39" t="s">
        <v>37</v>
      </c>
      <c r="O39" s="39">
        <v>467</v>
      </c>
      <c r="P39" s="112"/>
      <c r="Q39" s="58">
        <f>SUM(O39/P33)</f>
        <v>0.13143822122150295</v>
      </c>
      <c r="T39" s="39" t="s">
        <v>37</v>
      </c>
      <c r="U39" s="39">
        <v>892</v>
      </c>
      <c r="V39" s="112"/>
      <c r="W39" s="93">
        <f>SUM(U39/V33)</f>
        <v>0.21243153131698023</v>
      </c>
    </row>
    <row r="41" spans="2:23" ht="16.5" customHeight="1" x14ac:dyDescent="0.25">
      <c r="B41" s="113">
        <v>2024</v>
      </c>
      <c r="C41" s="113"/>
      <c r="D41" s="113"/>
      <c r="E41" s="96"/>
    </row>
    <row r="42" spans="2:23" ht="16.5" customHeight="1" x14ac:dyDescent="0.25">
      <c r="B42" s="113"/>
      <c r="C42" s="113"/>
      <c r="D42" s="113"/>
      <c r="E42" s="96"/>
    </row>
    <row r="44" spans="2:23" x14ac:dyDescent="0.25">
      <c r="B44" s="39" t="s">
        <v>22</v>
      </c>
      <c r="C44" s="89">
        <f>GETPIVOTDATA("Sum of TOTAL FIELD",'Pivot Table'!$A$4,"DAY","Mon")+GETPIVOTDATA("Sum of TOTAL FIELD",'Pivot Table'!$A$16,"DAY","Mon")+GETPIVOTDATA("Sum of TOTAL FIELD",'Pivot Table'!$A$28,"DAY","Mon")+GETPIVOTDATA("Sum of TOTAL FIELD",'Pivot Table'!$A$40,"DAY","Mon")+GETPIVOTDATA("Sum of TOTAL FIELD",'Pivot Table'!$A$52,"DAY","Mon")+GETPIVOTDATA("Sum of TOTAL FIELD",'Pivot Table'!$A$64,"DAY","Mon")+GETPIVOTDATA("Sum of TOTAL FIELD",'Pivot Table'!$A$76,"DAY","Mon")+GETPIVOTDATA("Sum of TOTAL FIELD",'Pivot Table'!$A$88,"DAY","Mon")+GETPIVOTDATA("Sum of TOTAL FIELD",'Pivot Table'!$A$100,"DAY","Mon")+GETPIVOTDATA("Sum of TOTAL FIELD",'Pivot Table'!$A$112,"DAY","Mon")+GETPIVOTDATA("Sum of TOTAL FIELD",'Pivot Table'!$A$124,"DAY","Mon")+GETPIVOTDATA("Sum of TOTAL FIELD",'Pivot Table'!$A$136,"DAY","Mon")</f>
        <v>5659</v>
      </c>
      <c r="D44" s="58">
        <f>SUM(C44/C51)</f>
        <v>0.11272683811079461</v>
      </c>
    </row>
    <row r="45" spans="2:23" x14ac:dyDescent="0.25">
      <c r="B45" s="39" t="s">
        <v>27</v>
      </c>
      <c r="C45" s="89">
        <f>GETPIVOTDATA("Sum of TOTAL FIELD",'Pivot Table'!$A$4,"DAY","Tue")+GETPIVOTDATA("Sum of TOTAL FIELD",'Pivot Table'!$A$16,"DAY","Tue")+GETPIVOTDATA("Sum of TOTAL FIELD",'Pivot Table'!$A$28,"DAY","Tue")+GETPIVOTDATA("Sum of TOTAL FIELD",'Pivot Table'!$A$40,"DAY","Tue")+GETPIVOTDATA("Sum of TOTAL FIELD",'Pivot Table'!$A$52,"DAY","Tue")+GETPIVOTDATA("Sum of TOTAL FIELD",'Pivot Table'!$A$64,"DAY","Tue")+GETPIVOTDATA("Sum of TOTAL FIELD",'Pivot Table'!$A$76,"DAY","Tue")+GETPIVOTDATA("Sum of TOTAL FIELD",'Pivot Table'!$A$88,"DAY","Tue")+GETPIVOTDATA("Sum of TOTAL FIELD",'Pivot Table'!$A$100,"DAY","Tue")+GETPIVOTDATA("Sum of TOTAL FIELD",'Pivot Table'!$A$112,"DAY","Tue")+GETPIVOTDATA("Sum of TOTAL FIELD",'Pivot Table'!$A$124,"DAY","Tue")+GETPIVOTDATA("Sum of TOTAL FIELD",'Pivot Table'!$A$136,"DAY","Tue")</f>
        <v>5855</v>
      </c>
      <c r="D45" s="58">
        <f>SUM(C45/C51)</f>
        <v>0.1166311428059202</v>
      </c>
    </row>
    <row r="46" spans="2:23" x14ac:dyDescent="0.25">
      <c r="B46" s="39" t="s">
        <v>29</v>
      </c>
      <c r="C46" s="89">
        <f>GETPIVOTDATA("Sum of TOTAL FIELD",'Pivot Table'!$A$4,"DAY","Wed")+GETPIVOTDATA("Sum of TOTAL FIELD",'Pivot Table'!$A$16,"DAY","Wed")+GETPIVOTDATA("Sum of TOTAL FIELD",'Pivot Table'!$A$28,"DAY","Wed")+GETPIVOTDATA("Sum of TOTAL FIELD",'Pivot Table'!$A$40,"DAY","Wed")+GETPIVOTDATA("Sum of TOTAL FIELD",'Pivot Table'!$A$52,"DAY","Wed")+GETPIVOTDATA("Sum of TOTAL FIELD",'Pivot Table'!$A$64,"DAY","Wed")+GETPIVOTDATA("Sum of TOTAL FIELD",'Pivot Table'!$A$76,"DAY","Wed")+GETPIVOTDATA("Sum of TOTAL FIELD",'Pivot Table'!$A$88,"DAY","Wed")+GETPIVOTDATA("Sum of TOTAL FIELD",'Pivot Table'!$A$100,"DAY","Wed")+GETPIVOTDATA("Sum of TOTAL FIELD",'Pivot Table'!$A$112,"DAY","Wed")+GETPIVOTDATA("Sum of TOTAL FIELD",'Pivot Table'!$A$124,"DAY","Wed")+GETPIVOTDATA("Sum of TOTAL FIELD",'Pivot Table'!$A$136,"DAY","Wed")</f>
        <v>6911</v>
      </c>
      <c r="D46" s="58">
        <f>SUM(C46/C51)</f>
        <v>0.13766658034700505</v>
      </c>
    </row>
    <row r="47" spans="2:23" x14ac:dyDescent="0.25">
      <c r="B47" s="39" t="s">
        <v>31</v>
      </c>
      <c r="C47" s="89">
        <f>GETPIVOTDATA("Sum of TOTAL FIELD",'Pivot Table'!$A$4,"DAY","Thu")+GETPIVOTDATA("Sum of TOTAL FIELD",'Pivot Table'!$A$16,"DAY","Thu")+GETPIVOTDATA("Sum of TOTAL FIELD",'Pivot Table'!$A$28,"DAY","Thu")+GETPIVOTDATA("Sum of TOTAL FIELD",'Pivot Table'!$A$40,"DAY","Thu")+GETPIVOTDATA("Sum of TOTAL FIELD",'Pivot Table'!$A$52,"DAY","Thu")+GETPIVOTDATA("Sum of TOTAL FIELD",'Pivot Table'!$A$64,"DAY","Thu")+GETPIVOTDATA("Sum of TOTAL FIELD",'Pivot Table'!$A$76,"DAY","Thu")+GETPIVOTDATA("Sum of TOTAL FIELD",'Pivot Table'!$A$88,"DAY","Thu")+GETPIVOTDATA("Sum of TOTAL FIELD",'Pivot Table'!$A$100,"DAY","Thu")+GETPIVOTDATA("Sum of TOTAL FIELD",'Pivot Table'!$A$112,"DAY","Thu")+GETPIVOTDATA("Sum of TOTAL FIELD",'Pivot Table'!$A$124,"DAY","Thu")+GETPIVOTDATA("Sum of TOTAL FIELD",'Pivot Table'!$A$136,"DAY","Thu")</f>
        <v>7700</v>
      </c>
      <c r="D47" s="58">
        <f>SUM(C47/C51)</f>
        <v>0.15338339873707696</v>
      </c>
    </row>
    <row r="48" spans="2:23" x14ac:dyDescent="0.25">
      <c r="B48" s="39" t="s">
        <v>33</v>
      </c>
      <c r="C48" s="89">
        <f>GETPIVOTDATA("Sum of TOTAL FIELD",'Pivot Table'!$A$4,"DAY","Fri")+GETPIVOTDATA("Sum of TOTAL FIELD",'Pivot Table'!$A$16,"DAY","Fri")+GETPIVOTDATA("Sum of TOTAL FIELD",'Pivot Table'!$A$28,"DAY","Fri")+GETPIVOTDATA("Sum of TOTAL FIELD",'Pivot Table'!$A$40,"DAY","Fri")+GETPIVOTDATA("Sum of TOTAL FIELD",'Pivot Table'!$A$52,"DAY","Fri")+GETPIVOTDATA("Sum of TOTAL FIELD",'Pivot Table'!$A$64,"DAY","Fri")+GETPIVOTDATA("Sum of TOTAL FIELD",'Pivot Table'!$A$76,"DAY","Fri")+GETPIVOTDATA("Sum of TOTAL FIELD",'Pivot Table'!$A$88,"DAY","Fri")+GETPIVOTDATA("Sum of TOTAL FIELD",'Pivot Table'!$A$100,"DAY","Fri")+GETPIVOTDATA("Sum of TOTAL FIELD",'Pivot Table'!$A$112,"DAY","Fri")+GETPIVOTDATA("Sum of TOTAL FIELD",'Pivot Table'!$A$124,"DAY","Fri")+GETPIVOTDATA("Sum of TOTAL FIELD",'Pivot Table'!$A$136,"DAY","Fri")</f>
        <v>8338</v>
      </c>
      <c r="D48" s="93">
        <f>SUM(C48/C51)</f>
        <v>0.16609230891814905</v>
      </c>
    </row>
    <row r="49" spans="2:4" x14ac:dyDescent="0.25">
      <c r="B49" s="39" t="s">
        <v>35</v>
      </c>
      <c r="C49" s="89">
        <f>GETPIVOTDATA("Sum of TOTAL FIELD",'Pivot Table'!$A$4,"DAY","Sat")+GETPIVOTDATA("Sum of TOTAL FIELD",'Pivot Table'!$A$16,"DAY","Sat")+GETPIVOTDATA("Sum of TOTAL FIELD",'Pivot Table'!$A$28,"DAY","Sat")+GETPIVOTDATA("Sum of TOTAL FIELD",'Pivot Table'!$A$40,"DAY","Sat")+GETPIVOTDATA("Sum of TOTAL FIELD",'Pivot Table'!$A$52,"DAY","Sat")+GETPIVOTDATA("Sum of TOTAL FIELD",'Pivot Table'!$A$64,"DAY","Sat")+GETPIVOTDATA("Sum of TOTAL FIELD",'Pivot Table'!$A$76,"DAY","Sat")+GETPIVOTDATA("Sum of TOTAL FIELD",'Pivot Table'!$A$88,"DAY","Sat")+GETPIVOTDATA("Sum of TOTAL FIELD",'Pivot Table'!$A$100,"DAY","Sat")+GETPIVOTDATA("Sum of TOTAL FIELD",'Pivot Table'!$A$112,"DAY","Sat")+GETPIVOTDATA("Sum of TOTAL FIELD",'Pivot Table'!$A$124,"DAY","Sat")+GETPIVOTDATA("Sum of TOTAL FIELD",'Pivot Table'!$A$136,"DAY","Sat")</f>
        <v>7620</v>
      </c>
      <c r="D49" s="58">
        <f>SUM(C49/C51)</f>
        <v>0.15178980498396447</v>
      </c>
    </row>
    <row r="50" spans="2:4" x14ac:dyDescent="0.25">
      <c r="B50" s="39" t="s">
        <v>37</v>
      </c>
      <c r="C50" s="89">
        <f>GETPIVOTDATA("Sum of TOTAL FIELD",'Pivot Table'!$A$4,"DAY","Sun")+GETPIVOTDATA("Sum of TOTAL FIELD",'Pivot Table'!$A$16,"DAY","Sun")+GETPIVOTDATA("Sum of TOTAL FIELD",'Pivot Table'!$A$28,"DAY","Sun")+GETPIVOTDATA("Sum of TOTAL FIELD",'Pivot Table'!$A$40,"DAY","Sun")+GETPIVOTDATA("Sum of TOTAL FIELD",'Pivot Table'!$A$52,"DAY","Sun")+GETPIVOTDATA("Sum of TOTAL FIELD",'Pivot Table'!$A$64,"DAY","Sun")+GETPIVOTDATA("Sum of TOTAL FIELD",'Pivot Table'!$A$76,"DAY","Sun")+GETPIVOTDATA("Sum of TOTAL FIELD",'Pivot Table'!$A$88,"DAY","Sun")+GETPIVOTDATA("Sum of TOTAL FIELD",'Pivot Table'!$A$100,"DAY","Sun")+GETPIVOTDATA("Sum of TOTAL FIELD",'Pivot Table'!$A$112,"DAY","Sun")+GETPIVOTDATA("Sum of TOTAL FIELD",'Pivot Table'!$A$124,"DAY","Sun")+GETPIVOTDATA("Sum of TOTAL FIELD",'Pivot Table'!$A$136,"DAY","Sun")</f>
        <v>8118</v>
      </c>
      <c r="D50" s="58">
        <f>SUM(C50/C51)</f>
        <v>0.1617099260970897</v>
      </c>
    </row>
    <row r="51" spans="2:4" x14ac:dyDescent="0.25">
      <c r="B51" s="39" t="s">
        <v>113</v>
      </c>
      <c r="C51" s="89">
        <f>SUM(C44:C50)</f>
        <v>50201</v>
      </c>
      <c r="D51" s="90">
        <f>SUM(D44:D50)</f>
        <v>1</v>
      </c>
    </row>
  </sheetData>
  <mergeCells count="25">
    <mergeCell ref="T28:W29"/>
    <mergeCell ref="V33:V39"/>
    <mergeCell ref="B41:D42"/>
    <mergeCell ref="B28:E29"/>
    <mergeCell ref="D33:D39"/>
    <mergeCell ref="H28:K29"/>
    <mergeCell ref="J33:J39"/>
    <mergeCell ref="N28:Q29"/>
    <mergeCell ref="P33:P39"/>
    <mergeCell ref="T2:W3"/>
    <mergeCell ref="V6:V12"/>
    <mergeCell ref="B15:E16"/>
    <mergeCell ref="D19:D25"/>
    <mergeCell ref="H15:K16"/>
    <mergeCell ref="J19:J25"/>
    <mergeCell ref="N15:Q16"/>
    <mergeCell ref="P19:P25"/>
    <mergeCell ref="T15:W16"/>
    <mergeCell ref="V19:V25"/>
    <mergeCell ref="D6:D12"/>
    <mergeCell ref="J6:J12"/>
    <mergeCell ref="B2:E3"/>
    <mergeCell ref="H2:K3"/>
    <mergeCell ref="N2:Q3"/>
    <mergeCell ref="P6:P12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36B3-9A22-4BF6-B80A-E37E57AFCB19}">
  <dimension ref="B3:AD75"/>
  <sheetViews>
    <sheetView showGridLines="0" tabSelected="1" topLeftCell="A16" workbookViewId="0">
      <selection activeCell="C27" sqref="C27:E44"/>
    </sheetView>
  </sheetViews>
  <sheetFormatPr defaultRowHeight="16.5" x14ac:dyDescent="0.25"/>
  <cols>
    <col min="1" max="1" width="9.140625" style="6"/>
    <col min="2" max="2" width="17.7109375" style="6" bestFit="1" customWidth="1"/>
    <col min="3" max="3" width="9" style="41" bestFit="1" customWidth="1"/>
    <col min="4" max="4" width="11.140625" style="41" bestFit="1" customWidth="1"/>
    <col min="5" max="5" width="8.140625" style="41" bestFit="1" customWidth="1"/>
    <col min="6" max="6" width="9.140625" style="6"/>
    <col min="7" max="7" width="17.7109375" style="6" bestFit="1" customWidth="1"/>
    <col min="8" max="8" width="7.7109375" style="41" bestFit="1" customWidth="1"/>
    <col min="9" max="9" width="11.140625" style="41" bestFit="1" customWidth="1"/>
    <col min="10" max="10" width="8.140625" style="41" bestFit="1" customWidth="1"/>
    <col min="11" max="11" width="9.140625" style="6"/>
    <col min="12" max="12" width="17.7109375" style="6" bestFit="1" customWidth="1"/>
    <col min="13" max="13" width="7.7109375" style="41" bestFit="1" customWidth="1"/>
    <col min="14" max="14" width="11.28515625" style="41" bestFit="1" customWidth="1"/>
    <col min="15" max="15" width="10.85546875" style="41" bestFit="1" customWidth="1"/>
    <col min="16" max="16" width="9.140625" style="6"/>
    <col min="17" max="17" width="17.7109375" style="6" bestFit="1" customWidth="1"/>
    <col min="18" max="18" width="7.7109375" style="41" bestFit="1" customWidth="1"/>
    <col min="19" max="19" width="11.140625" style="41" bestFit="1" customWidth="1"/>
    <col min="20" max="20" width="10.85546875" style="41" bestFit="1" customWidth="1"/>
    <col min="21" max="21" width="9.140625" style="6"/>
    <col min="22" max="22" width="18.42578125" style="6" customWidth="1"/>
    <col min="23" max="23" width="9.140625" style="41"/>
    <col min="24" max="24" width="11.140625" style="41" bestFit="1" customWidth="1"/>
    <col min="25" max="25" width="9.140625" style="41"/>
    <col min="26" max="26" width="9.140625" style="6"/>
    <col min="27" max="27" width="18.42578125" style="6" customWidth="1"/>
    <col min="28" max="28" width="9.140625" style="41"/>
    <col min="29" max="29" width="11.140625" style="41" bestFit="1" customWidth="1"/>
    <col min="30" max="16384" width="9.140625" style="6"/>
  </cols>
  <sheetData>
    <row r="3" spans="2:30" ht="21" x14ac:dyDescent="0.25">
      <c r="B3" s="102" t="s">
        <v>8</v>
      </c>
      <c r="C3" s="102"/>
      <c r="D3" s="42" t="s">
        <v>102</v>
      </c>
      <c r="E3" s="42" t="s">
        <v>101</v>
      </c>
      <c r="G3" s="97" t="s">
        <v>81</v>
      </c>
      <c r="H3" s="99"/>
      <c r="I3" s="42" t="s">
        <v>102</v>
      </c>
      <c r="J3" s="42" t="s">
        <v>101</v>
      </c>
      <c r="K3" s="34"/>
      <c r="L3" s="97" t="s">
        <v>9</v>
      </c>
      <c r="M3" s="99"/>
      <c r="N3" s="42" t="s">
        <v>102</v>
      </c>
      <c r="O3" s="42" t="s">
        <v>101</v>
      </c>
      <c r="P3" s="34"/>
      <c r="Q3" s="97" t="s">
        <v>10</v>
      </c>
      <c r="R3" s="99"/>
      <c r="S3" s="42" t="s">
        <v>102</v>
      </c>
      <c r="T3" s="42" t="s">
        <v>101</v>
      </c>
      <c r="U3" s="34"/>
      <c r="V3" s="101"/>
      <c r="W3" s="101"/>
      <c r="X3" s="34"/>
      <c r="Y3" s="34"/>
      <c r="Z3" s="34"/>
      <c r="AA3" s="101"/>
      <c r="AB3" s="101"/>
      <c r="AC3" s="34"/>
      <c r="AD3" s="34"/>
    </row>
    <row r="5" spans="2:30" x14ac:dyDescent="0.25">
      <c r="B5" s="39" t="s">
        <v>1</v>
      </c>
      <c r="C5" s="40">
        <f>GETPIVOTDATA("Sum of AM FIELD",'Pivot Table'!$A$4)</f>
        <v>2561</v>
      </c>
      <c r="D5" s="52">
        <f>SUM(C5/4.4286)</f>
        <v>578.2865916994084</v>
      </c>
      <c r="E5" s="52">
        <f>SUM(C5/31)</f>
        <v>82.612903225806448</v>
      </c>
      <c r="G5" s="39" t="s">
        <v>1</v>
      </c>
      <c r="H5" s="40">
        <f>GETPIVOTDATA("Sum of AM FIELD",'Pivot Table'!$A$16)</f>
        <v>2248</v>
      </c>
      <c r="I5" s="52">
        <f>SUM(H5/4.1429)</f>
        <v>542.61507639576143</v>
      </c>
      <c r="J5" s="52">
        <f>SUM(H5/29)</f>
        <v>77.517241379310349</v>
      </c>
      <c r="L5" s="39" t="s">
        <v>1</v>
      </c>
      <c r="M5" s="40">
        <f>GETPIVOTDATA("Sum of AM FIELD",'Pivot Table'!$A$28)</f>
        <v>2385</v>
      </c>
      <c r="N5" s="52">
        <f>SUM(M5/4.4286)</f>
        <v>538.54491261346698</v>
      </c>
      <c r="O5" s="52">
        <f>SUM(M5/31)</f>
        <v>76.935483870967744</v>
      </c>
      <c r="Q5" s="39" t="s">
        <v>1</v>
      </c>
      <c r="R5" s="40">
        <f>GETPIVOTDATA("Sum of AM FIELD",'Pivot Table'!$A$40)</f>
        <v>2280</v>
      </c>
      <c r="S5" s="52">
        <f>SUM(R5/4.2857)</f>
        <v>532.00177333924444</v>
      </c>
      <c r="T5" s="52">
        <f>SUM(R5/30)</f>
        <v>76</v>
      </c>
      <c r="AD5" s="41"/>
    </row>
    <row r="6" spans="2:30" x14ac:dyDescent="0.25">
      <c r="B6" s="39" t="s">
        <v>2</v>
      </c>
      <c r="C6" s="40">
        <f>GETPIVOTDATA("Sum of PM FIELD",'Pivot Table'!$A$4)</f>
        <v>2044</v>
      </c>
      <c r="D6" s="52">
        <f t="shared" ref="D6:D22" si="0">SUM(C6/4.4286)</f>
        <v>461.54540938445552</v>
      </c>
      <c r="E6" s="52">
        <f t="shared" ref="E6:E22" si="1">SUM(C6/31)</f>
        <v>65.935483870967744</v>
      </c>
      <c r="G6" s="39" t="s">
        <v>2</v>
      </c>
      <c r="H6" s="40">
        <f>GETPIVOTDATA("Sum of PM FIELD",'Pivot Table'!$A$16)</f>
        <v>2165</v>
      </c>
      <c r="I6" s="52">
        <f t="shared" ref="I6:I22" si="2">SUM(H6/4.1429)</f>
        <v>522.58080088826671</v>
      </c>
      <c r="J6" s="52">
        <f t="shared" ref="J6:J22" si="3">SUM(H6/29)</f>
        <v>74.65517241379311</v>
      </c>
      <c r="L6" s="39" t="s">
        <v>2</v>
      </c>
      <c r="M6" s="40">
        <f>GETPIVOTDATA("Sum of PM FIELD",'Pivot Table'!$A$28)</f>
        <v>2029</v>
      </c>
      <c r="N6" s="52">
        <f t="shared" ref="N6:N22" si="4">SUM(M6/4.4286)</f>
        <v>458.15833446235825</v>
      </c>
      <c r="O6" s="52">
        <f t="shared" ref="O6:O22" si="5">SUM(M6/31)</f>
        <v>65.451612903225808</v>
      </c>
      <c r="Q6" s="39" t="s">
        <v>2</v>
      </c>
      <c r="R6" s="40">
        <f>GETPIVOTDATA("Sum of PM FIELD",'Pivot Table'!$A$40)</f>
        <v>2120</v>
      </c>
      <c r="S6" s="52">
        <f t="shared" ref="S6:S22" si="6">SUM(R6/4.2857)</f>
        <v>494.66831556105183</v>
      </c>
      <c r="T6" s="52">
        <f t="shared" ref="T6:T22" si="7">SUM(R6/30)</f>
        <v>70.666666666666671</v>
      </c>
      <c r="AD6" s="41"/>
    </row>
    <row r="7" spans="2:30" x14ac:dyDescent="0.25">
      <c r="B7" s="39" t="s">
        <v>3</v>
      </c>
      <c r="C7" s="40">
        <f>GETPIVOTDATA("Sum of TOTAL FIELD",'Pivot Table'!$A$4)</f>
        <v>4605</v>
      </c>
      <c r="D7" s="52">
        <f t="shared" si="0"/>
        <v>1039.8320010838638</v>
      </c>
      <c r="E7" s="52">
        <f t="shared" si="1"/>
        <v>148.54838709677421</v>
      </c>
      <c r="G7" s="39" t="s">
        <v>3</v>
      </c>
      <c r="H7" s="40">
        <f>GETPIVOTDATA("Sum of TOTAL FIELD",'Pivot Table'!$A$16)</f>
        <v>4413</v>
      </c>
      <c r="I7" s="52">
        <f t="shared" si="2"/>
        <v>1065.195877284028</v>
      </c>
      <c r="J7" s="52">
        <f t="shared" si="3"/>
        <v>152.17241379310346</v>
      </c>
      <c r="L7" s="39" t="s">
        <v>3</v>
      </c>
      <c r="M7" s="40">
        <f>GETPIVOTDATA("Sum of TOTAL FIELD",'Pivot Table'!$A$28)</f>
        <v>4414</v>
      </c>
      <c r="N7" s="52">
        <f t="shared" si="4"/>
        <v>996.70324707582529</v>
      </c>
      <c r="O7" s="52">
        <f t="shared" si="5"/>
        <v>142.38709677419354</v>
      </c>
      <c r="Q7" s="39" t="s">
        <v>3</v>
      </c>
      <c r="R7" s="40">
        <f>GETPIVOTDATA("Sum of TOTAL FIELD",'Pivot Table'!$A$40)</f>
        <v>4400</v>
      </c>
      <c r="S7" s="52">
        <f t="shared" si="6"/>
        <v>1026.6700889002964</v>
      </c>
      <c r="T7" s="52">
        <f t="shared" si="7"/>
        <v>146.66666666666666</v>
      </c>
      <c r="AD7" s="41"/>
    </row>
    <row r="8" spans="2:30" x14ac:dyDescent="0.25">
      <c r="B8" s="39" t="s">
        <v>82</v>
      </c>
      <c r="C8" s="40">
        <f>GETPIVOTDATA("Sum of No. GUESTS",'Pivot Table'!$A$4)</f>
        <v>865</v>
      </c>
      <c r="D8" s="52">
        <f t="shared" si="0"/>
        <v>195.32132050760961</v>
      </c>
      <c r="E8" s="52">
        <f t="shared" si="1"/>
        <v>27.903225806451612</v>
      </c>
      <c r="G8" s="39" t="s">
        <v>82</v>
      </c>
      <c r="H8" s="40">
        <f>GETPIVOTDATA("Sum of No. GUESTS",'Pivot Table'!$A$16)</f>
        <v>843</v>
      </c>
      <c r="I8" s="52">
        <f t="shared" si="2"/>
        <v>203.48065364841054</v>
      </c>
      <c r="J8" s="52">
        <f t="shared" si="3"/>
        <v>29.068965517241381</v>
      </c>
      <c r="L8" s="39" t="s">
        <v>82</v>
      </c>
      <c r="M8" s="40">
        <f>GETPIVOTDATA("Sum of No. GUESTS",'Pivot Table'!$A$28)</f>
        <v>1023</v>
      </c>
      <c r="N8" s="52">
        <f t="shared" si="4"/>
        <v>230.99850968703427</v>
      </c>
      <c r="O8" s="52">
        <f t="shared" si="5"/>
        <v>33</v>
      </c>
      <c r="Q8" s="39" t="s">
        <v>82</v>
      </c>
      <c r="R8" s="40">
        <f>GETPIVOTDATA("Sum of No. GUESTS",'Pivot Table'!$A$40)</f>
        <v>915</v>
      </c>
      <c r="S8" s="52">
        <f t="shared" si="6"/>
        <v>213.50071166903888</v>
      </c>
      <c r="T8" s="52">
        <f t="shared" si="7"/>
        <v>30.5</v>
      </c>
      <c r="AD8" s="41"/>
    </row>
    <row r="9" spans="2:30" s="54" customFormat="1" ht="33" x14ac:dyDescent="0.25">
      <c r="B9" s="53" t="s">
        <v>74</v>
      </c>
      <c r="C9" s="43">
        <f>SUM(C8/C7)</f>
        <v>0.18783930510314875</v>
      </c>
      <c r="D9" s="43">
        <f t="shared" si="0"/>
        <v>4.2415053313270272E-2</v>
      </c>
      <c r="E9" s="43">
        <f t="shared" si="1"/>
        <v>6.059332422682218E-3</v>
      </c>
      <c r="G9" s="53" t="s">
        <v>74</v>
      </c>
      <c r="H9" s="43">
        <f>SUM(H8/H7)</f>
        <v>0.1910265125764786</v>
      </c>
      <c r="I9" s="43">
        <f t="shared" si="2"/>
        <v>4.6109370869796183E-2</v>
      </c>
      <c r="J9" s="43">
        <f t="shared" si="3"/>
        <v>6.5871211233268483E-3</v>
      </c>
      <c r="L9" s="53" t="s">
        <v>74</v>
      </c>
      <c r="M9" s="43">
        <f>SUM(M8/M7)</f>
        <v>0.23176257362936112</v>
      </c>
      <c r="N9" s="43">
        <f t="shared" si="4"/>
        <v>5.2333146734715508E-2</v>
      </c>
      <c r="O9" s="43">
        <f t="shared" si="5"/>
        <v>7.4762120525600365E-3</v>
      </c>
      <c r="Q9" s="53" t="s">
        <v>74</v>
      </c>
      <c r="R9" s="43">
        <f>SUM(R8/R7)</f>
        <v>0.20795454545454545</v>
      </c>
      <c r="S9" s="43">
        <f t="shared" si="6"/>
        <v>4.8522889015690657E-2</v>
      </c>
      <c r="T9" s="43">
        <f t="shared" si="7"/>
        <v>6.9318181818181814E-3</v>
      </c>
      <c r="V9" s="67"/>
      <c r="W9" s="68"/>
      <c r="X9" s="68"/>
      <c r="Y9" s="68"/>
      <c r="Z9" s="69"/>
      <c r="AA9" s="67"/>
      <c r="AB9" s="68"/>
      <c r="AC9" s="68"/>
      <c r="AD9" s="68"/>
    </row>
    <row r="10" spans="2:30" x14ac:dyDescent="0.25">
      <c r="B10" s="35" t="s">
        <v>4</v>
      </c>
      <c r="C10" s="40">
        <f>GETPIVOTDATA("Sum of MEMBER",'Pivot Table'!$A$4)</f>
        <v>3697</v>
      </c>
      <c r="D10" s="52">
        <f t="shared" si="0"/>
        <v>834.80106579957544</v>
      </c>
      <c r="E10" s="52">
        <f t="shared" si="1"/>
        <v>119.25806451612904</v>
      </c>
      <c r="G10" s="35" t="s">
        <v>4</v>
      </c>
      <c r="H10" s="40">
        <f>GETPIVOTDATA("Sum of MEMBER",'Pivot Table'!$A$16)</f>
        <v>3529</v>
      </c>
      <c r="I10" s="52">
        <f t="shared" si="2"/>
        <v>851.81877428854182</v>
      </c>
      <c r="J10" s="52">
        <f t="shared" si="3"/>
        <v>121.68965517241379</v>
      </c>
      <c r="L10" s="35" t="s">
        <v>4</v>
      </c>
      <c r="M10" s="40">
        <f>GETPIVOTDATA("Sum of MEMBER",'Pivot Table'!$A$28)</f>
        <v>3361</v>
      </c>
      <c r="N10" s="52">
        <f t="shared" si="4"/>
        <v>758.93058754459639</v>
      </c>
      <c r="O10" s="52">
        <f t="shared" si="5"/>
        <v>108.41935483870968</v>
      </c>
      <c r="Q10" s="35" t="s">
        <v>4</v>
      </c>
      <c r="R10" s="40">
        <f>GETPIVOTDATA("Sum of MEMBER",'Pivot Table'!$A$40)</f>
        <v>3463</v>
      </c>
      <c r="S10" s="52">
        <f t="shared" si="6"/>
        <v>808.03602678675588</v>
      </c>
      <c r="T10" s="52">
        <f t="shared" si="7"/>
        <v>115.43333333333334</v>
      </c>
      <c r="V10" s="62"/>
      <c r="AA10" s="62"/>
      <c r="AD10" s="41"/>
    </row>
    <row r="11" spans="2:30" x14ac:dyDescent="0.25">
      <c r="B11" s="39" t="s">
        <v>83</v>
      </c>
      <c r="C11" s="40">
        <f>GETPIVOTDATA("Sum of MANAGER INTRO",'Pivot Table'!$A$4)</f>
        <v>6</v>
      </c>
      <c r="D11" s="52">
        <f t="shared" si="0"/>
        <v>1.3548299688389107</v>
      </c>
      <c r="E11" s="52">
        <f t="shared" si="1"/>
        <v>0.19354838709677419</v>
      </c>
      <c r="G11" s="39" t="s">
        <v>83</v>
      </c>
      <c r="H11" s="40">
        <f>GETPIVOTDATA("Sum of MANAGER INTRO",'Pivot Table'!$A$16)</f>
        <v>28</v>
      </c>
      <c r="I11" s="52">
        <f t="shared" si="2"/>
        <v>6.7585507736126864</v>
      </c>
      <c r="J11" s="52">
        <f t="shared" si="3"/>
        <v>0.96551724137931039</v>
      </c>
      <c r="L11" s="39" t="s">
        <v>83</v>
      </c>
      <c r="M11" s="40">
        <f>GETPIVOTDATA("Sum of MANAGER INTRO",'Pivot Table'!$A$28)</f>
        <v>33</v>
      </c>
      <c r="N11" s="52">
        <f t="shared" si="4"/>
        <v>7.4515648286140088</v>
      </c>
      <c r="O11" s="52">
        <f t="shared" si="5"/>
        <v>1.064516129032258</v>
      </c>
      <c r="Q11" s="39" t="s">
        <v>83</v>
      </c>
      <c r="R11" s="40">
        <f>GETPIVOTDATA("Sum of MANAGER INTRO",'Pivot Table'!$A$40)</f>
        <v>15</v>
      </c>
      <c r="S11" s="52">
        <f t="shared" si="6"/>
        <v>3.5000116667055554</v>
      </c>
      <c r="T11" s="52">
        <f t="shared" si="7"/>
        <v>0.5</v>
      </c>
      <c r="AD11" s="41"/>
    </row>
    <row r="12" spans="2:30" x14ac:dyDescent="0.25">
      <c r="B12" s="39" t="s">
        <v>75</v>
      </c>
      <c r="C12" s="40">
        <f>GETPIVOTDATA("Sum of INTERSTATE",'Pivot Table'!$A$4)</f>
        <v>17</v>
      </c>
      <c r="D12" s="52">
        <f t="shared" si="0"/>
        <v>3.8386849117102466</v>
      </c>
      <c r="E12" s="52">
        <f t="shared" si="1"/>
        <v>0.54838709677419351</v>
      </c>
      <c r="G12" s="39" t="s">
        <v>75</v>
      </c>
      <c r="H12" s="40">
        <f>GETPIVOTDATA("Sum of INTERSTATE",'Pivot Table'!$A$16)</f>
        <v>10</v>
      </c>
      <c r="I12" s="52">
        <f t="shared" si="2"/>
        <v>2.4137681334331025</v>
      </c>
      <c r="J12" s="52">
        <f t="shared" si="3"/>
        <v>0.34482758620689657</v>
      </c>
      <c r="L12" s="39" t="s">
        <v>75</v>
      </c>
      <c r="M12" s="40">
        <f>GETPIVOTDATA("Sum of INTERSTATE",'Pivot Table'!$A$28)</f>
        <v>31</v>
      </c>
      <c r="N12" s="52">
        <f t="shared" si="4"/>
        <v>6.9999548390010382</v>
      </c>
      <c r="O12" s="52">
        <f t="shared" si="5"/>
        <v>1</v>
      </c>
      <c r="Q12" s="39" t="s">
        <v>75</v>
      </c>
      <c r="R12" s="40">
        <f>GETPIVOTDATA("Sum of INTERSTATE",'Pivot Table'!$A$40)</f>
        <v>13</v>
      </c>
      <c r="S12" s="52">
        <f t="shared" si="6"/>
        <v>3.033343444478148</v>
      </c>
      <c r="T12" s="52">
        <f t="shared" si="7"/>
        <v>0.43333333333333335</v>
      </c>
      <c r="AD12" s="41"/>
    </row>
    <row r="13" spans="2:30" x14ac:dyDescent="0.25">
      <c r="B13" s="39" t="s">
        <v>76</v>
      </c>
      <c r="C13" s="40">
        <f>GETPIVOTDATA("Sum of INTERNATIONAL",'Pivot Table'!$A$4)</f>
        <v>91</v>
      </c>
      <c r="D13" s="52">
        <f t="shared" si="0"/>
        <v>20.548254527390146</v>
      </c>
      <c r="E13" s="52">
        <f t="shared" si="1"/>
        <v>2.935483870967742</v>
      </c>
      <c r="G13" s="39" t="s">
        <v>76</v>
      </c>
      <c r="H13" s="40">
        <f>GETPIVOTDATA("Sum of INTERNATIONAL",'Pivot Table'!$A$16)</f>
        <v>87</v>
      </c>
      <c r="I13" s="52">
        <f t="shared" si="2"/>
        <v>20.999782760867991</v>
      </c>
      <c r="J13" s="52">
        <f t="shared" si="3"/>
        <v>3</v>
      </c>
      <c r="L13" s="39" t="s">
        <v>76</v>
      </c>
      <c r="M13" s="40">
        <f>GETPIVOTDATA("Sum of INTERNATIONAL",'Pivot Table'!$A$28)</f>
        <v>37</v>
      </c>
      <c r="N13" s="52">
        <f t="shared" si="4"/>
        <v>8.3547848078399483</v>
      </c>
      <c r="O13" s="52">
        <f t="shared" si="5"/>
        <v>1.1935483870967742</v>
      </c>
      <c r="Q13" s="39" t="s">
        <v>76</v>
      </c>
      <c r="R13" s="40">
        <f>GETPIVOTDATA("Sum of INTERNATIONAL",'Pivot Table'!$A$40)</f>
        <v>14</v>
      </c>
      <c r="S13" s="52">
        <f t="shared" si="6"/>
        <v>3.2666775555918517</v>
      </c>
      <c r="T13" s="52">
        <f t="shared" si="7"/>
        <v>0.46666666666666667</v>
      </c>
      <c r="AD13" s="41"/>
    </row>
    <row r="14" spans="2:30" x14ac:dyDescent="0.25">
      <c r="B14" s="39" t="s">
        <v>77</v>
      </c>
      <c r="C14" s="40">
        <f>GETPIVOTDATA("Sum of INDUSTRY GUEST",'Pivot Table'!$A$4)</f>
        <v>32</v>
      </c>
      <c r="D14" s="52">
        <f t="shared" si="0"/>
        <v>7.2257598338075235</v>
      </c>
      <c r="E14" s="52">
        <f t="shared" si="1"/>
        <v>1.032258064516129</v>
      </c>
      <c r="G14" s="39" t="s">
        <v>77</v>
      </c>
      <c r="H14" s="40">
        <f>GETPIVOTDATA("Sum of INDUSTRY GUEST",'Pivot Table'!$A$16)</f>
        <v>18</v>
      </c>
      <c r="I14" s="52">
        <f t="shared" si="2"/>
        <v>4.3447826401795844</v>
      </c>
      <c r="J14" s="52">
        <f t="shared" si="3"/>
        <v>0.62068965517241381</v>
      </c>
      <c r="L14" s="39" t="s">
        <v>77</v>
      </c>
      <c r="M14" s="40">
        <f>GETPIVOTDATA("Sum of INDUSTRY GUEST",'Pivot Table'!$A$28)</f>
        <v>9</v>
      </c>
      <c r="N14" s="52">
        <f t="shared" si="4"/>
        <v>2.032244953258366</v>
      </c>
      <c r="O14" s="52">
        <f t="shared" si="5"/>
        <v>0.29032258064516131</v>
      </c>
      <c r="Q14" s="39" t="s">
        <v>77</v>
      </c>
      <c r="R14" s="40">
        <f>GETPIVOTDATA("Sum of INDUSTRY GUEST",'Pivot Table'!$A$40)</f>
        <v>16</v>
      </c>
      <c r="S14" s="52">
        <f t="shared" si="6"/>
        <v>3.7333457778192591</v>
      </c>
      <c r="T14" s="52">
        <f t="shared" si="7"/>
        <v>0.53333333333333333</v>
      </c>
      <c r="AD14" s="41"/>
    </row>
    <row r="15" spans="2:30" x14ac:dyDescent="0.25">
      <c r="B15" s="39" t="s">
        <v>5</v>
      </c>
      <c r="C15" s="40">
        <f>GETPIVOTDATA("Sum of MEMB GUEST MICLUB",'Pivot Table'!$A$4)</f>
        <v>471</v>
      </c>
      <c r="D15" s="52">
        <f t="shared" si="0"/>
        <v>106.35415255385449</v>
      </c>
      <c r="E15" s="52">
        <f t="shared" si="1"/>
        <v>15.193548387096774</v>
      </c>
      <c r="G15" s="39" t="s">
        <v>5</v>
      </c>
      <c r="H15" s="40">
        <f>GETPIVOTDATA("Sum of MEMB GUEST MICLUB",'Pivot Table'!$A$16)</f>
        <v>349</v>
      </c>
      <c r="I15" s="52">
        <f t="shared" si="2"/>
        <v>84.24050785681527</v>
      </c>
      <c r="J15" s="52">
        <f t="shared" si="3"/>
        <v>12.03448275862069</v>
      </c>
      <c r="L15" s="39" t="s">
        <v>5</v>
      </c>
      <c r="M15" s="40">
        <f>GETPIVOTDATA("Sum of MEMB GUEST MICLUB",'Pivot Table'!$A$28)</f>
        <v>339</v>
      </c>
      <c r="N15" s="52">
        <f t="shared" si="4"/>
        <v>76.547893239398448</v>
      </c>
      <c r="O15" s="52">
        <f t="shared" si="5"/>
        <v>10.935483870967742</v>
      </c>
      <c r="Q15" s="39" t="s">
        <v>5</v>
      </c>
      <c r="R15" s="40">
        <f>GETPIVOTDATA("Sum of MEMB GUEST MICLUB",'Pivot Table'!$A$40)</f>
        <v>253</v>
      </c>
      <c r="S15" s="52">
        <f t="shared" si="6"/>
        <v>59.033530111767035</v>
      </c>
      <c r="T15" s="52">
        <f t="shared" si="7"/>
        <v>8.4333333333333336</v>
      </c>
      <c r="AD15" s="41"/>
    </row>
    <row r="16" spans="2:30" ht="33" x14ac:dyDescent="0.25">
      <c r="B16" s="35" t="s">
        <v>78</v>
      </c>
      <c r="C16" s="40">
        <f>GETPIVOTDATA("Sum of MEMB GUEST UNACCOMPANIED",'Pivot Table'!$A$4)</f>
        <v>6</v>
      </c>
      <c r="D16" s="52">
        <f t="shared" si="0"/>
        <v>1.3548299688389107</v>
      </c>
      <c r="E16" s="52">
        <f t="shared" si="1"/>
        <v>0.19354838709677419</v>
      </c>
      <c r="G16" s="35" t="s">
        <v>78</v>
      </c>
      <c r="H16" s="40">
        <f>GETPIVOTDATA("Sum of MEMB GUEST UNACCOMPANIED",'Pivot Table'!$A$16)</f>
        <v>8</v>
      </c>
      <c r="I16" s="52">
        <f t="shared" si="2"/>
        <v>1.9310145067464819</v>
      </c>
      <c r="J16" s="52">
        <f t="shared" si="3"/>
        <v>0.27586206896551724</v>
      </c>
      <c r="L16" s="35" t="s">
        <v>78</v>
      </c>
      <c r="M16" s="40">
        <f>GETPIVOTDATA("Sum of MEMB GUEST UNACCOMPANIED",'Pivot Table'!$A$28)</f>
        <v>4</v>
      </c>
      <c r="N16" s="52">
        <f t="shared" si="4"/>
        <v>0.90321997922594044</v>
      </c>
      <c r="O16" s="52">
        <f t="shared" si="5"/>
        <v>0.12903225806451613</v>
      </c>
      <c r="Q16" s="35" t="s">
        <v>78</v>
      </c>
      <c r="R16" s="40">
        <f>GETPIVOTDATA("Sum of MEMB GUEST UNACCOMPANIED",'Pivot Table'!$A$40)</f>
        <v>0</v>
      </c>
      <c r="S16" s="52">
        <f t="shared" si="6"/>
        <v>0</v>
      </c>
      <c r="T16" s="52">
        <f t="shared" si="7"/>
        <v>0</v>
      </c>
      <c r="V16" s="62"/>
      <c r="AA16" s="62"/>
      <c r="AD16" s="41"/>
    </row>
    <row r="17" spans="2:30" x14ac:dyDescent="0.25">
      <c r="B17" s="39" t="s">
        <v>6</v>
      </c>
      <c r="C17" s="40">
        <f>GETPIVOTDATA("Sum of CORPORATE",'Pivot Table'!$A$4)</f>
        <v>0</v>
      </c>
      <c r="D17" s="52">
        <f t="shared" si="0"/>
        <v>0</v>
      </c>
      <c r="E17" s="52">
        <f t="shared" si="1"/>
        <v>0</v>
      </c>
      <c r="G17" s="39" t="s">
        <v>6</v>
      </c>
      <c r="H17" s="40">
        <f>GETPIVOTDATA("Sum of CORPORATE",'Pivot Table'!$A$16)</f>
        <v>220</v>
      </c>
      <c r="I17" s="52">
        <f t="shared" si="2"/>
        <v>53.102898935528252</v>
      </c>
      <c r="J17" s="52">
        <f t="shared" si="3"/>
        <v>7.5862068965517242</v>
      </c>
      <c r="L17" s="39" t="s">
        <v>6</v>
      </c>
      <c r="M17" s="40">
        <f>GETPIVOTDATA("Sum of CORPORATE",'Pivot Table'!$A$28)</f>
        <v>309</v>
      </c>
      <c r="N17" s="52">
        <f t="shared" si="4"/>
        <v>69.773743395203894</v>
      </c>
      <c r="O17" s="52">
        <f t="shared" si="5"/>
        <v>9.9677419354838701</v>
      </c>
      <c r="Q17" s="39" t="s">
        <v>6</v>
      </c>
      <c r="R17" s="40">
        <f>GETPIVOTDATA("Sum of CORPORATE",'Pivot Table'!$A$40)</f>
        <v>314</v>
      </c>
      <c r="S17" s="52">
        <f t="shared" si="6"/>
        <v>73.266910889702956</v>
      </c>
      <c r="T17" s="52">
        <f t="shared" si="7"/>
        <v>10.466666666666667</v>
      </c>
      <c r="AD17" s="41"/>
    </row>
    <row r="18" spans="2:30" x14ac:dyDescent="0.25">
      <c r="B18" s="39" t="s">
        <v>114</v>
      </c>
      <c r="C18" s="40">
        <f>GETPIVOTDATA("Sum of EVENT",'Pivot Table'!$A$4)</f>
        <v>52</v>
      </c>
      <c r="D18" s="52">
        <f t="shared" si="0"/>
        <v>11.741859729937225</v>
      </c>
      <c r="E18" s="52">
        <f t="shared" si="1"/>
        <v>1.6774193548387097</v>
      </c>
      <c r="G18" s="39" t="s">
        <v>114</v>
      </c>
      <c r="H18" s="40">
        <f>GETPIVOTDATA("Sum of EVENT",'Pivot Table'!$A$16)</f>
        <v>0</v>
      </c>
      <c r="I18" s="52">
        <f t="shared" si="2"/>
        <v>0</v>
      </c>
      <c r="J18" s="52">
        <f t="shared" si="3"/>
        <v>0</v>
      </c>
      <c r="L18" s="39" t="s">
        <v>114</v>
      </c>
      <c r="M18" s="40">
        <f>GETPIVOTDATA("Sum of EVENT",'Pivot Table'!$A$28)</f>
        <v>152</v>
      </c>
      <c r="N18" s="52">
        <f t="shared" si="4"/>
        <v>34.322359210585738</v>
      </c>
      <c r="O18" s="52">
        <f t="shared" si="5"/>
        <v>4.903225806451613</v>
      </c>
      <c r="Q18" s="39" t="s">
        <v>114</v>
      </c>
      <c r="R18" s="40">
        <f>GETPIVOTDATA("Sum of EVENT",'Pivot Table'!$A$40)</f>
        <v>156</v>
      </c>
      <c r="S18" s="52">
        <f t="shared" si="6"/>
        <v>36.400121333737779</v>
      </c>
      <c r="T18" s="52">
        <f t="shared" si="7"/>
        <v>5.2</v>
      </c>
      <c r="AD18" s="41"/>
    </row>
    <row r="19" spans="2:30" x14ac:dyDescent="0.25">
      <c r="B19" s="39" t="s">
        <v>84</v>
      </c>
      <c r="C19" s="40">
        <f>GETPIVOTDATA("Sum of NON-PLAYING",'Pivot Table'!$A$4)</f>
        <v>43</v>
      </c>
      <c r="D19" s="52">
        <f t="shared" si="0"/>
        <v>9.7096147766788601</v>
      </c>
      <c r="E19" s="52">
        <f t="shared" si="1"/>
        <v>1.3870967741935485</v>
      </c>
      <c r="G19" s="39" t="s">
        <v>84</v>
      </c>
      <c r="H19" s="40">
        <f>GETPIVOTDATA("Sum of NON-PLAYING",'Pivot Table'!$A$16)</f>
        <v>41</v>
      </c>
      <c r="I19" s="52">
        <f t="shared" si="2"/>
        <v>9.8964493470757198</v>
      </c>
      <c r="J19" s="52">
        <f t="shared" si="3"/>
        <v>1.4137931034482758</v>
      </c>
      <c r="L19" s="39" t="s">
        <v>84</v>
      </c>
      <c r="M19" s="40">
        <f>GETPIVOTDATA("Sum of NON-PLAYING",'Pivot Table'!$A$28)</f>
        <v>30</v>
      </c>
      <c r="N19" s="52">
        <f t="shared" si="4"/>
        <v>6.7741498441945529</v>
      </c>
      <c r="O19" s="52">
        <f t="shared" si="5"/>
        <v>0.967741935483871</v>
      </c>
      <c r="Q19" s="39" t="s">
        <v>84</v>
      </c>
      <c r="R19" s="40">
        <f>GETPIVOTDATA("Sum of NON-PLAYING",'Pivot Table'!$A$40)</f>
        <v>22</v>
      </c>
      <c r="S19" s="52">
        <f t="shared" si="6"/>
        <v>5.133350444501481</v>
      </c>
      <c r="T19" s="52">
        <f t="shared" si="7"/>
        <v>0.73333333333333328</v>
      </c>
      <c r="AD19" s="41"/>
    </row>
    <row r="20" spans="2:30" x14ac:dyDescent="0.25">
      <c r="B20" s="39" t="s">
        <v>79</v>
      </c>
      <c r="C20" s="40">
        <f>GETPIVOTDATA("Sum of VOUCHER",'Pivot Table'!$A$4)</f>
        <v>37</v>
      </c>
      <c r="D20" s="52">
        <f t="shared" si="0"/>
        <v>8.3547848078399483</v>
      </c>
      <c r="E20" s="52">
        <f t="shared" si="1"/>
        <v>1.1935483870967742</v>
      </c>
      <c r="G20" s="39" t="s">
        <v>79</v>
      </c>
      <c r="H20" s="40">
        <f>GETPIVOTDATA("Sum of VOUCHER",'Pivot Table'!$A$16)</f>
        <v>21</v>
      </c>
      <c r="I20" s="52">
        <f t="shared" si="2"/>
        <v>5.0689130802095148</v>
      </c>
      <c r="J20" s="52">
        <f t="shared" si="3"/>
        <v>0.72413793103448276</v>
      </c>
      <c r="L20" s="39" t="s">
        <v>79</v>
      </c>
      <c r="M20" s="40">
        <f>GETPIVOTDATA("Sum of VOUCHER",'Pivot Table'!$A$28)</f>
        <v>37</v>
      </c>
      <c r="N20" s="52">
        <f t="shared" si="4"/>
        <v>8.3547848078399483</v>
      </c>
      <c r="O20" s="52">
        <f t="shared" si="5"/>
        <v>1.1935483870967742</v>
      </c>
      <c r="Q20" s="39" t="s">
        <v>79</v>
      </c>
      <c r="R20" s="40">
        <f>GETPIVOTDATA("Sum of VOUCHER",'Pivot Table'!$A$40)</f>
        <v>45</v>
      </c>
      <c r="S20" s="52">
        <f t="shared" si="6"/>
        <v>10.500035000116666</v>
      </c>
      <c r="T20" s="52">
        <f t="shared" si="7"/>
        <v>1.5</v>
      </c>
      <c r="AD20" s="41"/>
    </row>
    <row r="21" spans="2:30" x14ac:dyDescent="0.25">
      <c r="B21" s="39" t="s">
        <v>7</v>
      </c>
      <c r="C21" s="40">
        <f>GETPIVOTDATA("Sum of RECIP",'Pivot Table'!$A$4)</f>
        <v>153</v>
      </c>
      <c r="D21" s="52">
        <f t="shared" si="0"/>
        <v>34.548164205392219</v>
      </c>
      <c r="E21" s="52">
        <f t="shared" si="1"/>
        <v>4.935483870967742</v>
      </c>
      <c r="G21" s="39" t="s">
        <v>7</v>
      </c>
      <c r="H21" s="40">
        <f>GETPIVOTDATA("Sum of RECIP",'Pivot Table'!$A$16)</f>
        <v>102</v>
      </c>
      <c r="I21" s="52">
        <f t="shared" si="2"/>
        <v>24.620434961017644</v>
      </c>
      <c r="J21" s="52">
        <f t="shared" si="3"/>
        <v>3.5172413793103448</v>
      </c>
      <c r="L21" s="39" t="s">
        <v>7</v>
      </c>
      <c r="M21" s="40">
        <f>GETPIVOTDATA("Sum of RECIP",'Pivot Table'!$A$28)</f>
        <v>72</v>
      </c>
      <c r="N21" s="52">
        <f t="shared" si="4"/>
        <v>16.257959626066928</v>
      </c>
      <c r="O21" s="52">
        <f t="shared" si="5"/>
        <v>2.3225806451612905</v>
      </c>
      <c r="Q21" s="39" t="s">
        <v>7</v>
      </c>
      <c r="R21" s="40">
        <f>GETPIVOTDATA("Sum of RECIP",'Pivot Table'!$A$40)</f>
        <v>89</v>
      </c>
      <c r="S21" s="52">
        <f t="shared" si="6"/>
        <v>20.76673588911963</v>
      </c>
      <c r="T21" s="52">
        <f t="shared" si="7"/>
        <v>2.9666666666666668</v>
      </c>
      <c r="AD21" s="41"/>
    </row>
    <row r="22" spans="2:30" x14ac:dyDescent="0.25">
      <c r="B22" s="39" t="s">
        <v>80</v>
      </c>
      <c r="C22" s="40">
        <f>GETPIVOTDATA("Sum of COMP",'Pivot Table'!$A$4)</f>
        <v>2711</v>
      </c>
      <c r="D22" s="52">
        <f t="shared" si="0"/>
        <v>612.1573409203811</v>
      </c>
      <c r="E22" s="52">
        <f t="shared" si="1"/>
        <v>87.451612903225808</v>
      </c>
      <c r="G22" s="39" t="s">
        <v>80</v>
      </c>
      <c r="H22" s="40">
        <f>GETPIVOTDATA("Sum of COMP",'Pivot Table'!$A$16)</f>
        <v>2275</v>
      </c>
      <c r="I22" s="52">
        <f t="shared" si="2"/>
        <v>549.1322503560308</v>
      </c>
      <c r="J22" s="52">
        <f t="shared" si="3"/>
        <v>78.448275862068968</v>
      </c>
      <c r="L22" s="39" t="s">
        <v>80</v>
      </c>
      <c r="M22" s="40">
        <f>GETPIVOTDATA("Sum of COMP",'Pivot Table'!$A$28)</f>
        <v>2107</v>
      </c>
      <c r="N22" s="52">
        <f t="shared" si="4"/>
        <v>475.7711240572641</v>
      </c>
      <c r="O22" s="52">
        <f t="shared" si="5"/>
        <v>67.967741935483872</v>
      </c>
      <c r="Q22" s="39" t="s">
        <v>80</v>
      </c>
      <c r="R22" s="40">
        <f>GETPIVOTDATA("Sum of COMP",'Pivot Table'!$A$40)</f>
        <v>2144</v>
      </c>
      <c r="S22" s="52">
        <f t="shared" si="6"/>
        <v>500.26833422778071</v>
      </c>
      <c r="T22" s="52">
        <f t="shared" si="7"/>
        <v>71.466666666666669</v>
      </c>
      <c r="AD22" s="41"/>
    </row>
    <row r="25" spans="2:30" s="34" customFormat="1" ht="21" x14ac:dyDescent="0.25">
      <c r="B25" s="97" t="s">
        <v>11</v>
      </c>
      <c r="C25" s="99"/>
      <c r="D25" s="42" t="s">
        <v>102</v>
      </c>
      <c r="E25" s="42" t="s">
        <v>101</v>
      </c>
      <c r="G25" s="97" t="s">
        <v>12</v>
      </c>
      <c r="H25" s="99"/>
      <c r="I25" s="42" t="s">
        <v>102</v>
      </c>
      <c r="J25" s="42" t="s">
        <v>101</v>
      </c>
      <c r="L25" s="102" t="s">
        <v>13</v>
      </c>
      <c r="M25" s="102"/>
      <c r="N25" s="42" t="s">
        <v>102</v>
      </c>
      <c r="O25" s="42" t="s">
        <v>101</v>
      </c>
      <c r="Q25" s="102" t="s">
        <v>14</v>
      </c>
      <c r="R25" s="102"/>
      <c r="S25" s="42" t="s">
        <v>102</v>
      </c>
      <c r="T25" s="42" t="s">
        <v>101</v>
      </c>
      <c r="V25" s="101"/>
      <c r="W25" s="101"/>
      <c r="AA25" s="101"/>
      <c r="AB25" s="101"/>
    </row>
    <row r="26" spans="2:30" x14ac:dyDescent="0.25">
      <c r="J26" s="6"/>
    </row>
    <row r="27" spans="2:30" x14ac:dyDescent="0.25">
      <c r="B27" s="39" t="s">
        <v>1</v>
      </c>
      <c r="C27" s="40">
        <f>GETPIVOTDATA("Sum of AM FIELD",'Pivot Table'!$A$52)</f>
        <v>2487</v>
      </c>
      <c r="D27" s="52">
        <f t="shared" ref="D27:D44" si="8">SUM(C27/4.4286)</f>
        <v>561.57702208372848</v>
      </c>
      <c r="E27" s="52">
        <f t="shared" ref="E27:E44" si="9">SUM(C27/31)</f>
        <v>80.225806451612897</v>
      </c>
      <c r="G27" s="39" t="s">
        <v>1</v>
      </c>
      <c r="H27" s="40">
        <f>GETPIVOTDATA("Sum of AM FIELD",'Pivot Table'!$A$64)</f>
        <v>2046</v>
      </c>
      <c r="I27" s="52">
        <f t="shared" ref="I27:I44" si="10">SUM(H27/4.4286)</f>
        <v>461.99701937406854</v>
      </c>
      <c r="J27" s="52">
        <f t="shared" ref="J27:J44" si="11">SUM(H27/30)</f>
        <v>68.2</v>
      </c>
      <c r="L27" s="39" t="s">
        <v>1</v>
      </c>
      <c r="M27" s="40">
        <f>GETPIVOTDATA("Sum of AM FIELD",'Pivot Table'!$A$76)</f>
        <v>1966</v>
      </c>
      <c r="N27" s="52">
        <f>SUM(M27/4.4286)</f>
        <v>443.93261978954973</v>
      </c>
      <c r="O27" s="52">
        <f>SUM(M27/31)</f>
        <v>63.41935483870968</v>
      </c>
      <c r="Q27" s="39" t="s">
        <v>1</v>
      </c>
      <c r="R27" s="40">
        <f>GETPIVOTDATA("Sum of AM FIELD",'Pivot Table'!$A$88)</f>
        <v>2248</v>
      </c>
      <c r="S27" s="52">
        <f>SUM(R27/4.4286)</f>
        <v>507.60962832497853</v>
      </c>
      <c r="T27" s="52">
        <f>SUM(R27/31)</f>
        <v>72.516129032258064</v>
      </c>
    </row>
    <row r="28" spans="2:30" customFormat="1" x14ac:dyDescent="0.25">
      <c r="B28" s="39" t="s">
        <v>2</v>
      </c>
      <c r="C28" s="40">
        <f>GETPIVOTDATA("Sum of PM FIELD",'Pivot Table'!$A$52)</f>
        <v>2173</v>
      </c>
      <c r="D28" s="52">
        <f t="shared" si="8"/>
        <v>490.67425371449212</v>
      </c>
      <c r="E28" s="52">
        <f t="shared" si="9"/>
        <v>70.096774193548384</v>
      </c>
      <c r="F28" s="6"/>
      <c r="G28" s="39" t="s">
        <v>2</v>
      </c>
      <c r="H28" s="40">
        <f>GETPIVOTDATA("Sum of PM FIELD",'Pivot Table'!$A$64)</f>
        <v>1859</v>
      </c>
      <c r="I28" s="52">
        <f t="shared" si="10"/>
        <v>419.77148534525583</v>
      </c>
      <c r="J28" s="52">
        <f t="shared" si="11"/>
        <v>61.966666666666669</v>
      </c>
      <c r="L28" s="39" t="s">
        <v>2</v>
      </c>
      <c r="M28" s="40">
        <f>GETPIVOTDATA("Sum of PM FIELD",'Pivot Table'!$A$76)</f>
        <v>1784</v>
      </c>
      <c r="N28" s="52">
        <f t="shared" ref="N28:N38" si="12">SUM(M28/4.4286)</f>
        <v>402.83611073476942</v>
      </c>
      <c r="O28" s="52">
        <f t="shared" ref="O28:O38" si="13">SUM(M28/31)</f>
        <v>57.548387096774192</v>
      </c>
      <c r="P28" s="6"/>
      <c r="Q28" s="39" t="s">
        <v>2</v>
      </c>
      <c r="R28" s="40">
        <f>GETPIVOTDATA("Sum of PM FIELD",'Pivot Table'!$A$88)</f>
        <v>1807</v>
      </c>
      <c r="S28" s="52">
        <f t="shared" ref="S28:S38" si="14">SUM(R28/4.4286)</f>
        <v>408.02962561531859</v>
      </c>
      <c r="T28" s="52">
        <f t="shared" ref="T28:T38" si="15">SUM(R28/31)</f>
        <v>58.29032258064516</v>
      </c>
    </row>
    <row r="29" spans="2:30" customFormat="1" x14ac:dyDescent="0.25">
      <c r="B29" s="39" t="s">
        <v>3</v>
      </c>
      <c r="C29" s="40">
        <f>GETPIVOTDATA("Sum of TOTAL FIELD",'Pivot Table'!$A$52)</f>
        <v>4660</v>
      </c>
      <c r="D29" s="52">
        <f t="shared" si="8"/>
        <v>1052.2512757982206</v>
      </c>
      <c r="E29" s="52">
        <f t="shared" si="9"/>
        <v>150.32258064516128</v>
      </c>
      <c r="F29" s="6"/>
      <c r="G29" s="39" t="s">
        <v>3</v>
      </c>
      <c r="H29" s="40">
        <f>GETPIVOTDATA("Sum of TOTAL FIELD",'Pivot Table'!$A$64)</f>
        <v>3905</v>
      </c>
      <c r="I29" s="52">
        <f t="shared" si="10"/>
        <v>881.76850471932437</v>
      </c>
      <c r="J29" s="52">
        <f t="shared" si="11"/>
        <v>130.16666666666666</v>
      </c>
      <c r="L29" s="39" t="s">
        <v>3</v>
      </c>
      <c r="M29" s="40">
        <f>GETPIVOTDATA("Sum of TOTAL FIELD",'Pivot Table'!$A$76)</f>
        <v>3750</v>
      </c>
      <c r="N29" s="52">
        <f t="shared" si="12"/>
        <v>846.76873052431915</v>
      </c>
      <c r="O29" s="52">
        <f t="shared" si="13"/>
        <v>120.96774193548387</v>
      </c>
      <c r="P29" s="6"/>
      <c r="Q29" s="39" t="s">
        <v>3</v>
      </c>
      <c r="R29" s="40">
        <f>SUM(R27:R28)</f>
        <v>4055</v>
      </c>
      <c r="S29" s="52">
        <f t="shared" si="14"/>
        <v>915.63925394029707</v>
      </c>
      <c r="T29" s="52">
        <f t="shared" si="15"/>
        <v>130.80645161290323</v>
      </c>
    </row>
    <row r="30" spans="2:30" customFormat="1" x14ac:dyDescent="0.25">
      <c r="B30" s="39" t="s">
        <v>82</v>
      </c>
      <c r="C30" s="40">
        <f>GETPIVOTDATA("Sum of No. GUESTS",'Pivot Table'!$A$52)</f>
        <v>837</v>
      </c>
      <c r="D30" s="52">
        <f t="shared" si="8"/>
        <v>188.99878065302804</v>
      </c>
      <c r="E30" s="52">
        <f t="shared" si="9"/>
        <v>27</v>
      </c>
      <c r="F30" s="6"/>
      <c r="G30" s="39" t="s">
        <v>82</v>
      </c>
      <c r="H30" s="40">
        <f>GETPIVOTDATA("Sum of No. GUESTS",'Pivot Table'!$A$64)</f>
        <v>587</v>
      </c>
      <c r="I30" s="52">
        <f t="shared" si="10"/>
        <v>132.54753195140677</v>
      </c>
      <c r="J30" s="52">
        <f t="shared" si="11"/>
        <v>19.566666666666666</v>
      </c>
      <c r="L30" s="39" t="s">
        <v>82</v>
      </c>
      <c r="M30" s="40">
        <f>GETPIVOTDATA("Sum of No. GUESTS",'Pivot Table'!$A$76)</f>
        <v>668</v>
      </c>
      <c r="N30" s="52">
        <f t="shared" si="12"/>
        <v>150.83773653073206</v>
      </c>
      <c r="O30" s="52">
        <f t="shared" si="13"/>
        <v>21.548387096774192</v>
      </c>
      <c r="P30" s="6"/>
      <c r="Q30" s="39" t="s">
        <v>82</v>
      </c>
      <c r="R30" s="40">
        <f>GETPIVOTDATA("Sum of No. GUESTS",'Pivot Table'!$A$88)</f>
        <v>654</v>
      </c>
      <c r="S30" s="52">
        <f t="shared" si="14"/>
        <v>147.67646660344127</v>
      </c>
      <c r="T30" s="52">
        <f t="shared" si="15"/>
        <v>21.096774193548388</v>
      </c>
    </row>
    <row r="31" spans="2:30" customFormat="1" ht="33" x14ac:dyDescent="0.25">
      <c r="B31" s="53" t="s">
        <v>74</v>
      </c>
      <c r="C31" s="43">
        <f>SUM(C30/C29)</f>
        <v>0.17961373390557939</v>
      </c>
      <c r="D31" s="43">
        <f t="shared" si="8"/>
        <v>4.0557678251722754E-2</v>
      </c>
      <c r="E31" s="43">
        <f t="shared" si="9"/>
        <v>5.7939914163090125E-3</v>
      </c>
      <c r="F31" s="54"/>
      <c r="G31" s="53" t="s">
        <v>74</v>
      </c>
      <c r="H31" s="43">
        <f>SUM(H30/H29)</f>
        <v>0.15032010243277849</v>
      </c>
      <c r="I31" s="43">
        <f t="shared" si="10"/>
        <v>3.3943029949143853E-2</v>
      </c>
      <c r="J31" s="43">
        <f t="shared" si="11"/>
        <v>5.0106700810926162E-3</v>
      </c>
      <c r="L31" s="53" t="s">
        <v>74</v>
      </c>
      <c r="M31" s="43">
        <f>SUM(M30/M29)</f>
        <v>0.17813333333333334</v>
      </c>
      <c r="N31" s="43">
        <f t="shared" si="12"/>
        <v>4.0223396408195215E-2</v>
      </c>
      <c r="O31" s="43">
        <f t="shared" si="13"/>
        <v>5.7462365591397849E-3</v>
      </c>
      <c r="P31" s="54"/>
      <c r="Q31" s="53" t="s">
        <v>74</v>
      </c>
      <c r="R31" s="43">
        <f>SUM(R30/R29)</f>
        <v>0.16128236744759555</v>
      </c>
      <c r="S31" s="43">
        <f t="shared" si="14"/>
        <v>3.6418364143881936E-2</v>
      </c>
      <c r="T31" s="43">
        <f t="shared" si="15"/>
        <v>5.2026570144385661E-3</v>
      </c>
    </row>
    <row r="32" spans="2:30" customFormat="1" x14ac:dyDescent="0.25">
      <c r="B32" s="35" t="s">
        <v>4</v>
      </c>
      <c r="C32" s="40">
        <f>GETPIVOTDATA("Sum of MEMBER",'Pivot Table'!$A$52)</f>
        <v>3800</v>
      </c>
      <c r="D32" s="52">
        <f t="shared" si="8"/>
        <v>858.05898026464342</v>
      </c>
      <c r="E32" s="52">
        <f t="shared" si="9"/>
        <v>122.58064516129032</v>
      </c>
      <c r="F32" s="6"/>
      <c r="G32" s="35" t="s">
        <v>4</v>
      </c>
      <c r="H32" s="40">
        <f>GETPIVOTDATA("Sum of MEMBER",'Pivot Table'!$A$64)</f>
        <v>3296</v>
      </c>
      <c r="I32" s="52">
        <f t="shared" si="10"/>
        <v>744.25326288217491</v>
      </c>
      <c r="J32" s="52">
        <f t="shared" si="11"/>
        <v>109.86666666666666</v>
      </c>
      <c r="L32" s="35" t="s">
        <v>4</v>
      </c>
      <c r="M32" s="40">
        <f>GETPIVOTDATA("Sum of MEMBER",'Pivot Table'!$A$76)</f>
        <v>3070</v>
      </c>
      <c r="N32" s="52">
        <f t="shared" si="12"/>
        <v>693.22133405590932</v>
      </c>
      <c r="O32" s="52">
        <f t="shared" si="13"/>
        <v>99.032258064516128</v>
      </c>
      <c r="P32" s="6"/>
      <c r="Q32" s="35" t="s">
        <v>4</v>
      </c>
      <c r="R32" s="40">
        <f>GETPIVOTDATA("Sum of MEMBER",'Pivot Table'!$A$88)</f>
        <v>3391</v>
      </c>
      <c r="S32" s="52">
        <f t="shared" si="14"/>
        <v>765.70473738879093</v>
      </c>
      <c r="T32" s="52">
        <f t="shared" si="15"/>
        <v>109.38709677419355</v>
      </c>
    </row>
    <row r="33" spans="2:20" customFormat="1" x14ac:dyDescent="0.25">
      <c r="B33" s="39" t="s">
        <v>83</v>
      </c>
      <c r="C33" s="40">
        <f>GETPIVOTDATA("Sum of MANAGER INTRO",'Pivot Table'!$A$52)</f>
        <v>5</v>
      </c>
      <c r="D33" s="52">
        <f t="shared" si="8"/>
        <v>1.1290249740324254</v>
      </c>
      <c r="E33" s="52">
        <f t="shared" si="9"/>
        <v>0.16129032258064516</v>
      </c>
      <c r="F33" s="6"/>
      <c r="G33" s="39" t="s">
        <v>83</v>
      </c>
      <c r="H33" s="40">
        <f>GETPIVOTDATA("Sum of MANAGER INTRO",'Pivot Table'!$A$64)</f>
        <v>12</v>
      </c>
      <c r="I33" s="52">
        <f t="shared" si="10"/>
        <v>2.7096599376778214</v>
      </c>
      <c r="J33" s="52">
        <f t="shared" si="11"/>
        <v>0.4</v>
      </c>
      <c r="L33" s="39" t="s">
        <v>83</v>
      </c>
      <c r="M33" s="40">
        <f>GETPIVOTDATA("Sum of MANAGER INTRO",'Pivot Table'!$A$76)</f>
        <v>8</v>
      </c>
      <c r="N33" s="52">
        <f t="shared" si="12"/>
        <v>1.8064399584518809</v>
      </c>
      <c r="O33" s="52">
        <f t="shared" si="13"/>
        <v>0.25806451612903225</v>
      </c>
      <c r="P33" s="6"/>
      <c r="Q33" s="39" t="s">
        <v>83</v>
      </c>
      <c r="R33" s="40">
        <f>GETPIVOTDATA("Sum of MANAGER INTRO",'Pivot Table'!$A$88)</f>
        <v>14</v>
      </c>
      <c r="S33" s="52">
        <f t="shared" si="14"/>
        <v>3.1612699272907916</v>
      </c>
      <c r="T33" s="52">
        <f t="shared" si="15"/>
        <v>0.45161290322580644</v>
      </c>
    </row>
    <row r="34" spans="2:20" customFormat="1" x14ac:dyDescent="0.25">
      <c r="B34" s="39" t="s">
        <v>75</v>
      </c>
      <c r="C34" s="40">
        <f>GETPIVOTDATA("Sum of INTERSTATE",'Pivot Table'!$A$52)</f>
        <v>3</v>
      </c>
      <c r="D34" s="52">
        <f t="shared" si="8"/>
        <v>0.67741498441945536</v>
      </c>
      <c r="E34" s="52">
        <f t="shared" si="9"/>
        <v>9.6774193548387094E-2</v>
      </c>
      <c r="F34" s="6"/>
      <c r="G34" s="39" t="s">
        <v>75</v>
      </c>
      <c r="H34" s="40">
        <f>GETPIVOTDATA("Sum of INTERSTATE",'Pivot Table'!$A$64)</f>
        <v>42</v>
      </c>
      <c r="I34" s="52">
        <f t="shared" si="10"/>
        <v>9.4838097818723739</v>
      </c>
      <c r="J34" s="52">
        <f t="shared" si="11"/>
        <v>1.4</v>
      </c>
      <c r="L34" s="39" t="s">
        <v>75</v>
      </c>
      <c r="M34" s="40">
        <f>GETPIVOTDATA("Sum of INTERSTATE",'Pivot Table'!$A$76)</f>
        <v>5</v>
      </c>
      <c r="N34" s="52">
        <f t="shared" si="12"/>
        <v>1.1290249740324254</v>
      </c>
      <c r="O34" s="52">
        <f t="shared" si="13"/>
        <v>0.16129032258064516</v>
      </c>
      <c r="P34" s="6"/>
      <c r="Q34" s="39" t="s">
        <v>75</v>
      </c>
      <c r="R34" s="40">
        <f>GETPIVOTDATA("Sum of INTERSTATE",'Pivot Table'!$A$88)</f>
        <v>8</v>
      </c>
      <c r="S34" s="52">
        <f t="shared" si="14"/>
        <v>1.8064399584518809</v>
      </c>
      <c r="T34" s="52">
        <f t="shared" si="15"/>
        <v>0.25806451612903225</v>
      </c>
    </row>
    <row r="35" spans="2:20" customFormat="1" x14ac:dyDescent="0.25">
      <c r="B35" s="39" t="s">
        <v>76</v>
      </c>
      <c r="C35" s="40">
        <f>GETPIVOTDATA("Sum of INTERNATIONAL",'Pivot Table'!$A$52)</f>
        <v>7</v>
      </c>
      <c r="D35" s="52">
        <f t="shared" si="8"/>
        <v>1.5806349636453958</v>
      </c>
      <c r="E35" s="52">
        <f t="shared" si="9"/>
        <v>0.22580645161290322</v>
      </c>
      <c r="F35" s="6"/>
      <c r="G35" s="39" t="s">
        <v>76</v>
      </c>
      <c r="H35" s="40">
        <f>GETPIVOTDATA("Sum of INTERNATIONAL",'Pivot Table'!$A$64)</f>
        <v>5</v>
      </c>
      <c r="I35" s="52">
        <f t="shared" si="10"/>
        <v>1.1290249740324254</v>
      </c>
      <c r="J35" s="52">
        <f t="shared" si="11"/>
        <v>0.16666666666666666</v>
      </c>
      <c r="L35" s="39" t="s">
        <v>76</v>
      </c>
      <c r="M35" s="40">
        <f>GETPIVOTDATA("Sum of INTERNATIONAL",'Pivot Table'!$A$76)</f>
        <v>1</v>
      </c>
      <c r="N35" s="52">
        <f t="shared" si="12"/>
        <v>0.22580499480648511</v>
      </c>
      <c r="O35" s="52">
        <f t="shared" si="13"/>
        <v>3.2258064516129031E-2</v>
      </c>
      <c r="P35" s="6"/>
      <c r="Q35" s="39" t="s">
        <v>76</v>
      </c>
      <c r="R35" s="40">
        <f>GETPIVOTDATA("Sum of INTERNATIONAL",'Pivot Table'!$A$88)</f>
        <v>17</v>
      </c>
      <c r="S35" s="52">
        <f t="shared" si="14"/>
        <v>3.8386849117102466</v>
      </c>
      <c r="T35" s="52">
        <f t="shared" si="15"/>
        <v>0.54838709677419351</v>
      </c>
    </row>
    <row r="36" spans="2:20" customFormat="1" x14ac:dyDescent="0.25">
      <c r="B36" s="39" t="s">
        <v>77</v>
      </c>
      <c r="C36" s="40">
        <f>GETPIVOTDATA("Sum of INDUSTRY GUEST",'Pivot Table'!$A$52)</f>
        <v>2</v>
      </c>
      <c r="D36" s="52">
        <f t="shared" si="8"/>
        <v>0.45160998961297022</v>
      </c>
      <c r="E36" s="52">
        <f t="shared" si="9"/>
        <v>6.4516129032258063E-2</v>
      </c>
      <c r="F36" s="6"/>
      <c r="G36" s="39" t="s">
        <v>77</v>
      </c>
      <c r="H36" s="40">
        <f>GETPIVOTDATA("Sum of INDUSTRY GUEST",'Pivot Table'!$A$64)</f>
        <v>0</v>
      </c>
      <c r="I36" s="52">
        <f t="shared" si="10"/>
        <v>0</v>
      </c>
      <c r="J36" s="52">
        <f t="shared" si="11"/>
        <v>0</v>
      </c>
      <c r="L36" s="39" t="s">
        <v>77</v>
      </c>
      <c r="M36" s="40">
        <f>GETPIVOTDATA("Sum of INDUSTRY GUEST",'Pivot Table'!$A$76)</f>
        <v>5</v>
      </c>
      <c r="N36" s="52">
        <f t="shared" si="12"/>
        <v>1.1290249740324254</v>
      </c>
      <c r="O36" s="52">
        <f t="shared" si="13"/>
        <v>0.16129032258064516</v>
      </c>
      <c r="P36" s="6"/>
      <c r="Q36" s="39" t="s">
        <v>77</v>
      </c>
      <c r="R36" s="40">
        <f>GETPIVOTDATA("Sum of INDUSTRY GUEST",'Pivot Table'!$A$88)</f>
        <v>2</v>
      </c>
      <c r="S36" s="52">
        <f t="shared" si="14"/>
        <v>0.45160998961297022</v>
      </c>
      <c r="T36" s="52">
        <f t="shared" si="15"/>
        <v>6.4516129032258063E-2</v>
      </c>
    </row>
    <row r="37" spans="2:20" customFormat="1" x14ac:dyDescent="0.25">
      <c r="B37" s="39" t="s">
        <v>5</v>
      </c>
      <c r="C37" s="40">
        <f>GETPIVOTDATA("Sum of MEMB GUEST MICLUB",'Pivot Table'!$A$52)</f>
        <v>356</v>
      </c>
      <c r="D37" s="52">
        <f t="shared" si="8"/>
        <v>80.386578151108694</v>
      </c>
      <c r="E37" s="52">
        <f t="shared" si="9"/>
        <v>11.483870967741936</v>
      </c>
      <c r="F37" s="6"/>
      <c r="G37" s="39" t="s">
        <v>5</v>
      </c>
      <c r="H37" s="40">
        <f>GETPIVOTDATA("Sum of MEMB GUEST MICLUB",'Pivot Table'!$A$64)</f>
        <v>287</v>
      </c>
      <c r="I37" s="52">
        <f t="shared" si="10"/>
        <v>64.80603350946123</v>
      </c>
      <c r="J37" s="52">
        <f t="shared" si="11"/>
        <v>9.5666666666666664</v>
      </c>
      <c r="L37" s="39" t="s">
        <v>5</v>
      </c>
      <c r="M37" s="40">
        <f>GETPIVOTDATA("Sum of MEMB GUEST MICLUB",'Pivot Table'!$A$76)</f>
        <v>218</v>
      </c>
      <c r="N37" s="52">
        <f t="shared" si="12"/>
        <v>49.225488867813752</v>
      </c>
      <c r="O37" s="52">
        <f t="shared" si="13"/>
        <v>7.032258064516129</v>
      </c>
      <c r="P37" s="6"/>
      <c r="Q37" s="39" t="s">
        <v>5</v>
      </c>
      <c r="R37" s="40">
        <f>GETPIVOTDATA("Sum of MEMB GUEST MICLUB",'Pivot Table'!$A$88)</f>
        <v>254</v>
      </c>
      <c r="S37" s="52">
        <f t="shared" si="14"/>
        <v>57.354468680847219</v>
      </c>
      <c r="T37" s="52">
        <f t="shared" si="15"/>
        <v>8.193548387096774</v>
      </c>
    </row>
    <row r="38" spans="2:20" customFormat="1" ht="33" x14ac:dyDescent="0.25">
      <c r="B38" s="35" t="s">
        <v>78</v>
      </c>
      <c r="C38" s="40">
        <f>GETPIVOTDATA("Sum of MEMB GUEST UNACCOMPANIED",'Pivot Table'!$A$52)</f>
        <v>10</v>
      </c>
      <c r="D38" s="52">
        <f t="shared" si="8"/>
        <v>2.2580499480648508</v>
      </c>
      <c r="E38" s="52">
        <f t="shared" si="9"/>
        <v>0.32258064516129031</v>
      </c>
      <c r="F38" s="6"/>
      <c r="G38" s="35" t="s">
        <v>78</v>
      </c>
      <c r="H38" s="40">
        <f>GETPIVOTDATA("Sum of MEMB GUEST UNACCOMPANIED",'Pivot Table'!$A$64)</f>
        <v>0</v>
      </c>
      <c r="I38" s="52">
        <f t="shared" si="10"/>
        <v>0</v>
      </c>
      <c r="J38" s="52">
        <f t="shared" si="11"/>
        <v>0</v>
      </c>
      <c r="L38" s="35" t="s">
        <v>78</v>
      </c>
      <c r="M38" s="40">
        <f>GETPIVOTDATA("Sum of MEMB GUEST UNACCOMPANIED",'Pivot Table'!$A$76)</f>
        <v>0</v>
      </c>
      <c r="N38" s="52">
        <f t="shared" si="12"/>
        <v>0</v>
      </c>
      <c r="O38" s="52">
        <f t="shared" si="13"/>
        <v>0</v>
      </c>
      <c r="P38" s="6"/>
      <c r="Q38" s="35" t="s">
        <v>78</v>
      </c>
      <c r="R38" s="40">
        <f>GETPIVOTDATA("Sum of MEMB GUEST UNACCOMPANIED",'Pivot Table'!$A$88)</f>
        <v>4</v>
      </c>
      <c r="S38" s="52">
        <f t="shared" si="14"/>
        <v>0.90321997922594044</v>
      </c>
      <c r="T38" s="52">
        <f t="shared" si="15"/>
        <v>0.12903225806451613</v>
      </c>
    </row>
    <row r="39" spans="2:20" customFormat="1" x14ac:dyDescent="0.25">
      <c r="B39" s="39" t="s">
        <v>6</v>
      </c>
      <c r="C39" s="40">
        <f>GETPIVOTDATA("Sum of CORPORATE",'Pivot Table'!$A$52)</f>
        <v>322</v>
      </c>
      <c r="D39" s="52">
        <f t="shared" si="8"/>
        <v>72.709208327688202</v>
      </c>
      <c r="E39" s="52">
        <f t="shared" si="9"/>
        <v>10.387096774193548</v>
      </c>
      <c r="F39" s="6"/>
      <c r="G39" s="39" t="s">
        <v>6</v>
      </c>
      <c r="H39" s="40">
        <f>GETPIVOTDATA("Sum of CORPORATE",'Pivot Table'!$A$64)</f>
        <v>108</v>
      </c>
      <c r="I39" s="52">
        <f t="shared" si="10"/>
        <v>24.386939439100392</v>
      </c>
      <c r="J39" s="52">
        <f t="shared" si="11"/>
        <v>3.6</v>
      </c>
      <c r="L39" s="39" t="s">
        <v>6</v>
      </c>
      <c r="M39" s="40">
        <f>GETPIVOTDATA("Sum of CORPORATE",'Pivot Table'!$A$76)</f>
        <v>192</v>
      </c>
      <c r="N39" s="52">
        <f t="shared" ref="N39:N44" si="16">SUM(M39/4.4286)</f>
        <v>43.354559002845143</v>
      </c>
      <c r="O39" s="52">
        <f t="shared" ref="O39:O44" si="17">SUM(M39/31)</f>
        <v>6.193548387096774</v>
      </c>
      <c r="P39" s="6"/>
      <c r="Q39" s="39" t="s">
        <v>6</v>
      </c>
      <c r="R39" s="40">
        <f>GETPIVOTDATA("Sum of CORPORATE",'Pivot Table'!$A$88)</f>
        <v>112</v>
      </c>
      <c r="S39" s="52">
        <f t="shared" ref="S39:S44" si="18">SUM(R39/4.4286)</f>
        <v>25.290159418326333</v>
      </c>
      <c r="T39" s="52">
        <f t="shared" ref="T39:T44" si="19">SUM(R39/31)</f>
        <v>3.6129032258064515</v>
      </c>
    </row>
    <row r="40" spans="2:20" customFormat="1" x14ac:dyDescent="0.25">
      <c r="B40" s="39" t="s">
        <v>114</v>
      </c>
      <c r="C40" s="40">
        <f>GETPIVOTDATA("Sum of EVENT",'Pivot Table'!$A$52)</f>
        <v>24</v>
      </c>
      <c r="D40" s="52">
        <f t="shared" si="8"/>
        <v>5.4193198753556429</v>
      </c>
      <c r="E40" s="52">
        <f t="shared" si="9"/>
        <v>0.77419354838709675</v>
      </c>
      <c r="F40" s="6"/>
      <c r="G40" s="39" t="s">
        <v>114</v>
      </c>
      <c r="H40" s="40">
        <f>GETPIVOTDATA("Sum of EVENT",'Pivot Table'!$A$64)</f>
        <v>0</v>
      </c>
      <c r="I40" s="52"/>
      <c r="J40" s="52"/>
      <c r="L40" s="39" t="s">
        <v>114</v>
      </c>
      <c r="M40" s="40">
        <f>GETPIVOTDATA("Sum of EVENT",'Pivot Table'!$A$76)</f>
        <v>60</v>
      </c>
      <c r="N40" s="52"/>
      <c r="O40" s="52"/>
      <c r="P40" s="6"/>
      <c r="Q40" s="39" t="s">
        <v>114</v>
      </c>
      <c r="R40" s="40">
        <f>GETPIVOTDATA("Sum of EVENT",'Pivot Table'!$A$88)</f>
        <v>82</v>
      </c>
      <c r="S40" s="52"/>
      <c r="T40" s="52"/>
    </row>
    <row r="41" spans="2:20" customFormat="1" x14ac:dyDescent="0.25">
      <c r="B41" s="39" t="s">
        <v>84</v>
      </c>
      <c r="C41" s="40">
        <f>GETPIVOTDATA("Sum of NON-PLAYING",'Pivot Table'!$A$52)</f>
        <v>23</v>
      </c>
      <c r="D41" s="52">
        <f t="shared" si="8"/>
        <v>5.1935148805491576</v>
      </c>
      <c r="E41" s="52">
        <f t="shared" si="9"/>
        <v>0.74193548387096775</v>
      </c>
      <c r="F41" s="6"/>
      <c r="G41" s="39" t="s">
        <v>84</v>
      </c>
      <c r="H41" s="40">
        <f>GETPIVOTDATA("Sum of NON-PLAYING",'Pivot Table'!$A$64)</f>
        <v>22</v>
      </c>
      <c r="I41" s="52">
        <f t="shared" si="10"/>
        <v>4.9677098857426722</v>
      </c>
      <c r="J41" s="52">
        <f t="shared" si="11"/>
        <v>0.73333333333333328</v>
      </c>
      <c r="L41" s="39" t="s">
        <v>84</v>
      </c>
      <c r="M41" s="40">
        <f>GETPIVOTDATA("Sum of NON-PLAYING",'Pivot Table'!$A$76)</f>
        <v>12</v>
      </c>
      <c r="N41" s="52">
        <f t="shared" si="16"/>
        <v>2.7096599376778214</v>
      </c>
      <c r="O41" s="52">
        <f t="shared" si="17"/>
        <v>0.38709677419354838</v>
      </c>
      <c r="P41" s="6"/>
      <c r="Q41" s="39" t="s">
        <v>84</v>
      </c>
      <c r="R41" s="40">
        <f>GETPIVOTDATA("Sum of NON-PLAYING",'Pivot Table'!$A$88)</f>
        <v>10</v>
      </c>
      <c r="S41" s="52">
        <f t="shared" si="18"/>
        <v>2.2580499480648508</v>
      </c>
      <c r="T41" s="52">
        <f t="shared" si="19"/>
        <v>0.32258064516129031</v>
      </c>
    </row>
    <row r="42" spans="2:20" x14ac:dyDescent="0.25">
      <c r="B42" s="39" t="s">
        <v>79</v>
      </c>
      <c r="C42" s="40">
        <f>GETPIVOTDATA("Sum of VOUCHER",'Pivot Table'!$A$52)</f>
        <v>34</v>
      </c>
      <c r="D42" s="52">
        <f t="shared" si="8"/>
        <v>7.6773698234204932</v>
      </c>
      <c r="E42" s="52">
        <f t="shared" si="9"/>
        <v>1.096774193548387</v>
      </c>
      <c r="G42" s="39" t="s">
        <v>79</v>
      </c>
      <c r="H42" s="40">
        <f>GETPIVOTDATA("Sum of VOUCHER",'Pivot Table'!$A$64)</f>
        <v>87</v>
      </c>
      <c r="I42" s="52">
        <f t="shared" si="10"/>
        <v>19.645034548164205</v>
      </c>
      <c r="J42" s="52">
        <f t="shared" si="11"/>
        <v>2.9</v>
      </c>
      <c r="L42" s="39" t="s">
        <v>79</v>
      </c>
      <c r="M42" s="40">
        <f>GETPIVOTDATA("Sum of VOUCHER",'Pivot Table'!$A$76)</f>
        <v>153</v>
      </c>
      <c r="N42" s="52">
        <f t="shared" si="16"/>
        <v>34.548164205392219</v>
      </c>
      <c r="O42" s="52">
        <f t="shared" si="17"/>
        <v>4.935483870967742</v>
      </c>
      <c r="Q42" s="39" t="s">
        <v>79</v>
      </c>
      <c r="R42" s="40">
        <f>GETPIVOTDATA("Sum of VOUCHER",'Pivot Table'!$A$88)</f>
        <v>109</v>
      </c>
      <c r="S42" s="52">
        <f t="shared" si="18"/>
        <v>24.612744433906876</v>
      </c>
      <c r="T42" s="52">
        <f t="shared" si="19"/>
        <v>3.5161290322580645</v>
      </c>
    </row>
    <row r="43" spans="2:20" x14ac:dyDescent="0.25">
      <c r="B43" s="39" t="s">
        <v>7</v>
      </c>
      <c r="C43" s="40">
        <f>GETPIVOTDATA("Sum of RECIP",'Pivot Table'!$A$52)</f>
        <v>74</v>
      </c>
      <c r="D43" s="52">
        <f t="shared" si="8"/>
        <v>16.709569615679897</v>
      </c>
      <c r="E43" s="52">
        <f t="shared" si="9"/>
        <v>2.3870967741935485</v>
      </c>
      <c r="G43" s="39" t="s">
        <v>7</v>
      </c>
      <c r="H43" s="40">
        <f>GETPIVOTDATA("Sum of RECIP",'Pivot Table'!$A$64)</f>
        <v>46</v>
      </c>
      <c r="I43" s="52">
        <f t="shared" si="10"/>
        <v>10.387029761098315</v>
      </c>
      <c r="J43" s="52">
        <f t="shared" si="11"/>
        <v>1.5333333333333334</v>
      </c>
      <c r="L43" s="39" t="s">
        <v>7</v>
      </c>
      <c r="M43" s="40">
        <f>GETPIVOTDATA("Sum of RECIP",'Pivot Table'!$A$76)</f>
        <v>26</v>
      </c>
      <c r="N43" s="52">
        <f t="shared" si="16"/>
        <v>5.8709298649686126</v>
      </c>
      <c r="O43" s="52">
        <f t="shared" si="17"/>
        <v>0.83870967741935487</v>
      </c>
      <c r="Q43" s="39" t="s">
        <v>7</v>
      </c>
      <c r="R43" s="40">
        <f>GETPIVOTDATA("Sum of RECIP",'Pivot Table'!$A$88)</f>
        <v>52</v>
      </c>
      <c r="S43" s="52">
        <f t="shared" si="18"/>
        <v>11.741859729937225</v>
      </c>
      <c r="T43" s="52">
        <f t="shared" si="19"/>
        <v>1.6774193548387097</v>
      </c>
    </row>
    <row r="44" spans="2:20" x14ac:dyDescent="0.25">
      <c r="B44" s="39" t="s">
        <v>80</v>
      </c>
      <c r="C44" s="40">
        <f>GETPIVOTDATA("Sum of COMP",'Pivot Table'!$A$52)</f>
        <v>2362</v>
      </c>
      <c r="D44" s="52">
        <f t="shared" si="8"/>
        <v>533.3513977329178</v>
      </c>
      <c r="E44" s="52">
        <f t="shared" si="9"/>
        <v>76.193548387096769</v>
      </c>
      <c r="G44" s="39" t="s">
        <v>80</v>
      </c>
      <c r="H44" s="40">
        <f>GETPIVOTDATA("Sum of COMP",'Pivot Table'!$A$64)</f>
        <v>2395</v>
      </c>
      <c r="I44" s="52">
        <f t="shared" si="10"/>
        <v>540.80296256153179</v>
      </c>
      <c r="J44" s="52">
        <f t="shared" si="11"/>
        <v>79.833333333333329</v>
      </c>
      <c r="L44" s="39" t="s">
        <v>80</v>
      </c>
      <c r="M44" s="40">
        <f>GETPIVOTDATA("Sum of COMP",'Pivot Table'!$A$76)</f>
        <v>2067</v>
      </c>
      <c r="N44" s="52">
        <f t="shared" si="16"/>
        <v>466.7389242650047</v>
      </c>
      <c r="O44" s="52">
        <f t="shared" si="17"/>
        <v>66.677419354838705</v>
      </c>
      <c r="Q44" s="39" t="s">
        <v>80</v>
      </c>
      <c r="R44" s="40">
        <f>GETPIVOTDATA("Sum of COMP",'Pivot Table'!$A$88)</f>
        <v>2235</v>
      </c>
      <c r="S44" s="52">
        <f t="shared" si="18"/>
        <v>504.67416339249422</v>
      </c>
      <c r="T44" s="52">
        <f t="shared" si="19"/>
        <v>72.096774193548384</v>
      </c>
    </row>
    <row r="47" spans="2:20" ht="21" x14ac:dyDescent="0.25">
      <c r="B47" s="97" t="s">
        <v>15</v>
      </c>
      <c r="C47" s="99"/>
      <c r="D47" s="42" t="s">
        <v>102</v>
      </c>
      <c r="E47" s="42" t="s">
        <v>101</v>
      </c>
      <c r="F47" s="34"/>
      <c r="G47" s="97" t="s">
        <v>16</v>
      </c>
      <c r="H47" s="99"/>
      <c r="I47" s="42" t="s">
        <v>102</v>
      </c>
      <c r="J47" s="42" t="s">
        <v>101</v>
      </c>
      <c r="L47" s="97" t="s">
        <v>66</v>
      </c>
      <c r="M47" s="99"/>
      <c r="N47" s="42" t="s">
        <v>102</v>
      </c>
      <c r="O47" s="42" t="s">
        <v>101</v>
      </c>
      <c r="P47" s="34"/>
      <c r="Q47" s="97" t="s">
        <v>17</v>
      </c>
      <c r="R47" s="99"/>
      <c r="S47" s="42" t="s">
        <v>102</v>
      </c>
      <c r="T47" s="42" t="s">
        <v>101</v>
      </c>
    </row>
    <row r="48" spans="2:20" x14ac:dyDescent="0.25">
      <c r="J48" s="6"/>
      <c r="T48" s="6"/>
    </row>
    <row r="49" spans="2:30" x14ac:dyDescent="0.25">
      <c r="B49" s="39" t="s">
        <v>1</v>
      </c>
      <c r="C49" s="40">
        <f>GETPIVOTDATA("Sum of AM FIELD",'Pivot Table'!$A$100)</f>
        <v>2254</v>
      </c>
      <c r="D49" s="52">
        <f t="shared" ref="D49:D66" si="20">SUM(C49/4.4286)</f>
        <v>508.96445829381742</v>
      </c>
      <c r="E49" s="52">
        <f>SUM(C49/30)</f>
        <v>75.13333333333334</v>
      </c>
      <c r="G49" s="39" t="s">
        <v>1</v>
      </c>
      <c r="H49" s="40">
        <f>GETPIVOTDATA("Sum of AM FIELD",'Pivot Table'!$A$112)</f>
        <v>2109</v>
      </c>
      <c r="I49" s="52">
        <f t="shared" ref="I49:I66" si="21">SUM(H49/4.4286)</f>
        <v>476.22273404687706</v>
      </c>
      <c r="J49" s="52">
        <f>SUM(H49/31)</f>
        <v>68.032258064516128</v>
      </c>
      <c r="L49" s="39" t="s">
        <v>1</v>
      </c>
      <c r="M49" s="40">
        <f>GETPIVOTDATA("Sum of AM FIELD",'Pivot Table'!$A$124)</f>
        <v>1975</v>
      </c>
      <c r="N49" s="52">
        <f t="shared" ref="N49:N66" si="22">SUM(M49/4.4286)</f>
        <v>445.96486474280806</v>
      </c>
      <c r="O49" s="52">
        <f t="shared" ref="O49:O66" si="23">SUM(M49/31)</f>
        <v>63.70967741935484</v>
      </c>
      <c r="Q49" s="39" t="s">
        <v>1</v>
      </c>
      <c r="R49" s="40">
        <f>GETPIVOTDATA("Sum of AM FIELD",'Pivot Table'!$A$136)</f>
        <v>2357</v>
      </c>
      <c r="S49" s="52">
        <f t="shared" ref="S49:S66" si="24">SUM(R49/4.4286)</f>
        <v>532.2223727588854</v>
      </c>
      <c r="T49" s="52">
        <f t="shared" ref="T49:T66" si="25">SUM(R49/30)</f>
        <v>78.566666666666663</v>
      </c>
    </row>
    <row r="50" spans="2:30" x14ac:dyDescent="0.25">
      <c r="B50" s="39" t="s">
        <v>2</v>
      </c>
      <c r="C50" s="40">
        <f>GETPIVOTDATA("Sum of PM FIELD",'Pivot Table'!$A$100)</f>
        <v>1835</v>
      </c>
      <c r="D50" s="52">
        <f t="shared" si="20"/>
        <v>414.35216546990017</v>
      </c>
      <c r="E50" s="52">
        <f t="shared" ref="E50:E66" si="26">SUM(C50/30)</f>
        <v>61.166666666666664</v>
      </c>
      <c r="G50" s="39" t="s">
        <v>2</v>
      </c>
      <c r="H50" s="40">
        <f>GETPIVOTDATA("Sum of PM FIELD",'Pivot Table'!$A$112)</f>
        <v>2049</v>
      </c>
      <c r="I50" s="52">
        <f t="shared" si="21"/>
        <v>462.67443435848799</v>
      </c>
      <c r="J50" s="52">
        <f t="shared" ref="J50:J66" si="27">SUM(H50/31)</f>
        <v>66.096774193548384</v>
      </c>
      <c r="L50" s="39" t="s">
        <v>2</v>
      </c>
      <c r="M50" s="40">
        <f>GETPIVOTDATA("Sum of PM FIELD",'Pivot Table'!$A$124)</f>
        <v>1578</v>
      </c>
      <c r="N50" s="52">
        <f t="shared" si="22"/>
        <v>356.32028180463351</v>
      </c>
      <c r="O50" s="52">
        <f t="shared" si="23"/>
        <v>50.903225806451616</v>
      </c>
      <c r="Q50" s="39" t="s">
        <v>2</v>
      </c>
      <c r="R50" s="40">
        <f>GETPIVOTDATA("Sum of PM FIELD",'Pivot Table'!$A$136)</f>
        <v>1842</v>
      </c>
      <c r="S50" s="52">
        <f t="shared" si="24"/>
        <v>415.93280043354554</v>
      </c>
      <c r="T50" s="52">
        <f t="shared" si="25"/>
        <v>61.4</v>
      </c>
    </row>
    <row r="51" spans="2:30" x14ac:dyDescent="0.25">
      <c r="B51" s="39" t="s">
        <v>3</v>
      </c>
      <c r="C51" s="40">
        <f>GETPIVOTDATA("Sum of TOTAL FIELD",'Pivot Table'!$A$100)</f>
        <v>4089</v>
      </c>
      <c r="D51" s="52">
        <f t="shared" si="20"/>
        <v>923.31662376371764</v>
      </c>
      <c r="E51" s="52">
        <f t="shared" si="26"/>
        <v>136.30000000000001</v>
      </c>
      <c r="G51" s="39" t="s">
        <v>3</v>
      </c>
      <c r="H51" s="40">
        <f>GETPIVOTDATA("Sum of TOTAL FIELD",'Pivot Table'!$A$112)</f>
        <v>4158</v>
      </c>
      <c r="I51" s="52">
        <f t="shared" si="21"/>
        <v>938.89716840536505</v>
      </c>
      <c r="J51" s="52">
        <f t="shared" si="27"/>
        <v>134.12903225806451</v>
      </c>
      <c r="L51" s="39" t="s">
        <v>3</v>
      </c>
      <c r="M51" s="40">
        <f>GETPIVOTDATA("Sum of TOTAL FIELD",'Pivot Table'!$A$124)</f>
        <v>3553</v>
      </c>
      <c r="N51" s="52">
        <f t="shared" si="22"/>
        <v>802.28514654744163</v>
      </c>
      <c r="O51" s="52">
        <f t="shared" si="23"/>
        <v>114.61290322580645</v>
      </c>
      <c r="Q51" s="39" t="s">
        <v>3</v>
      </c>
      <c r="R51" s="40">
        <f>GETPIVOTDATA("Sum of TOTAL FIELD",'Pivot Table'!$A$136)</f>
        <v>4199</v>
      </c>
      <c r="S51" s="52">
        <f t="shared" si="24"/>
        <v>948.15517319243099</v>
      </c>
      <c r="T51" s="52">
        <f t="shared" si="25"/>
        <v>139.96666666666667</v>
      </c>
    </row>
    <row r="52" spans="2:30" x14ac:dyDescent="0.25">
      <c r="B52" s="39" t="s">
        <v>82</v>
      </c>
      <c r="C52" s="40">
        <f>GETPIVOTDATA("Sum of No. GUESTS",'Pivot Table'!$A$100)</f>
        <v>845</v>
      </c>
      <c r="D52" s="52">
        <f t="shared" si="20"/>
        <v>190.80522061147991</v>
      </c>
      <c r="E52" s="52">
        <f t="shared" si="26"/>
        <v>28.166666666666668</v>
      </c>
      <c r="G52" s="39" t="s">
        <v>82</v>
      </c>
      <c r="H52" s="40">
        <f>GETPIVOTDATA("Sum of No. GUESTS",'Pivot Table'!$A$112)</f>
        <v>593</v>
      </c>
      <c r="I52" s="52">
        <f t="shared" si="21"/>
        <v>133.90236192024565</v>
      </c>
      <c r="J52" s="52">
        <f t="shared" si="27"/>
        <v>19.129032258064516</v>
      </c>
      <c r="L52" s="39" t="s">
        <v>82</v>
      </c>
      <c r="M52" s="40">
        <f>GETPIVOTDATA("Sum of No. GUESTS",'Pivot Table'!$A$124)</f>
        <v>685</v>
      </c>
      <c r="N52" s="52">
        <f t="shared" si="22"/>
        <v>154.67642144244229</v>
      </c>
      <c r="O52" s="52">
        <f t="shared" si="23"/>
        <v>22.096774193548388</v>
      </c>
      <c r="Q52" s="39" t="s">
        <v>82</v>
      </c>
      <c r="R52" s="40">
        <f>GETPIVOTDATA("Sum of No. GUESTS",'Pivot Table'!$A$136)</f>
        <v>1062</v>
      </c>
      <c r="S52" s="52">
        <f t="shared" si="24"/>
        <v>239.80490448448717</v>
      </c>
      <c r="T52" s="52">
        <f t="shared" si="25"/>
        <v>35.4</v>
      </c>
    </row>
    <row r="53" spans="2:30" ht="33" x14ac:dyDescent="0.25">
      <c r="B53" s="53" t="s">
        <v>74</v>
      </c>
      <c r="C53" s="43">
        <f>SUM(C52/C51)</f>
        <v>0.20665199315235999</v>
      </c>
      <c r="D53" s="43">
        <f>SUM(C53/4.4286)</f>
        <v>4.6663052240518442E-2</v>
      </c>
      <c r="E53" s="43">
        <f t="shared" si="26"/>
        <v>6.8883997717453333E-3</v>
      </c>
      <c r="F53" s="54"/>
      <c r="G53" s="53" t="s">
        <v>74</v>
      </c>
      <c r="H53" s="43">
        <f>SUM(H52/H51)</f>
        <v>0.14261664261664261</v>
      </c>
      <c r="I53" s="43">
        <f t="shared" si="21"/>
        <v>3.2203550245369326E-2</v>
      </c>
      <c r="J53" s="43">
        <f t="shared" si="27"/>
        <v>4.6005368586013746E-3</v>
      </c>
      <c r="L53" s="53" t="s">
        <v>74</v>
      </c>
      <c r="M53" s="43">
        <f>SUM(M52/M51)</f>
        <v>0.1927948212777934</v>
      </c>
      <c r="N53" s="70">
        <f t="shared" si="22"/>
        <v>4.3534033617349366E-2</v>
      </c>
      <c r="O53" s="70">
        <f t="shared" si="23"/>
        <v>6.2191877831546264E-3</v>
      </c>
      <c r="P53" s="54"/>
      <c r="Q53" s="53" t="s">
        <v>74</v>
      </c>
      <c r="R53" s="43">
        <f>SUM(R52/R51)</f>
        <v>0.25291736127649439</v>
      </c>
      <c r="S53" s="70">
        <f t="shared" si="24"/>
        <v>5.7110003449508735E-2</v>
      </c>
      <c r="T53" s="70">
        <f t="shared" si="25"/>
        <v>8.43057870921648E-3</v>
      </c>
    </row>
    <row r="54" spans="2:30" x14ac:dyDescent="0.25">
      <c r="B54" s="35" t="s">
        <v>4</v>
      </c>
      <c r="C54" s="40">
        <f>GETPIVOTDATA("Sum of MEMBER",'Pivot Table'!$A$100)</f>
        <v>3235</v>
      </c>
      <c r="D54" s="52">
        <f t="shared" si="20"/>
        <v>730.47915819897935</v>
      </c>
      <c r="E54" s="52">
        <f t="shared" si="26"/>
        <v>107.83333333333333</v>
      </c>
      <c r="G54" s="35" t="s">
        <v>4</v>
      </c>
      <c r="H54" s="40">
        <f>GETPIVOTDATA("Sum of MEMBER",'Pivot Table'!$A$112)</f>
        <v>3558</v>
      </c>
      <c r="I54" s="52">
        <f t="shared" si="21"/>
        <v>803.41417152147403</v>
      </c>
      <c r="J54" s="52">
        <f t="shared" si="27"/>
        <v>114.7741935483871</v>
      </c>
      <c r="L54" s="35" t="s">
        <v>4</v>
      </c>
      <c r="M54" s="40">
        <f>GETPIVOTDATA("Sum of MEMBER",'Pivot Table'!$A$124)</f>
        <v>2862</v>
      </c>
      <c r="N54" s="52">
        <f t="shared" si="22"/>
        <v>646.25389513616039</v>
      </c>
      <c r="O54" s="52">
        <f t="shared" si="23"/>
        <v>92.322580645161295</v>
      </c>
      <c r="Q54" s="35" t="s">
        <v>4</v>
      </c>
      <c r="R54" s="40">
        <f>GETPIVOTDATA("Sum of MEMBER",'Pivot Table'!$A$136)</f>
        <v>3133</v>
      </c>
      <c r="S54" s="52">
        <f t="shared" si="24"/>
        <v>707.44704872871785</v>
      </c>
      <c r="T54" s="52">
        <f t="shared" si="25"/>
        <v>104.43333333333334</v>
      </c>
    </row>
    <row r="55" spans="2:30" x14ac:dyDescent="0.25">
      <c r="B55" s="39" t="s">
        <v>83</v>
      </c>
      <c r="C55" s="40">
        <f>GETPIVOTDATA("Sum of MANAGER INTRO",'Pivot Table'!$A$100)</f>
        <v>60</v>
      </c>
      <c r="D55" s="52">
        <f t="shared" si="20"/>
        <v>13.548299688389106</v>
      </c>
      <c r="E55" s="52">
        <f t="shared" si="26"/>
        <v>2</v>
      </c>
      <c r="G55" s="39" t="s">
        <v>83</v>
      </c>
      <c r="H55" s="40">
        <f>GETPIVOTDATA("Sum of MANAGER INTRO",'Pivot Table'!$A$112)</f>
        <v>4</v>
      </c>
      <c r="I55" s="52">
        <f t="shared" si="21"/>
        <v>0.90321997922594044</v>
      </c>
      <c r="J55" s="52">
        <f t="shared" si="27"/>
        <v>0.12903225806451613</v>
      </c>
      <c r="L55" s="39" t="s">
        <v>83</v>
      </c>
      <c r="M55" s="40">
        <f>GETPIVOTDATA("Sum of MANAGER INTRO",'Pivot Table'!$A$124)</f>
        <v>1</v>
      </c>
      <c r="N55" s="52">
        <f t="shared" si="22"/>
        <v>0.22580499480648511</v>
      </c>
      <c r="O55" s="52">
        <f t="shared" si="23"/>
        <v>3.2258064516129031E-2</v>
      </c>
      <c r="Q55" s="39" t="s">
        <v>83</v>
      </c>
      <c r="R55" s="40">
        <f>GETPIVOTDATA("Sum of MANAGER INTRO",'Pivot Table'!$A$136)</f>
        <v>5</v>
      </c>
      <c r="S55" s="52">
        <f t="shared" si="24"/>
        <v>1.1290249740324254</v>
      </c>
      <c r="T55" s="52">
        <f t="shared" si="25"/>
        <v>0.16666666666666666</v>
      </c>
    </row>
    <row r="56" spans="2:30" x14ac:dyDescent="0.25">
      <c r="B56" s="39" t="s">
        <v>75</v>
      </c>
      <c r="C56" s="40">
        <f>GETPIVOTDATA("Sum of INTERSTATE",'Pivot Table'!$A$100)</f>
        <v>9</v>
      </c>
      <c r="D56" s="52">
        <f t="shared" si="20"/>
        <v>2.032244953258366</v>
      </c>
      <c r="E56" s="52">
        <f t="shared" si="26"/>
        <v>0.3</v>
      </c>
      <c r="G56" s="39" t="s">
        <v>75</v>
      </c>
      <c r="H56" s="40">
        <f>GETPIVOTDATA("Sum of INTERSTATE",'Pivot Table'!$A$112)</f>
        <v>1</v>
      </c>
      <c r="I56" s="52">
        <f t="shared" si="21"/>
        <v>0.22580499480648511</v>
      </c>
      <c r="J56" s="52">
        <f t="shared" si="27"/>
        <v>3.2258064516129031E-2</v>
      </c>
      <c r="L56" s="39" t="s">
        <v>75</v>
      </c>
      <c r="M56" s="40">
        <f>GETPIVOTDATA("Sum of INTERSTATE",'Pivot Table'!$A$124)</f>
        <v>4</v>
      </c>
      <c r="N56" s="52">
        <f t="shared" si="22"/>
        <v>0.90321997922594044</v>
      </c>
      <c r="O56" s="52">
        <f t="shared" si="23"/>
        <v>0.12903225806451613</v>
      </c>
      <c r="Q56" s="39" t="s">
        <v>75</v>
      </c>
      <c r="R56" s="40">
        <f>GETPIVOTDATA("Sum of INTERSTATE",'Pivot Table'!$A$136)</f>
        <v>4</v>
      </c>
      <c r="S56" s="52">
        <f t="shared" si="24"/>
        <v>0.90321997922594044</v>
      </c>
      <c r="T56" s="52">
        <f t="shared" si="25"/>
        <v>0.13333333333333333</v>
      </c>
    </row>
    <row r="57" spans="2:30" x14ac:dyDescent="0.25">
      <c r="B57" s="39" t="s">
        <v>76</v>
      </c>
      <c r="C57" s="40">
        <f>GETPIVOTDATA("Sum of INTERNATIONAL",'Pivot Table'!$A$100)</f>
        <v>15</v>
      </c>
      <c r="D57" s="52">
        <f t="shared" si="20"/>
        <v>3.3870749220972765</v>
      </c>
      <c r="E57" s="52">
        <f t="shared" si="26"/>
        <v>0.5</v>
      </c>
      <c r="G57" s="39" t="s">
        <v>76</v>
      </c>
      <c r="H57" s="40">
        <f>GETPIVOTDATA("Sum of INTERNATIONAL",'Pivot Table'!$A$112)</f>
        <v>14</v>
      </c>
      <c r="I57" s="52">
        <f t="shared" si="21"/>
        <v>3.1612699272907916</v>
      </c>
      <c r="J57" s="52">
        <f t="shared" si="27"/>
        <v>0.45161290322580644</v>
      </c>
      <c r="L57" s="39" t="s">
        <v>76</v>
      </c>
      <c r="M57" s="40">
        <f>GETPIVOTDATA("Sum of INTERNATIONAL",'Pivot Table'!$A$124)</f>
        <v>36</v>
      </c>
      <c r="N57" s="52">
        <f t="shared" si="22"/>
        <v>8.1289798130334638</v>
      </c>
      <c r="O57" s="52">
        <f t="shared" si="23"/>
        <v>1.1612903225806452</v>
      </c>
      <c r="Q57" s="39" t="s">
        <v>76</v>
      </c>
      <c r="R57" s="40">
        <f>GETPIVOTDATA("Sum of INTERNATIONAL",'Pivot Table'!$A$136)</f>
        <v>8</v>
      </c>
      <c r="S57" s="52">
        <f t="shared" si="24"/>
        <v>1.8064399584518809</v>
      </c>
      <c r="T57" s="52">
        <f t="shared" si="25"/>
        <v>0.26666666666666666</v>
      </c>
    </row>
    <row r="58" spans="2:30" x14ac:dyDescent="0.25">
      <c r="B58" s="39" t="s">
        <v>77</v>
      </c>
      <c r="C58" s="40">
        <f>GETPIVOTDATA("Sum of INDUSTRY GUEST",'Pivot Table'!$A$100)</f>
        <v>2</v>
      </c>
      <c r="D58" s="52">
        <f t="shared" si="20"/>
        <v>0.45160998961297022</v>
      </c>
      <c r="E58" s="52">
        <f t="shared" si="26"/>
        <v>6.6666666666666666E-2</v>
      </c>
      <c r="G58" s="39" t="s">
        <v>77</v>
      </c>
      <c r="H58" s="40">
        <f>GETPIVOTDATA("Sum of INDUSTRY GUEST",'Pivot Table'!$A$112)</f>
        <v>6</v>
      </c>
      <c r="I58" s="52">
        <f t="shared" si="21"/>
        <v>1.3548299688389107</v>
      </c>
      <c r="J58" s="52">
        <f t="shared" si="27"/>
        <v>0.19354838709677419</v>
      </c>
      <c r="L58" s="39" t="s">
        <v>77</v>
      </c>
      <c r="M58" s="40">
        <f>GETPIVOTDATA("Sum of INDUSTRY GUEST",'Pivot Table'!$A$124)</f>
        <v>8</v>
      </c>
      <c r="N58" s="52">
        <f t="shared" si="22"/>
        <v>1.8064399584518809</v>
      </c>
      <c r="O58" s="52">
        <f t="shared" si="23"/>
        <v>0.25806451612903225</v>
      </c>
      <c r="Q58" s="39" t="s">
        <v>77</v>
      </c>
      <c r="R58" s="40">
        <f>GETPIVOTDATA("Sum of INDUSTRY GUEST",'Pivot Table'!$A$136)</f>
        <v>1</v>
      </c>
      <c r="S58" s="52">
        <f t="shared" si="24"/>
        <v>0.22580499480648511</v>
      </c>
      <c r="T58" s="52">
        <f t="shared" si="25"/>
        <v>3.3333333333333333E-2</v>
      </c>
      <c r="AD58" s="41"/>
    </row>
    <row r="59" spans="2:30" x14ac:dyDescent="0.25">
      <c r="B59" s="39" t="s">
        <v>5</v>
      </c>
      <c r="C59" s="40">
        <f>GETPIVOTDATA("Sum of MEMB GUEST MICLUB",'Pivot Table'!$A$100)</f>
        <v>298</v>
      </c>
      <c r="D59" s="52">
        <f t="shared" si="20"/>
        <v>67.289888452332562</v>
      </c>
      <c r="E59" s="52">
        <f t="shared" si="26"/>
        <v>9.9333333333333336</v>
      </c>
      <c r="G59" s="39" t="s">
        <v>5</v>
      </c>
      <c r="H59" s="40">
        <f>GETPIVOTDATA("Sum of MEMB GUEST MICLUB",'Pivot Table'!$A$112)</f>
        <v>182</v>
      </c>
      <c r="I59" s="52">
        <f t="shared" si="21"/>
        <v>41.096509054780292</v>
      </c>
      <c r="J59" s="52">
        <f t="shared" si="27"/>
        <v>5.870967741935484</v>
      </c>
      <c r="L59" s="39" t="s">
        <v>5</v>
      </c>
      <c r="M59" s="40">
        <f>GETPIVOTDATA("Sum of MEMB GUEST MICLUB",'Pivot Table'!$A$124)</f>
        <v>268</v>
      </c>
      <c r="N59" s="52">
        <f t="shared" si="22"/>
        <v>60.515738608138008</v>
      </c>
      <c r="O59" s="52">
        <f t="shared" si="23"/>
        <v>8.6451612903225801</v>
      </c>
      <c r="Q59" s="39" t="s">
        <v>5</v>
      </c>
      <c r="R59" s="40">
        <f>GETPIVOTDATA("Sum of MEMB GUEST MICLUB",'Pivot Table'!$A$136)</f>
        <v>427</v>
      </c>
      <c r="S59" s="52">
        <f t="shared" si="24"/>
        <v>96.418732782369133</v>
      </c>
      <c r="T59" s="52">
        <f t="shared" si="25"/>
        <v>14.233333333333333</v>
      </c>
      <c r="AD59" s="41"/>
    </row>
    <row r="60" spans="2:30" ht="33" x14ac:dyDescent="0.25">
      <c r="B60" s="35" t="s">
        <v>78</v>
      </c>
      <c r="C60" s="40">
        <f>GETPIVOTDATA("Sum of MEMB GUEST UNACCOMPANIED",'Pivot Table'!$A$100)</f>
        <v>0</v>
      </c>
      <c r="D60" s="52">
        <f t="shared" si="20"/>
        <v>0</v>
      </c>
      <c r="E60" s="52">
        <f t="shared" si="26"/>
        <v>0</v>
      </c>
      <c r="G60" s="35" t="s">
        <v>78</v>
      </c>
      <c r="H60" s="40">
        <f>GETPIVOTDATA("Sum of MEMB GUEST UNACCOMPANIED",'Pivot Table'!$A$112)</f>
        <v>4</v>
      </c>
      <c r="I60" s="52">
        <f t="shared" si="21"/>
        <v>0.90321997922594044</v>
      </c>
      <c r="J60" s="52">
        <f t="shared" si="27"/>
        <v>0.12903225806451613</v>
      </c>
      <c r="L60" s="35" t="s">
        <v>78</v>
      </c>
      <c r="M60" s="40">
        <f>GETPIVOTDATA("Sum of MEMB GUEST UNACCOMPANIED",'Pivot Table'!$A$124)</f>
        <v>8</v>
      </c>
      <c r="N60" s="52">
        <f t="shared" si="22"/>
        <v>1.8064399584518809</v>
      </c>
      <c r="O60" s="52">
        <f t="shared" si="23"/>
        <v>0.25806451612903225</v>
      </c>
      <c r="Q60" s="35" t="s">
        <v>78</v>
      </c>
      <c r="R60" s="40">
        <f>GETPIVOTDATA("Sum of MEMB GUEST UNACCOMPANIED",'Pivot Table'!$A$136)</f>
        <v>0</v>
      </c>
      <c r="S60" s="52">
        <f t="shared" si="24"/>
        <v>0</v>
      </c>
      <c r="T60" s="52">
        <f t="shared" si="25"/>
        <v>0</v>
      </c>
      <c r="AD60" s="41"/>
    </row>
    <row r="61" spans="2:30" x14ac:dyDescent="0.25">
      <c r="B61" s="39" t="s">
        <v>6</v>
      </c>
      <c r="C61" s="40">
        <f>GETPIVOTDATA("Sum of CORPORATE",'Pivot Table'!$A$100)</f>
        <v>334</v>
      </c>
      <c r="D61" s="52">
        <f t="shared" si="20"/>
        <v>75.418868265366029</v>
      </c>
      <c r="E61" s="52">
        <f t="shared" si="26"/>
        <v>11.133333333333333</v>
      </c>
      <c r="G61" s="39" t="s">
        <v>6</v>
      </c>
      <c r="H61" s="40">
        <f>GETPIVOTDATA("Sum of CORPORATE",'Pivot Table'!$A$112)</f>
        <v>247</v>
      </c>
      <c r="I61" s="52">
        <f t="shared" si="21"/>
        <v>55.773833717201818</v>
      </c>
      <c r="J61" s="52">
        <f t="shared" si="27"/>
        <v>7.967741935483871</v>
      </c>
      <c r="L61" s="39" t="s">
        <v>6</v>
      </c>
      <c r="M61" s="40">
        <f>GETPIVOTDATA("Sum of CORPORATE",'Pivot Table'!$A$124)</f>
        <v>256</v>
      </c>
      <c r="N61" s="52">
        <f t="shared" si="22"/>
        <v>57.806078670460188</v>
      </c>
      <c r="O61" s="52">
        <f t="shared" si="23"/>
        <v>8.258064516129032</v>
      </c>
      <c r="Q61" s="39" t="s">
        <v>6</v>
      </c>
      <c r="R61" s="40">
        <f>GETPIVOTDATA("Sum of CORPORATE",'Pivot Table'!$A$136)</f>
        <v>238</v>
      </c>
      <c r="S61" s="52">
        <f t="shared" si="24"/>
        <v>53.741588763943454</v>
      </c>
      <c r="T61" s="52">
        <f t="shared" si="25"/>
        <v>7.9333333333333336</v>
      </c>
      <c r="AD61" s="41"/>
    </row>
    <row r="62" spans="2:30" x14ac:dyDescent="0.25">
      <c r="B62" s="39" t="s">
        <v>114</v>
      </c>
      <c r="C62" s="40">
        <f>GETPIVOTDATA("Sum of EVENT",'Pivot Table'!$A$100)</f>
        <v>24</v>
      </c>
      <c r="D62" s="52">
        <f t="shared" si="20"/>
        <v>5.4193198753556429</v>
      </c>
      <c r="E62" s="52">
        <f t="shared" si="26"/>
        <v>0.8</v>
      </c>
      <c r="G62" s="39" t="s">
        <v>114</v>
      </c>
      <c r="H62" s="40">
        <f>GETPIVOTDATA("Sum of EVENT",'Pivot Table'!$A$112)</f>
        <v>90</v>
      </c>
      <c r="I62" s="52">
        <f t="shared" si="21"/>
        <v>20.322449532583658</v>
      </c>
      <c r="J62" s="52">
        <f t="shared" si="27"/>
        <v>2.903225806451613</v>
      </c>
      <c r="L62" s="39" t="s">
        <v>114</v>
      </c>
      <c r="M62" s="40">
        <f>GETPIVOTDATA("Sum of EVENT",'Pivot Table'!$A$124)</f>
        <v>52</v>
      </c>
      <c r="N62" s="52">
        <f t="shared" si="22"/>
        <v>11.741859729937225</v>
      </c>
      <c r="O62" s="52">
        <f t="shared" si="23"/>
        <v>1.6774193548387097</v>
      </c>
      <c r="Q62" s="39" t="s">
        <v>114</v>
      </c>
      <c r="R62" s="40">
        <f>GETPIVOTDATA("Sum of EVENT",'Pivot Table'!$A$136)</f>
        <v>311</v>
      </c>
      <c r="S62" s="52">
        <f t="shared" si="24"/>
        <v>70.22535338481687</v>
      </c>
      <c r="T62" s="52">
        <f t="shared" si="25"/>
        <v>10.366666666666667</v>
      </c>
      <c r="AD62" s="41"/>
    </row>
    <row r="63" spans="2:30" s="54" customFormat="1" x14ac:dyDescent="0.25">
      <c r="B63" s="39" t="s">
        <v>84</v>
      </c>
      <c r="C63" s="40">
        <f>GETPIVOTDATA("Sum of NON-PLAYING",'Pivot Table'!$A$100)</f>
        <v>9</v>
      </c>
      <c r="D63" s="52">
        <f t="shared" si="20"/>
        <v>2.032244953258366</v>
      </c>
      <c r="E63" s="52">
        <f t="shared" si="26"/>
        <v>0.3</v>
      </c>
      <c r="F63" s="6"/>
      <c r="G63" s="39" t="s">
        <v>84</v>
      </c>
      <c r="H63" s="40">
        <f>GETPIVOTDATA("Sum of NON-PLAYING",'Pivot Table'!$A$112)</f>
        <v>7</v>
      </c>
      <c r="I63" s="52">
        <f t="shared" si="21"/>
        <v>1.5806349636453958</v>
      </c>
      <c r="J63" s="52">
        <f t="shared" si="27"/>
        <v>0.22580645161290322</v>
      </c>
      <c r="K63" s="66"/>
      <c r="L63" s="39" t="s">
        <v>84</v>
      </c>
      <c r="M63" s="40">
        <f>GETPIVOTDATA("Sum of NON-PLAYING",'Pivot Table'!$A$124)</f>
        <v>6</v>
      </c>
      <c r="N63" s="52">
        <f t="shared" si="22"/>
        <v>1.3548299688389107</v>
      </c>
      <c r="O63" s="52">
        <f t="shared" si="23"/>
        <v>0.19354838709677419</v>
      </c>
      <c r="P63" s="6"/>
      <c r="Q63" s="39" t="s">
        <v>84</v>
      </c>
      <c r="R63" s="40">
        <f>GETPIVOTDATA("Sum of NON-PLAYING",'Pivot Table'!$A$136)</f>
        <v>4</v>
      </c>
      <c r="S63" s="52">
        <f t="shared" si="24"/>
        <v>0.90321997922594044</v>
      </c>
      <c r="T63" s="52">
        <f t="shared" si="25"/>
        <v>0.13333333333333333</v>
      </c>
      <c r="U63" s="66"/>
      <c r="V63" s="64"/>
      <c r="W63" s="65"/>
      <c r="X63" s="65"/>
      <c r="Y63" s="65"/>
      <c r="Z63" s="66"/>
      <c r="AA63" s="64"/>
      <c r="AB63" s="65"/>
      <c r="AC63" s="65"/>
      <c r="AD63" s="65"/>
    </row>
    <row r="64" spans="2:30" x14ac:dyDescent="0.25">
      <c r="B64" s="39" t="s">
        <v>79</v>
      </c>
      <c r="C64" s="40">
        <f>GETPIVOTDATA("Sum of VOUCHER",'Pivot Table'!$A$100)</f>
        <v>19</v>
      </c>
      <c r="D64" s="52">
        <f t="shared" si="20"/>
        <v>4.2902949013232172</v>
      </c>
      <c r="E64" s="52">
        <f t="shared" si="26"/>
        <v>0.6333333333333333</v>
      </c>
      <c r="G64" s="39" t="s">
        <v>79</v>
      </c>
      <c r="H64" s="40">
        <f>GETPIVOTDATA("Sum of VOUCHER",'Pivot Table'!$A$112)</f>
        <v>39</v>
      </c>
      <c r="I64" s="52">
        <f t="shared" si="21"/>
        <v>8.8063947974529189</v>
      </c>
      <c r="J64" s="52">
        <f t="shared" si="27"/>
        <v>1.2580645161290323</v>
      </c>
      <c r="L64" s="39" t="s">
        <v>79</v>
      </c>
      <c r="M64" s="40">
        <f>GETPIVOTDATA("Sum of VOUCHER",'Pivot Table'!$A$124)</f>
        <v>25</v>
      </c>
      <c r="N64" s="52">
        <f t="shared" si="22"/>
        <v>5.6451248701621273</v>
      </c>
      <c r="O64" s="52">
        <f t="shared" si="23"/>
        <v>0.80645161290322576</v>
      </c>
      <c r="Q64" s="39" t="s">
        <v>79</v>
      </c>
      <c r="R64" s="40">
        <f>GETPIVOTDATA("Sum of VOUCHER",'Pivot Table'!$A$136)</f>
        <v>22</v>
      </c>
      <c r="S64" s="52">
        <f t="shared" si="24"/>
        <v>4.9677098857426722</v>
      </c>
      <c r="T64" s="52">
        <f t="shared" si="25"/>
        <v>0.73333333333333328</v>
      </c>
      <c r="V64" s="62"/>
      <c r="AA64" s="62"/>
      <c r="AD64" s="41"/>
    </row>
    <row r="65" spans="2:30" x14ac:dyDescent="0.25">
      <c r="B65" s="39" t="s">
        <v>7</v>
      </c>
      <c r="C65" s="40">
        <f>GETPIVOTDATA("Sum of RECIP",'Pivot Table'!$A$100)</f>
        <v>84</v>
      </c>
      <c r="D65" s="52">
        <f t="shared" si="20"/>
        <v>18.967619563744748</v>
      </c>
      <c r="E65" s="52">
        <f t="shared" si="26"/>
        <v>2.8</v>
      </c>
      <c r="G65" s="39" t="s">
        <v>7</v>
      </c>
      <c r="H65" s="40">
        <f>GETPIVOTDATA("Sum of RECIP",'Pivot Table'!$A$112)</f>
        <v>6</v>
      </c>
      <c r="I65" s="52">
        <f t="shared" si="21"/>
        <v>1.3548299688389107</v>
      </c>
      <c r="J65" s="52">
        <f t="shared" si="27"/>
        <v>0.19354838709677419</v>
      </c>
      <c r="L65" s="39" t="s">
        <v>7</v>
      </c>
      <c r="M65" s="40">
        <f>GETPIVOTDATA("Sum of RECIP",'Pivot Table'!$A$124)</f>
        <v>27</v>
      </c>
      <c r="N65" s="52">
        <f t="shared" si="22"/>
        <v>6.0967348597750979</v>
      </c>
      <c r="O65" s="52">
        <f t="shared" si="23"/>
        <v>0.87096774193548387</v>
      </c>
      <c r="Q65" s="39" t="s">
        <v>7</v>
      </c>
      <c r="R65" s="40">
        <f>GETPIVOTDATA("Sum of RECIP",'Pivot Table'!$A$136)</f>
        <v>46</v>
      </c>
      <c r="S65" s="52">
        <f t="shared" si="24"/>
        <v>10.387029761098315</v>
      </c>
      <c r="T65" s="52">
        <f t="shared" si="25"/>
        <v>1.5333333333333334</v>
      </c>
      <c r="AD65" s="41"/>
    </row>
    <row r="66" spans="2:30" x14ac:dyDescent="0.25">
      <c r="B66" s="39" t="s">
        <v>80</v>
      </c>
      <c r="C66" s="40">
        <f>GETPIVOTDATA("Sum of COMP",'Pivot Table'!$A$100)</f>
        <v>2185</v>
      </c>
      <c r="D66" s="52">
        <f t="shared" si="20"/>
        <v>493.38391365216995</v>
      </c>
      <c r="E66" s="52">
        <f t="shared" si="26"/>
        <v>72.833333333333329</v>
      </c>
      <c r="G66" s="39" t="s">
        <v>80</v>
      </c>
      <c r="H66" s="40">
        <f>GETPIVOTDATA("Sum of COMP",'Pivot Table'!$A$112)</f>
        <v>2006</v>
      </c>
      <c r="I66" s="52">
        <f t="shared" si="21"/>
        <v>452.96481958180914</v>
      </c>
      <c r="J66" s="52">
        <f t="shared" si="27"/>
        <v>64.709677419354833</v>
      </c>
      <c r="L66" s="39" t="s">
        <v>80</v>
      </c>
      <c r="M66" s="40">
        <f>GETPIVOTDATA("Sum of COMP",'Pivot Table'!$A$124)</f>
        <v>1934</v>
      </c>
      <c r="N66" s="52">
        <f t="shared" si="22"/>
        <v>436.70685995574217</v>
      </c>
      <c r="O66" s="52">
        <f t="shared" si="23"/>
        <v>62.387096774193552</v>
      </c>
      <c r="Q66" s="39" t="s">
        <v>80</v>
      </c>
      <c r="R66" s="40">
        <f>GETPIVOTDATA("Sum of COMP",'Pivot Table'!$A$136)</f>
        <v>2346</v>
      </c>
      <c r="S66" s="52">
        <f t="shared" si="24"/>
        <v>529.73851781601411</v>
      </c>
      <c r="T66" s="52">
        <f t="shared" si="25"/>
        <v>78.2</v>
      </c>
      <c r="AD66" s="41"/>
    </row>
    <row r="67" spans="2:30" x14ac:dyDescent="0.25">
      <c r="D67" s="63"/>
      <c r="E67" s="63"/>
      <c r="I67" s="63"/>
      <c r="J67" s="63"/>
      <c r="AD67" s="41"/>
    </row>
    <row r="68" spans="2:30" x14ac:dyDescent="0.25">
      <c r="D68" s="63"/>
      <c r="E68" s="63"/>
      <c r="I68" s="63"/>
      <c r="J68" s="63"/>
      <c r="AD68" s="41"/>
    </row>
    <row r="69" spans="2:30" x14ac:dyDescent="0.25">
      <c r="D69" s="63"/>
      <c r="E69" s="63"/>
      <c r="I69" s="63"/>
      <c r="J69" s="63"/>
      <c r="AD69" s="41"/>
    </row>
    <row r="70" spans="2:30" x14ac:dyDescent="0.25">
      <c r="B70" s="62"/>
      <c r="D70" s="63"/>
      <c r="E70" s="63"/>
      <c r="G70" s="62"/>
      <c r="I70" s="63"/>
      <c r="J70" s="63"/>
      <c r="L70" s="62"/>
      <c r="Q70" s="62"/>
      <c r="V70" s="62"/>
      <c r="AA70" s="62"/>
      <c r="AD70" s="41"/>
    </row>
    <row r="71" spans="2:30" x14ac:dyDescent="0.25">
      <c r="D71" s="63"/>
      <c r="E71" s="63"/>
      <c r="I71" s="63"/>
      <c r="J71" s="63"/>
      <c r="AD71" s="41"/>
    </row>
    <row r="72" spans="2:30" x14ac:dyDescent="0.25">
      <c r="D72" s="63"/>
      <c r="E72" s="63"/>
      <c r="I72" s="63"/>
      <c r="J72" s="63"/>
      <c r="AD72" s="41"/>
    </row>
    <row r="73" spans="2:30" x14ac:dyDescent="0.25">
      <c r="D73" s="63"/>
      <c r="E73" s="63"/>
      <c r="I73" s="63"/>
      <c r="J73" s="63"/>
      <c r="AD73" s="41"/>
    </row>
    <row r="74" spans="2:30" x14ac:dyDescent="0.25">
      <c r="D74" s="63"/>
      <c r="E74" s="63"/>
      <c r="I74" s="63"/>
      <c r="J74" s="63"/>
      <c r="AD74" s="41"/>
    </row>
    <row r="75" spans="2:30" x14ac:dyDescent="0.25">
      <c r="D75" s="63"/>
      <c r="E75" s="63"/>
      <c r="I75" s="63"/>
      <c r="J75" s="63"/>
      <c r="AD75" s="41"/>
    </row>
  </sheetData>
  <mergeCells count="16">
    <mergeCell ref="B47:C47"/>
    <mergeCell ref="G47:H47"/>
    <mergeCell ref="L47:M47"/>
    <mergeCell ref="Q47:R47"/>
    <mergeCell ref="AA25:AB25"/>
    <mergeCell ref="AA3:AB3"/>
    <mergeCell ref="B25:C25"/>
    <mergeCell ref="G25:H25"/>
    <mergeCell ref="L25:M25"/>
    <mergeCell ref="Q25:R25"/>
    <mergeCell ref="V25:W25"/>
    <mergeCell ref="B3:C3"/>
    <mergeCell ref="V3:W3"/>
    <mergeCell ref="G3:H3"/>
    <mergeCell ref="L3:M3"/>
    <mergeCell ref="Q3:R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F759-CF8C-4B75-803E-DE8094AE9923}">
  <dimension ref="B3:R44"/>
  <sheetViews>
    <sheetView showGridLines="0" workbookViewId="0">
      <selection activeCell="O5" sqref="O5:O22"/>
    </sheetView>
  </sheetViews>
  <sheetFormatPr defaultRowHeight="16.5" x14ac:dyDescent="0.25"/>
  <cols>
    <col min="1" max="1" width="9.140625" style="6"/>
    <col min="2" max="2" width="18.42578125" style="6" customWidth="1"/>
    <col min="3" max="3" width="9.140625" style="41"/>
    <col min="4" max="4" width="9.140625" style="6"/>
    <col min="5" max="5" width="18.42578125" style="6" customWidth="1"/>
    <col min="6" max="6" width="10.28515625" style="41" bestFit="1" customWidth="1"/>
    <col min="7" max="7" width="9.140625" style="6"/>
    <col min="8" max="8" width="18.42578125" style="6" customWidth="1"/>
    <col min="9" max="9" width="9.140625" style="41"/>
    <col min="10" max="10" width="9.140625" style="6"/>
    <col min="11" max="11" width="18.42578125" style="6" customWidth="1"/>
    <col min="12" max="12" width="9.140625" style="41"/>
    <col min="13" max="13" width="9.140625" style="6"/>
    <col min="14" max="14" width="18.42578125" style="6" customWidth="1"/>
    <col min="15" max="15" width="9.140625" style="41"/>
    <col min="16" max="16" width="9.140625" style="6"/>
    <col min="17" max="17" width="18.42578125" style="6" customWidth="1"/>
    <col min="18" max="18" width="9.140625" style="41"/>
    <col min="19" max="16384" width="9.140625" style="6"/>
  </cols>
  <sheetData>
    <row r="3" spans="2:18" x14ac:dyDescent="0.25">
      <c r="B3" s="114" t="s">
        <v>8</v>
      </c>
      <c r="C3" s="114"/>
      <c r="E3" s="114" t="s">
        <v>81</v>
      </c>
      <c r="F3" s="114"/>
      <c r="H3" s="114" t="s">
        <v>9</v>
      </c>
      <c r="I3" s="114"/>
      <c r="K3" s="114" t="s">
        <v>10</v>
      </c>
      <c r="L3" s="114"/>
      <c r="N3" s="114" t="s">
        <v>11</v>
      </c>
      <c r="O3" s="114"/>
      <c r="Q3" s="114" t="s">
        <v>12</v>
      </c>
      <c r="R3" s="114"/>
    </row>
    <row r="5" spans="2:18" x14ac:dyDescent="0.25">
      <c r="B5" s="39" t="s">
        <v>1</v>
      </c>
      <c r="C5" s="40">
        <f>GETPIVOTDATA("Sum of AM FIELD",'Pivot Table'!$A$4)</f>
        <v>2561</v>
      </c>
      <c r="E5" s="39" t="s">
        <v>1</v>
      </c>
      <c r="F5" s="40">
        <f>GETPIVOTDATA("Sum of AM FIELD",'Pivot Table'!$A$16)</f>
        <v>2248</v>
      </c>
      <c r="H5" s="39" t="s">
        <v>1</v>
      </c>
      <c r="I5" s="40">
        <f>GETPIVOTDATA("Sum of AM FIELD",'Pivot Table'!$A$28)</f>
        <v>2385</v>
      </c>
      <c r="K5" s="39" t="s">
        <v>1</v>
      </c>
      <c r="L5" s="40">
        <f>GETPIVOTDATA("Sum of AM FIELD",'Pivot Table'!$A$40)</f>
        <v>2280</v>
      </c>
      <c r="N5" s="39" t="s">
        <v>1</v>
      </c>
      <c r="O5" s="40">
        <f>GETPIVOTDATA("Sum of AM FIELD",'Pivot Table'!$A$52)</f>
        <v>2487</v>
      </c>
      <c r="Q5" s="39" t="s">
        <v>1</v>
      </c>
      <c r="R5" s="40">
        <f>GETPIVOTDATA("Sum of AM FIELD",'Pivot Table'!$A$64)</f>
        <v>2046</v>
      </c>
    </row>
    <row r="6" spans="2:18" x14ac:dyDescent="0.25">
      <c r="B6" s="39" t="s">
        <v>2</v>
      </c>
      <c r="C6" s="40">
        <f>GETPIVOTDATA("Sum of PM FIELD",'Pivot Table'!$A$4)</f>
        <v>2044</v>
      </c>
      <c r="E6" s="39" t="s">
        <v>2</v>
      </c>
      <c r="F6" s="40">
        <f>GETPIVOTDATA("Sum of PM FIELD",'Pivot Table'!$A$16)</f>
        <v>2165</v>
      </c>
      <c r="H6" s="39" t="s">
        <v>2</v>
      </c>
      <c r="I6" s="40">
        <f>GETPIVOTDATA("Sum of PM FIELD",'Pivot Table'!$A$28)</f>
        <v>2029</v>
      </c>
      <c r="K6" s="39" t="s">
        <v>2</v>
      </c>
      <c r="L6" s="40">
        <f>GETPIVOTDATA("Sum of PM FIELD",'Pivot Table'!$A$40)</f>
        <v>2120</v>
      </c>
      <c r="N6" s="39" t="s">
        <v>2</v>
      </c>
      <c r="O6" s="40">
        <f>GETPIVOTDATA("Sum of PM FIELD",'Pivot Table'!$A$52)</f>
        <v>2173</v>
      </c>
      <c r="Q6" s="39" t="s">
        <v>2</v>
      </c>
      <c r="R6" s="40">
        <f>GETPIVOTDATA("Sum of PM FIELD",'Pivot Table'!$A$64)</f>
        <v>1859</v>
      </c>
    </row>
    <row r="7" spans="2:18" x14ac:dyDescent="0.25">
      <c r="B7" s="39" t="s">
        <v>3</v>
      </c>
      <c r="C7" s="40">
        <f>GETPIVOTDATA("Sum of TOTAL FIELD",'Pivot Table'!$A$4)</f>
        <v>4605</v>
      </c>
      <c r="E7" s="39" t="s">
        <v>3</v>
      </c>
      <c r="F7" s="40">
        <f>GETPIVOTDATA("Sum of TOTAL FIELD",'Pivot Table'!$A$16)</f>
        <v>4413</v>
      </c>
      <c r="H7" s="39" t="s">
        <v>3</v>
      </c>
      <c r="I7" s="40">
        <f>GETPIVOTDATA("Sum of TOTAL FIELD",'Pivot Table'!$A$28)</f>
        <v>4414</v>
      </c>
      <c r="K7" s="39" t="s">
        <v>3</v>
      </c>
      <c r="L7" s="40">
        <f>GETPIVOTDATA("Sum of TOTAL FIELD",'Pivot Table'!$A$40)</f>
        <v>4400</v>
      </c>
      <c r="N7" s="39" t="s">
        <v>3</v>
      </c>
      <c r="O7" s="40">
        <f>GETPIVOTDATA("Sum of TOTAL FIELD",'Pivot Table'!$A$52)</f>
        <v>4660</v>
      </c>
      <c r="Q7" s="39" t="s">
        <v>3</v>
      </c>
      <c r="R7" s="40">
        <f>GETPIVOTDATA("Sum of TOTAL FIELD",'Pivot Table'!$A$64)</f>
        <v>3905</v>
      </c>
    </row>
    <row r="8" spans="2:18" x14ac:dyDescent="0.25">
      <c r="B8" s="39" t="s">
        <v>82</v>
      </c>
      <c r="C8" s="40">
        <f>GETPIVOTDATA("Sum of No. GUESTS",'Pivot Table'!$A$4)</f>
        <v>865</v>
      </c>
      <c r="E8" s="39" t="s">
        <v>82</v>
      </c>
      <c r="F8" s="40">
        <f>GETPIVOTDATA("Sum of No. GUESTS",'Pivot Table'!$A$16)</f>
        <v>843</v>
      </c>
      <c r="H8" s="39" t="s">
        <v>82</v>
      </c>
      <c r="I8" s="40">
        <f>GETPIVOTDATA("Sum of No. GUESTS",'Pivot Table'!$A$28)</f>
        <v>1023</v>
      </c>
      <c r="K8" s="39" t="s">
        <v>82</v>
      </c>
      <c r="L8" s="40">
        <f>GETPIVOTDATA("Sum of No. GUESTS",'Pivot Table'!$A$40)</f>
        <v>915</v>
      </c>
      <c r="N8" s="39" t="s">
        <v>82</v>
      </c>
      <c r="O8" s="40">
        <f>GETPIVOTDATA("Sum of No. GUESTS",'Pivot Table'!$A$52)</f>
        <v>837</v>
      </c>
      <c r="Q8" s="39" t="s">
        <v>82</v>
      </c>
      <c r="R8" s="40">
        <f>GETPIVOTDATA("Sum of No. GUESTS",'Pivot Table'!$A$64)</f>
        <v>587</v>
      </c>
    </row>
    <row r="9" spans="2:18" s="56" customFormat="1" ht="33" x14ac:dyDescent="0.25">
      <c r="B9" s="55" t="s">
        <v>74</v>
      </c>
      <c r="C9" s="43">
        <f>SUM(C8/C7)</f>
        <v>0.18783930510314875</v>
      </c>
      <c r="E9" s="55" t="s">
        <v>74</v>
      </c>
      <c r="F9" s="43">
        <f>SUM(F8/F7)</f>
        <v>0.1910265125764786</v>
      </c>
      <c r="H9" s="55" t="s">
        <v>74</v>
      </c>
      <c r="I9" s="43">
        <f>SUM(I8/I7)</f>
        <v>0.23176257362936112</v>
      </c>
      <c r="K9" s="55" t="s">
        <v>74</v>
      </c>
      <c r="L9" s="43">
        <f>SUM(L8/L7)</f>
        <v>0.20795454545454545</v>
      </c>
      <c r="N9" s="55" t="s">
        <v>74</v>
      </c>
      <c r="O9" s="43">
        <f>SUM(O8/O7)</f>
        <v>0.17961373390557939</v>
      </c>
      <c r="Q9" s="55" t="s">
        <v>74</v>
      </c>
      <c r="R9" s="43">
        <f>SUM(R8/R7)</f>
        <v>0.15032010243277849</v>
      </c>
    </row>
    <row r="10" spans="2:18" x14ac:dyDescent="0.25">
      <c r="B10" s="35" t="s">
        <v>4</v>
      </c>
      <c r="C10" s="40">
        <f>GETPIVOTDATA("Sum of MEMBER",'Pivot Table'!$A$4)</f>
        <v>3697</v>
      </c>
      <c r="E10" s="35" t="s">
        <v>4</v>
      </c>
      <c r="F10" s="40">
        <f>GETPIVOTDATA("Sum of MEMBER",'Pivot Table'!$A$16)</f>
        <v>3529</v>
      </c>
      <c r="H10" s="35" t="s">
        <v>4</v>
      </c>
      <c r="I10" s="40">
        <f>GETPIVOTDATA("Sum of MEMBER",'Pivot Table'!$A$28)</f>
        <v>3361</v>
      </c>
      <c r="K10" s="35" t="s">
        <v>4</v>
      </c>
      <c r="L10" s="40">
        <f>GETPIVOTDATA("Sum of MEMBER",'Pivot Table'!$A$40)</f>
        <v>3463</v>
      </c>
      <c r="N10" s="35" t="s">
        <v>4</v>
      </c>
      <c r="O10" s="40">
        <f>GETPIVOTDATA("Sum of MEMBER",'Pivot Table'!$A$52)</f>
        <v>3800</v>
      </c>
      <c r="Q10" s="35" t="s">
        <v>4</v>
      </c>
      <c r="R10" s="40">
        <f>GETPIVOTDATA("Sum of MEMBER",'Pivot Table'!$A$64)</f>
        <v>3296</v>
      </c>
    </row>
    <row r="11" spans="2:18" x14ac:dyDescent="0.25">
      <c r="B11" s="39" t="s">
        <v>83</v>
      </c>
      <c r="C11" s="40">
        <f>GETPIVOTDATA("Sum of MANAGER INTRO",'Pivot Table'!$A$4)</f>
        <v>6</v>
      </c>
      <c r="E11" s="39" t="s">
        <v>83</v>
      </c>
      <c r="F11" s="40">
        <f>GETPIVOTDATA("Sum of MANAGER INTRO",'Pivot Table'!$A$16)</f>
        <v>28</v>
      </c>
      <c r="H11" s="39" t="s">
        <v>83</v>
      </c>
      <c r="I11" s="40">
        <f>GETPIVOTDATA("Sum of MANAGER INTRO",'Pivot Table'!$A$28)</f>
        <v>33</v>
      </c>
      <c r="K11" s="39" t="s">
        <v>83</v>
      </c>
      <c r="L11" s="40">
        <f>GETPIVOTDATA("Sum of MANAGER INTRO",'Pivot Table'!$A$40)</f>
        <v>15</v>
      </c>
      <c r="N11" s="39" t="s">
        <v>83</v>
      </c>
      <c r="O11" s="40">
        <f>GETPIVOTDATA("Sum of MANAGER INTRO",'Pivot Table'!$A$52)</f>
        <v>5</v>
      </c>
      <c r="Q11" s="39" t="s">
        <v>83</v>
      </c>
      <c r="R11" s="40">
        <f>GETPIVOTDATA("Sum of MANAGER INTRO",'Pivot Table'!$A$64)</f>
        <v>12</v>
      </c>
    </row>
    <row r="12" spans="2:18" x14ac:dyDescent="0.25">
      <c r="B12" s="39" t="s">
        <v>75</v>
      </c>
      <c r="C12" s="40">
        <f>GETPIVOTDATA("Sum of INTERSTATE",'Pivot Table'!$A$4)</f>
        <v>17</v>
      </c>
      <c r="E12" s="39" t="s">
        <v>75</v>
      </c>
      <c r="F12" s="40">
        <f>GETPIVOTDATA("Sum of INTERSTATE",'Pivot Table'!$A$16)</f>
        <v>10</v>
      </c>
      <c r="H12" s="39" t="s">
        <v>75</v>
      </c>
      <c r="I12" s="40">
        <f>GETPIVOTDATA("Sum of INTERSTATE",'Pivot Table'!$A$28)</f>
        <v>31</v>
      </c>
      <c r="K12" s="39" t="s">
        <v>75</v>
      </c>
      <c r="L12" s="40">
        <f>GETPIVOTDATA("Sum of INTERSTATE",'Pivot Table'!$A$40)</f>
        <v>13</v>
      </c>
      <c r="N12" s="39" t="s">
        <v>75</v>
      </c>
      <c r="O12" s="40">
        <f>GETPIVOTDATA("Sum of INTERSTATE",'Pivot Table'!$A$52)</f>
        <v>3</v>
      </c>
      <c r="Q12" s="39" t="s">
        <v>75</v>
      </c>
      <c r="R12" s="40">
        <f>GETPIVOTDATA("Sum of INTERSTATE",'Pivot Table'!$A$64)</f>
        <v>42</v>
      </c>
    </row>
    <row r="13" spans="2:18" x14ac:dyDescent="0.25">
      <c r="B13" s="39" t="s">
        <v>76</v>
      </c>
      <c r="C13" s="40">
        <f>GETPIVOTDATA("Sum of INTERNATIONAL",'Pivot Table'!$A$4)</f>
        <v>91</v>
      </c>
      <c r="E13" s="39" t="s">
        <v>76</v>
      </c>
      <c r="F13" s="40">
        <f>GETPIVOTDATA("Sum of INTERNATIONAL",'Pivot Table'!$A$16)</f>
        <v>87</v>
      </c>
      <c r="H13" s="39" t="s">
        <v>76</v>
      </c>
      <c r="I13" s="40">
        <f>GETPIVOTDATA("Sum of INTERNATIONAL",'Pivot Table'!$A$28)</f>
        <v>37</v>
      </c>
      <c r="K13" s="39" t="s">
        <v>76</v>
      </c>
      <c r="L13" s="40">
        <f>GETPIVOTDATA("Sum of INTERNATIONAL",'Pivot Table'!$A$40)</f>
        <v>14</v>
      </c>
      <c r="N13" s="39" t="s">
        <v>76</v>
      </c>
      <c r="O13" s="40">
        <f>GETPIVOTDATA("Sum of INTERNATIONAL",'Pivot Table'!$A$52)</f>
        <v>7</v>
      </c>
      <c r="Q13" s="39" t="s">
        <v>76</v>
      </c>
      <c r="R13" s="40">
        <f>GETPIVOTDATA("Sum of INTERNATIONAL",'Pivot Table'!$A$64)</f>
        <v>5</v>
      </c>
    </row>
    <row r="14" spans="2:18" x14ac:dyDescent="0.25">
      <c r="B14" s="39" t="s">
        <v>77</v>
      </c>
      <c r="C14" s="40">
        <f>GETPIVOTDATA("Sum of INDUSTRY GUEST",'Pivot Table'!$A$4)</f>
        <v>32</v>
      </c>
      <c r="E14" s="39" t="s">
        <v>77</v>
      </c>
      <c r="F14" s="40">
        <f>GETPIVOTDATA("Sum of INDUSTRY GUEST",'Pivot Table'!$A$16)</f>
        <v>18</v>
      </c>
      <c r="H14" s="39" t="s">
        <v>77</v>
      </c>
      <c r="I14" s="40">
        <f>GETPIVOTDATA("Sum of INDUSTRY GUEST",'Pivot Table'!$A$28)</f>
        <v>9</v>
      </c>
      <c r="K14" s="39" t="s">
        <v>77</v>
      </c>
      <c r="L14" s="40">
        <f>GETPIVOTDATA("Sum of INDUSTRY GUEST",'Pivot Table'!$A$40)</f>
        <v>16</v>
      </c>
      <c r="N14" s="39" t="s">
        <v>77</v>
      </c>
      <c r="O14" s="40">
        <f>GETPIVOTDATA("Sum of INDUSTRY GUEST",'Pivot Table'!$A$52)</f>
        <v>2</v>
      </c>
      <c r="Q14" s="39" t="s">
        <v>77</v>
      </c>
      <c r="R14" s="40">
        <f>GETPIVOTDATA("Sum of INDUSTRY GUEST",'Pivot Table'!$A$64)</f>
        <v>0</v>
      </c>
    </row>
    <row r="15" spans="2:18" x14ac:dyDescent="0.25">
      <c r="B15" s="39" t="s">
        <v>5</v>
      </c>
      <c r="C15" s="40">
        <f>GETPIVOTDATA("Sum of MEMB GUEST MICLUB",'Pivot Table'!$A$4)</f>
        <v>471</v>
      </c>
      <c r="E15" s="39" t="s">
        <v>5</v>
      </c>
      <c r="F15" s="40">
        <f>GETPIVOTDATA("Sum of MEMB GUEST MICLUB",'Pivot Table'!$A$16)</f>
        <v>349</v>
      </c>
      <c r="H15" s="39" t="s">
        <v>5</v>
      </c>
      <c r="I15" s="40">
        <f>GETPIVOTDATA("Sum of MEMB GUEST MICLUB",'Pivot Table'!$A$28)</f>
        <v>339</v>
      </c>
      <c r="K15" s="39" t="s">
        <v>5</v>
      </c>
      <c r="L15" s="40">
        <f>GETPIVOTDATA("Sum of MEMB GUEST MICLUB",'Pivot Table'!$A$40)</f>
        <v>253</v>
      </c>
      <c r="N15" s="39" t="s">
        <v>5</v>
      </c>
      <c r="O15" s="40">
        <f>GETPIVOTDATA("Sum of MEMB GUEST MICLUB",'Pivot Table'!$A$52)</f>
        <v>356</v>
      </c>
      <c r="Q15" s="39" t="s">
        <v>5</v>
      </c>
      <c r="R15" s="40">
        <f>GETPIVOTDATA("Sum of MEMB GUEST MICLUB",'Pivot Table'!$A$64)</f>
        <v>287</v>
      </c>
    </row>
    <row r="16" spans="2:18" ht="33" x14ac:dyDescent="0.25">
      <c r="B16" s="35" t="s">
        <v>78</v>
      </c>
      <c r="C16" s="40">
        <f>GETPIVOTDATA("Sum of MEMB GUEST UNACCOMPANIED",'Pivot Table'!$A$4)</f>
        <v>6</v>
      </c>
      <c r="E16" s="35" t="s">
        <v>78</v>
      </c>
      <c r="F16" s="40">
        <f>GETPIVOTDATA("Sum of MEMB GUEST UNACCOMPANIED",'Pivot Table'!$A$16)</f>
        <v>8</v>
      </c>
      <c r="H16" s="35" t="s">
        <v>78</v>
      </c>
      <c r="I16" s="40">
        <f>GETPIVOTDATA("Sum of MEMB GUEST UNACCOMPANIED",'Pivot Table'!$A$28)</f>
        <v>4</v>
      </c>
      <c r="K16" s="35" t="s">
        <v>78</v>
      </c>
      <c r="L16" s="40">
        <f>GETPIVOTDATA("Sum of MEMB GUEST UNACCOMPANIED",'Pivot Table'!$A$40)</f>
        <v>0</v>
      </c>
      <c r="N16" s="35" t="s">
        <v>78</v>
      </c>
      <c r="O16" s="40">
        <f>GETPIVOTDATA("Sum of MEMB GUEST UNACCOMPANIED",'Pivot Table'!$A$52)</f>
        <v>10</v>
      </c>
      <c r="Q16" s="35" t="s">
        <v>78</v>
      </c>
      <c r="R16" s="40">
        <f>GETPIVOTDATA("Sum of MEMB GUEST UNACCOMPANIED",'Pivot Table'!$A$64)</f>
        <v>0</v>
      </c>
    </row>
    <row r="17" spans="2:18" x14ac:dyDescent="0.25">
      <c r="B17" s="39" t="s">
        <v>6</v>
      </c>
      <c r="C17" s="40">
        <f>GETPIVOTDATA("Sum of CORPORATE",'Pivot Table'!$A$4)</f>
        <v>0</v>
      </c>
      <c r="E17" s="39" t="s">
        <v>6</v>
      </c>
      <c r="F17" s="40">
        <f>GETPIVOTDATA("Sum of CORPORATE",'Pivot Table'!$A$16)</f>
        <v>220</v>
      </c>
      <c r="H17" s="39" t="s">
        <v>6</v>
      </c>
      <c r="I17" s="40">
        <f>GETPIVOTDATA("Sum of CORPORATE",'Pivot Table'!$A$28)</f>
        <v>309</v>
      </c>
      <c r="K17" s="39" t="s">
        <v>6</v>
      </c>
      <c r="L17" s="40">
        <f>GETPIVOTDATA("Sum of CORPORATE",'Pivot Table'!$A$40)</f>
        <v>314</v>
      </c>
      <c r="N17" s="39" t="s">
        <v>6</v>
      </c>
      <c r="O17" s="40">
        <f>GETPIVOTDATA("Sum of CORPORATE",'Pivot Table'!$A$52)</f>
        <v>322</v>
      </c>
      <c r="Q17" s="39" t="s">
        <v>6</v>
      </c>
      <c r="R17" s="40">
        <f>GETPIVOTDATA("Sum of CORPORATE",'Pivot Table'!$A$64)</f>
        <v>108</v>
      </c>
    </row>
    <row r="18" spans="2:18" x14ac:dyDescent="0.25">
      <c r="B18" s="39" t="s">
        <v>114</v>
      </c>
      <c r="C18" s="40">
        <f>GETPIVOTDATA("Sum of EVENT",'Pivot Table'!$A$4)</f>
        <v>52</v>
      </c>
      <c r="E18" s="39" t="s">
        <v>114</v>
      </c>
      <c r="F18" s="40">
        <f>GETPIVOTDATA("Sum of EVENT",'Pivot Table'!$A$16)</f>
        <v>0</v>
      </c>
      <c r="H18" s="39" t="s">
        <v>114</v>
      </c>
      <c r="I18" s="40">
        <f>GETPIVOTDATA("Sum of EVENT",'Pivot Table'!$A$28)</f>
        <v>152</v>
      </c>
      <c r="K18" s="39" t="s">
        <v>114</v>
      </c>
      <c r="L18" s="40">
        <f>GETPIVOTDATA("Sum of EVENT",'Pivot Table'!$A$40)</f>
        <v>156</v>
      </c>
      <c r="N18" s="39" t="s">
        <v>114</v>
      </c>
      <c r="O18" s="40">
        <f>GETPIVOTDATA("Sum of EVENT",'Pivot Table'!$A$52)</f>
        <v>24</v>
      </c>
      <c r="Q18" s="39" t="s">
        <v>114</v>
      </c>
      <c r="R18" s="40">
        <f>GETPIVOTDATA("Sum of EVENT",'Pivot Table'!$A$64)</f>
        <v>0</v>
      </c>
    </row>
    <row r="19" spans="2:18" x14ac:dyDescent="0.25">
      <c r="B19" s="39" t="s">
        <v>84</v>
      </c>
      <c r="C19" s="40">
        <f>GETPIVOTDATA("Sum of NON-PLAYING",'Pivot Table'!$A$4)</f>
        <v>43</v>
      </c>
      <c r="E19" s="39" t="s">
        <v>84</v>
      </c>
      <c r="F19" s="40">
        <f>GETPIVOTDATA("Sum of NON-PLAYING",'Pivot Table'!$A$16)</f>
        <v>41</v>
      </c>
      <c r="H19" s="39" t="s">
        <v>84</v>
      </c>
      <c r="I19" s="40">
        <f>GETPIVOTDATA("Sum of NON-PLAYING",'Pivot Table'!$A$28)</f>
        <v>30</v>
      </c>
      <c r="K19" s="39" t="s">
        <v>84</v>
      </c>
      <c r="L19" s="40">
        <f>GETPIVOTDATA("Sum of NON-PLAYING",'Pivot Table'!$A$40)</f>
        <v>22</v>
      </c>
      <c r="N19" s="39" t="s">
        <v>84</v>
      </c>
      <c r="O19" s="40">
        <f>GETPIVOTDATA("Sum of NON-PLAYING",'Pivot Table'!$A$52)</f>
        <v>23</v>
      </c>
      <c r="Q19" s="39" t="s">
        <v>84</v>
      </c>
      <c r="R19" s="40">
        <f>GETPIVOTDATA("Sum of NON-PLAYING",'Pivot Table'!$A$64)</f>
        <v>22</v>
      </c>
    </row>
    <row r="20" spans="2:18" x14ac:dyDescent="0.25">
      <c r="B20" s="39" t="s">
        <v>79</v>
      </c>
      <c r="C20" s="40">
        <f>GETPIVOTDATA("Sum of VOUCHER",'Pivot Table'!$A$4)</f>
        <v>37</v>
      </c>
      <c r="E20" s="39" t="s">
        <v>79</v>
      </c>
      <c r="F20" s="40">
        <f>GETPIVOTDATA("Sum of VOUCHER",'Pivot Table'!$A$16)</f>
        <v>21</v>
      </c>
      <c r="H20" s="39" t="s">
        <v>79</v>
      </c>
      <c r="I20" s="40">
        <f>GETPIVOTDATA("Sum of VOUCHER",'Pivot Table'!$A$28)</f>
        <v>37</v>
      </c>
      <c r="K20" s="39" t="s">
        <v>79</v>
      </c>
      <c r="L20" s="40">
        <f>GETPIVOTDATA("Sum of VOUCHER",'Pivot Table'!$A$40)</f>
        <v>45</v>
      </c>
      <c r="N20" s="39" t="s">
        <v>79</v>
      </c>
      <c r="O20" s="40">
        <f>GETPIVOTDATA("Sum of VOUCHER",'Pivot Table'!$A$52)</f>
        <v>34</v>
      </c>
      <c r="Q20" s="39" t="s">
        <v>79</v>
      </c>
      <c r="R20" s="40">
        <f>GETPIVOTDATA("Sum of VOUCHER",'Pivot Table'!$A$64)</f>
        <v>87</v>
      </c>
    </row>
    <row r="21" spans="2:18" x14ac:dyDescent="0.25">
      <c r="B21" s="39" t="s">
        <v>7</v>
      </c>
      <c r="C21" s="40">
        <f>GETPIVOTDATA("Sum of RECIP",'Pivot Table'!$A$4)</f>
        <v>153</v>
      </c>
      <c r="E21" s="39" t="s">
        <v>7</v>
      </c>
      <c r="F21" s="40">
        <f>GETPIVOTDATA("Sum of RECIP",'Pivot Table'!$A$16)</f>
        <v>102</v>
      </c>
      <c r="H21" s="39" t="s">
        <v>7</v>
      </c>
      <c r="I21" s="40">
        <f>GETPIVOTDATA("Sum of RECIP",'Pivot Table'!$A$28)</f>
        <v>72</v>
      </c>
      <c r="K21" s="39" t="s">
        <v>7</v>
      </c>
      <c r="L21" s="40">
        <f>GETPIVOTDATA("Sum of RECIP",'Pivot Table'!$A$40)</f>
        <v>89</v>
      </c>
      <c r="N21" s="39" t="s">
        <v>7</v>
      </c>
      <c r="O21" s="40">
        <f>GETPIVOTDATA("Sum of RECIP",'Pivot Table'!$A$52)</f>
        <v>74</v>
      </c>
      <c r="Q21" s="39" t="s">
        <v>7</v>
      </c>
      <c r="R21" s="40">
        <f>GETPIVOTDATA("Sum of RECIP",'Pivot Table'!$A$64)</f>
        <v>46</v>
      </c>
    </row>
    <row r="22" spans="2:18" x14ac:dyDescent="0.25">
      <c r="B22" s="39" t="s">
        <v>80</v>
      </c>
      <c r="C22" s="40">
        <f>GETPIVOTDATA("Sum of COMP",'Pivot Table'!$A$4)</f>
        <v>2711</v>
      </c>
      <c r="E22" s="39" t="s">
        <v>80</v>
      </c>
      <c r="F22" s="40">
        <f>GETPIVOTDATA("Sum of COMP",'Pivot Table'!$A$16)</f>
        <v>2275</v>
      </c>
      <c r="H22" s="39" t="s">
        <v>80</v>
      </c>
      <c r="I22" s="40">
        <f>GETPIVOTDATA("Sum of COMP",'Pivot Table'!$A$28)</f>
        <v>2107</v>
      </c>
      <c r="K22" s="39" t="s">
        <v>80</v>
      </c>
      <c r="L22" s="40">
        <f>GETPIVOTDATA("Sum of COMP",'Pivot Table'!$A$40)</f>
        <v>2144</v>
      </c>
      <c r="N22" s="39" t="s">
        <v>80</v>
      </c>
      <c r="O22" s="40">
        <f>GETPIVOTDATA("Sum of COMP",'Pivot Table'!$A$52)</f>
        <v>2362</v>
      </c>
      <c r="Q22" s="39" t="s">
        <v>80</v>
      </c>
      <c r="R22" s="40">
        <f>GETPIVOTDATA("Sum of COMP",'Pivot Table'!$A$64)</f>
        <v>2395</v>
      </c>
    </row>
    <row r="25" spans="2:18" x14ac:dyDescent="0.25">
      <c r="B25" s="115" t="s">
        <v>13</v>
      </c>
      <c r="C25" s="116"/>
      <c r="E25" s="115" t="s">
        <v>14</v>
      </c>
      <c r="F25" s="116"/>
      <c r="H25" s="114" t="s">
        <v>15</v>
      </c>
      <c r="I25" s="114"/>
      <c r="K25" s="114" t="s">
        <v>16</v>
      </c>
      <c r="L25" s="114"/>
      <c r="N25" s="114" t="s">
        <v>66</v>
      </c>
      <c r="O25" s="114"/>
      <c r="Q25" s="114" t="s">
        <v>17</v>
      </c>
      <c r="R25" s="114"/>
    </row>
    <row r="27" spans="2:18" x14ac:dyDescent="0.25">
      <c r="B27" s="39" t="s">
        <v>1</v>
      </c>
      <c r="C27" s="40">
        <f>GETPIVOTDATA("Sum of AM FIELD",'Pivot Table'!$A$76)</f>
        <v>1966</v>
      </c>
      <c r="E27" s="39" t="s">
        <v>1</v>
      </c>
      <c r="F27" s="40">
        <f>GETPIVOTDATA("Sum of AM FIELD",'Pivot Table'!$A$88)</f>
        <v>2248</v>
      </c>
      <c r="H27" s="39" t="s">
        <v>1</v>
      </c>
      <c r="I27" s="40">
        <f>GETPIVOTDATA("Sum of AM FIELD",'Pivot Table'!$A$100)</f>
        <v>2254</v>
      </c>
      <c r="K27" s="39" t="s">
        <v>1</v>
      </c>
      <c r="L27" s="40">
        <f>GETPIVOTDATA("Sum of AM FIELD",'Pivot Table'!$A$112)</f>
        <v>2109</v>
      </c>
      <c r="N27" s="39" t="s">
        <v>1</v>
      </c>
      <c r="O27" s="40">
        <f>GETPIVOTDATA("Sum of AM FIELD",'Pivot Table'!$A$124)</f>
        <v>1975</v>
      </c>
      <c r="Q27" s="39" t="s">
        <v>1</v>
      </c>
      <c r="R27" s="40">
        <f>GETPIVOTDATA("Sum of AM FIELD",'Pivot Table'!$A$136)</f>
        <v>2357</v>
      </c>
    </row>
    <row r="28" spans="2:18" x14ac:dyDescent="0.25">
      <c r="B28" s="39" t="s">
        <v>2</v>
      </c>
      <c r="C28" s="40">
        <f>GETPIVOTDATA("Sum of PM FIELD",'Pivot Table'!$A$76)</f>
        <v>1784</v>
      </c>
      <c r="E28" s="39" t="s">
        <v>2</v>
      </c>
      <c r="F28" s="40">
        <f>GETPIVOTDATA("Sum of PM FIELD",'Pivot Table'!$A$88)</f>
        <v>1807</v>
      </c>
      <c r="H28" s="39" t="s">
        <v>2</v>
      </c>
      <c r="I28" s="40">
        <f>GETPIVOTDATA("Sum of PM FIELD",'Pivot Table'!$A$100)</f>
        <v>1835</v>
      </c>
      <c r="K28" s="39" t="s">
        <v>2</v>
      </c>
      <c r="L28" s="40">
        <f>GETPIVOTDATA("Sum of PM FIELD",'Pivot Table'!$A$112)</f>
        <v>2049</v>
      </c>
      <c r="N28" s="39" t="s">
        <v>2</v>
      </c>
      <c r="O28" s="40">
        <f>GETPIVOTDATA("Sum of PM FIELD",'Pivot Table'!$A$124)</f>
        <v>1578</v>
      </c>
      <c r="Q28" s="39" t="s">
        <v>2</v>
      </c>
      <c r="R28" s="40">
        <f>GETPIVOTDATA("Sum of PM FIELD",'Pivot Table'!$A$136)</f>
        <v>1842</v>
      </c>
    </row>
    <row r="29" spans="2:18" x14ac:dyDescent="0.25">
      <c r="B29" s="39" t="s">
        <v>3</v>
      </c>
      <c r="C29" s="40">
        <f>GETPIVOTDATA("Sum of TOTAL FIELD",'Pivot Table'!$A$76)</f>
        <v>3750</v>
      </c>
      <c r="E29" s="39" t="s">
        <v>3</v>
      </c>
      <c r="F29" s="40">
        <f>SUM(F27:F28)</f>
        <v>4055</v>
      </c>
      <c r="H29" s="39" t="s">
        <v>3</v>
      </c>
      <c r="I29" s="40">
        <f>GETPIVOTDATA("Sum of TOTAL FIELD",'Pivot Table'!$A$100)</f>
        <v>4089</v>
      </c>
      <c r="K29" s="39" t="s">
        <v>3</v>
      </c>
      <c r="L29" s="40">
        <f>GETPIVOTDATA("Sum of TOTAL FIELD",'Pivot Table'!$A$112)</f>
        <v>4158</v>
      </c>
      <c r="N29" s="39" t="s">
        <v>3</v>
      </c>
      <c r="O29" s="40">
        <f>GETPIVOTDATA("Sum of TOTAL FIELD",'Pivot Table'!$A$124)</f>
        <v>3553</v>
      </c>
      <c r="Q29" s="39" t="s">
        <v>3</v>
      </c>
      <c r="R29" s="40">
        <f>GETPIVOTDATA("Sum of TOTAL FIELD",'Pivot Table'!$A$136)</f>
        <v>4199</v>
      </c>
    </row>
    <row r="30" spans="2:18" x14ac:dyDescent="0.25">
      <c r="B30" s="39" t="s">
        <v>82</v>
      </c>
      <c r="C30" s="40">
        <f>GETPIVOTDATA("Sum of No. GUESTS",'Pivot Table'!$A$76)</f>
        <v>668</v>
      </c>
      <c r="E30" s="39" t="s">
        <v>82</v>
      </c>
      <c r="F30" s="40">
        <f>GETPIVOTDATA("Sum of No. GUESTS",'Pivot Table'!$A$88)</f>
        <v>654</v>
      </c>
      <c r="H30" s="39" t="s">
        <v>82</v>
      </c>
      <c r="I30" s="40">
        <f>GETPIVOTDATA("Sum of No. GUESTS",'Pivot Table'!$A$100)</f>
        <v>845</v>
      </c>
      <c r="K30" s="39" t="s">
        <v>82</v>
      </c>
      <c r="L30" s="40">
        <f>GETPIVOTDATA("Sum of No. GUESTS",'Pivot Table'!$A$112)</f>
        <v>593</v>
      </c>
      <c r="N30" s="39" t="s">
        <v>82</v>
      </c>
      <c r="O30" s="40">
        <f>GETPIVOTDATA("Sum of No. GUESTS",'Pivot Table'!$A$124)</f>
        <v>685</v>
      </c>
      <c r="Q30" s="39" t="s">
        <v>82</v>
      </c>
      <c r="R30" s="40">
        <f>GETPIVOTDATA("Sum of No. GUESTS",'Pivot Table'!$A$136)</f>
        <v>1062</v>
      </c>
    </row>
    <row r="31" spans="2:18" s="56" customFormat="1" ht="33" x14ac:dyDescent="0.25">
      <c r="B31" s="55" t="s">
        <v>74</v>
      </c>
      <c r="C31" s="43">
        <f>SUM(C30/C29)</f>
        <v>0.17813333333333334</v>
      </c>
      <c r="E31" s="55" t="s">
        <v>74</v>
      </c>
      <c r="F31" s="43">
        <f>SUM(F30/F29)</f>
        <v>0.16128236744759555</v>
      </c>
      <c r="H31" s="55" t="s">
        <v>74</v>
      </c>
      <c r="I31" s="43">
        <f>SUM(I30/I29)</f>
        <v>0.20665199315235999</v>
      </c>
      <c r="K31" s="55" t="s">
        <v>74</v>
      </c>
      <c r="L31" s="43">
        <f>SUM(L30/L29)</f>
        <v>0.14261664261664261</v>
      </c>
      <c r="N31" s="55" t="s">
        <v>74</v>
      </c>
      <c r="O31" s="43">
        <f>SUM(O30/O29)</f>
        <v>0.1927948212777934</v>
      </c>
      <c r="Q31" s="55" t="s">
        <v>74</v>
      </c>
      <c r="R31" s="43">
        <f>SUM(R30/R29)</f>
        <v>0.25291736127649439</v>
      </c>
    </row>
    <row r="32" spans="2:18" x14ac:dyDescent="0.25">
      <c r="B32" s="35" t="s">
        <v>4</v>
      </c>
      <c r="C32" s="40">
        <f>GETPIVOTDATA("Sum of MEMBER",'Pivot Table'!$A$76)</f>
        <v>3070</v>
      </c>
      <c r="E32" s="35" t="s">
        <v>4</v>
      </c>
      <c r="F32" s="40">
        <f>GETPIVOTDATA("Sum of MEMBER",'Pivot Table'!$A$88)</f>
        <v>3391</v>
      </c>
      <c r="H32" s="35" t="s">
        <v>4</v>
      </c>
      <c r="I32" s="40">
        <f>GETPIVOTDATA("Sum of MEMBER",'Pivot Table'!$A$100)</f>
        <v>3235</v>
      </c>
      <c r="K32" s="35" t="s">
        <v>4</v>
      </c>
      <c r="L32" s="40">
        <f>GETPIVOTDATA("Sum of MEMBER",'Pivot Table'!$A$112)</f>
        <v>3558</v>
      </c>
      <c r="N32" s="35" t="s">
        <v>4</v>
      </c>
      <c r="O32" s="40">
        <f>GETPIVOTDATA("Sum of MEMBER",'Pivot Table'!$A$124)</f>
        <v>2862</v>
      </c>
      <c r="Q32" s="35" t="s">
        <v>4</v>
      </c>
      <c r="R32" s="40">
        <f>GETPIVOTDATA("Sum of MEMBER",'Pivot Table'!$A$136)</f>
        <v>3133</v>
      </c>
    </row>
    <row r="33" spans="2:18" x14ac:dyDescent="0.25">
      <c r="B33" s="39" t="s">
        <v>83</v>
      </c>
      <c r="C33" s="40">
        <f>GETPIVOTDATA("Sum of MANAGER INTRO",'Pivot Table'!$A$76)</f>
        <v>8</v>
      </c>
      <c r="E33" s="39" t="s">
        <v>83</v>
      </c>
      <c r="F33" s="40">
        <f>GETPIVOTDATA("Sum of MANAGER INTRO",'Pivot Table'!$A$88)</f>
        <v>14</v>
      </c>
      <c r="H33" s="39" t="s">
        <v>83</v>
      </c>
      <c r="I33" s="40">
        <f>GETPIVOTDATA("Sum of MANAGER INTRO",'Pivot Table'!$A$100)</f>
        <v>60</v>
      </c>
      <c r="K33" s="39" t="s">
        <v>83</v>
      </c>
      <c r="L33" s="40">
        <f>GETPIVOTDATA("Sum of MANAGER INTRO",'Pivot Table'!$A$112)</f>
        <v>4</v>
      </c>
      <c r="N33" s="39" t="s">
        <v>83</v>
      </c>
      <c r="O33" s="40">
        <f>GETPIVOTDATA("Sum of MANAGER INTRO",'Pivot Table'!$A$124)</f>
        <v>1</v>
      </c>
      <c r="Q33" s="39" t="s">
        <v>83</v>
      </c>
      <c r="R33" s="40">
        <f>GETPIVOTDATA("Sum of MANAGER INTRO",'Pivot Table'!$A$136)</f>
        <v>5</v>
      </c>
    </row>
    <row r="34" spans="2:18" x14ac:dyDescent="0.25">
      <c r="B34" s="39" t="s">
        <v>75</v>
      </c>
      <c r="C34" s="40">
        <f>GETPIVOTDATA("Sum of INTERSTATE",'Pivot Table'!$A$76)</f>
        <v>5</v>
      </c>
      <c r="E34" s="39" t="s">
        <v>75</v>
      </c>
      <c r="F34" s="40">
        <f>GETPIVOTDATA("Sum of INTERSTATE",'Pivot Table'!$A$88)</f>
        <v>8</v>
      </c>
      <c r="H34" s="39" t="s">
        <v>75</v>
      </c>
      <c r="I34" s="40">
        <f>GETPIVOTDATA("Sum of INTERSTATE",'Pivot Table'!$A$100)</f>
        <v>9</v>
      </c>
      <c r="K34" s="39" t="s">
        <v>75</v>
      </c>
      <c r="L34" s="40">
        <f>GETPIVOTDATA("Sum of INTERSTATE",'Pivot Table'!$A$112)</f>
        <v>1</v>
      </c>
      <c r="N34" s="39" t="s">
        <v>75</v>
      </c>
      <c r="O34" s="40">
        <f>GETPIVOTDATA("Sum of INTERSTATE",'Pivot Table'!$A$124)</f>
        <v>4</v>
      </c>
      <c r="Q34" s="39" t="s">
        <v>75</v>
      </c>
      <c r="R34" s="40">
        <f>GETPIVOTDATA("Sum of INTERSTATE",'Pivot Table'!$A$136)</f>
        <v>4</v>
      </c>
    </row>
    <row r="35" spans="2:18" x14ac:dyDescent="0.25">
      <c r="B35" s="39" t="s">
        <v>76</v>
      </c>
      <c r="C35" s="40">
        <f>GETPIVOTDATA("Sum of INTERNATIONAL",'Pivot Table'!$A$76)</f>
        <v>1</v>
      </c>
      <c r="E35" s="39" t="s">
        <v>76</v>
      </c>
      <c r="F35" s="40">
        <f>GETPIVOTDATA("Sum of INTERNATIONAL",'Pivot Table'!$A$88)</f>
        <v>17</v>
      </c>
      <c r="H35" s="39" t="s">
        <v>76</v>
      </c>
      <c r="I35" s="40">
        <f>GETPIVOTDATA("Sum of INTERNATIONAL",'Pivot Table'!$A$100)</f>
        <v>15</v>
      </c>
      <c r="K35" s="39" t="s">
        <v>76</v>
      </c>
      <c r="L35" s="40">
        <f>GETPIVOTDATA("Sum of INTERNATIONAL",'Pivot Table'!$A$112)</f>
        <v>14</v>
      </c>
      <c r="N35" s="39" t="s">
        <v>76</v>
      </c>
      <c r="O35" s="40">
        <f>GETPIVOTDATA("Sum of INTERNATIONAL",'Pivot Table'!$A$124)</f>
        <v>36</v>
      </c>
      <c r="Q35" s="39" t="s">
        <v>76</v>
      </c>
      <c r="R35" s="40">
        <f>GETPIVOTDATA("Sum of INTERNATIONAL",'Pivot Table'!$A$136)</f>
        <v>8</v>
      </c>
    </row>
    <row r="36" spans="2:18" x14ac:dyDescent="0.25">
      <c r="B36" s="39" t="s">
        <v>77</v>
      </c>
      <c r="C36" s="40">
        <f>GETPIVOTDATA("Sum of INDUSTRY GUEST",'Pivot Table'!$A$76)</f>
        <v>5</v>
      </c>
      <c r="E36" s="39" t="s">
        <v>77</v>
      </c>
      <c r="F36" s="40">
        <f>GETPIVOTDATA("Sum of INDUSTRY GUEST",'Pivot Table'!$A$88)</f>
        <v>2</v>
      </c>
      <c r="H36" s="39" t="s">
        <v>77</v>
      </c>
      <c r="I36" s="40">
        <f>GETPIVOTDATA("Sum of INDUSTRY GUEST",'Pivot Table'!$A$100)</f>
        <v>2</v>
      </c>
      <c r="K36" s="39" t="s">
        <v>77</v>
      </c>
      <c r="L36" s="40">
        <f>GETPIVOTDATA("Sum of INDUSTRY GUEST",'Pivot Table'!$A$112)</f>
        <v>6</v>
      </c>
      <c r="N36" s="39" t="s">
        <v>77</v>
      </c>
      <c r="O36" s="40">
        <f>GETPIVOTDATA("Sum of INDUSTRY GUEST",'Pivot Table'!$A$124)</f>
        <v>8</v>
      </c>
      <c r="Q36" s="39" t="s">
        <v>77</v>
      </c>
      <c r="R36" s="40">
        <f>GETPIVOTDATA("Sum of INDUSTRY GUEST",'Pivot Table'!$A$136)</f>
        <v>1</v>
      </c>
    </row>
    <row r="37" spans="2:18" x14ac:dyDescent="0.25">
      <c r="B37" s="39" t="s">
        <v>5</v>
      </c>
      <c r="C37" s="40">
        <f>GETPIVOTDATA("Sum of MEMB GUEST MICLUB",'Pivot Table'!$A$76)</f>
        <v>218</v>
      </c>
      <c r="E37" s="39" t="s">
        <v>5</v>
      </c>
      <c r="F37" s="40">
        <f>GETPIVOTDATA("Sum of MEMB GUEST MICLUB",'Pivot Table'!$A$88)</f>
        <v>254</v>
      </c>
      <c r="H37" s="39" t="s">
        <v>5</v>
      </c>
      <c r="I37" s="40">
        <f>GETPIVOTDATA("Sum of MEMB GUEST MICLUB",'Pivot Table'!$A$100)</f>
        <v>298</v>
      </c>
      <c r="K37" s="39" t="s">
        <v>5</v>
      </c>
      <c r="L37" s="40">
        <f>GETPIVOTDATA("Sum of MEMB GUEST MICLUB",'Pivot Table'!$A$112)</f>
        <v>182</v>
      </c>
      <c r="N37" s="39" t="s">
        <v>5</v>
      </c>
      <c r="O37" s="40">
        <f>GETPIVOTDATA("Sum of MEMB GUEST MICLUB",'Pivot Table'!$A$124)</f>
        <v>268</v>
      </c>
      <c r="Q37" s="39" t="s">
        <v>5</v>
      </c>
      <c r="R37" s="40">
        <f>GETPIVOTDATA("Sum of MEMB GUEST MICLUB",'Pivot Table'!$A$136)</f>
        <v>427</v>
      </c>
    </row>
    <row r="38" spans="2:18" ht="33" x14ac:dyDescent="0.25">
      <c r="B38" s="35" t="s">
        <v>78</v>
      </c>
      <c r="C38" s="40">
        <f>GETPIVOTDATA("Sum of MEMB GUEST UNACCOMPANIED",'Pivot Table'!$A$76)</f>
        <v>0</v>
      </c>
      <c r="E38" s="35" t="s">
        <v>78</v>
      </c>
      <c r="F38" s="40">
        <f>GETPIVOTDATA("Sum of MEMB GUEST UNACCOMPANIED",'Pivot Table'!$A$88)</f>
        <v>4</v>
      </c>
      <c r="H38" s="35" t="s">
        <v>78</v>
      </c>
      <c r="I38" s="40">
        <f>GETPIVOTDATA("Sum of MEMB GUEST UNACCOMPANIED",'Pivot Table'!$A$100)</f>
        <v>0</v>
      </c>
      <c r="K38" s="35" t="s">
        <v>78</v>
      </c>
      <c r="L38" s="40">
        <f>GETPIVOTDATA("Sum of MEMB GUEST UNACCOMPANIED",'Pivot Table'!$A$112)</f>
        <v>4</v>
      </c>
      <c r="N38" s="35" t="s">
        <v>78</v>
      </c>
      <c r="O38" s="40">
        <f>GETPIVOTDATA("Sum of MEMB GUEST UNACCOMPANIED",'Pivot Table'!$A$124)</f>
        <v>8</v>
      </c>
      <c r="Q38" s="35" t="s">
        <v>78</v>
      </c>
      <c r="R38" s="40">
        <f>GETPIVOTDATA("Sum of MEMB GUEST UNACCOMPANIED",'Pivot Table'!$A$136)</f>
        <v>0</v>
      </c>
    </row>
    <row r="39" spans="2:18" x14ac:dyDescent="0.25">
      <c r="B39" s="39" t="s">
        <v>6</v>
      </c>
      <c r="C39" s="40">
        <f>GETPIVOTDATA("Sum of CORPORATE",'Pivot Table'!$A$76)</f>
        <v>192</v>
      </c>
      <c r="E39" s="39" t="s">
        <v>6</v>
      </c>
      <c r="F39" s="40">
        <f>GETPIVOTDATA("Sum of CORPORATE",'Pivot Table'!$A$88)</f>
        <v>112</v>
      </c>
      <c r="H39" s="39" t="s">
        <v>6</v>
      </c>
      <c r="I39" s="40">
        <f>GETPIVOTDATA("Sum of CORPORATE",'Pivot Table'!$A$100)</f>
        <v>334</v>
      </c>
      <c r="K39" s="39" t="s">
        <v>6</v>
      </c>
      <c r="L39" s="40">
        <f>GETPIVOTDATA("Sum of CORPORATE",'Pivot Table'!$A$112)</f>
        <v>247</v>
      </c>
      <c r="N39" s="39" t="s">
        <v>6</v>
      </c>
      <c r="O39" s="40">
        <f>GETPIVOTDATA("Sum of CORPORATE",'Pivot Table'!$A$124)</f>
        <v>256</v>
      </c>
      <c r="Q39" s="39" t="s">
        <v>6</v>
      </c>
      <c r="R39" s="40">
        <f>GETPIVOTDATA("Sum of CORPORATE",'Pivot Table'!$A$136)</f>
        <v>238</v>
      </c>
    </row>
    <row r="40" spans="2:18" x14ac:dyDescent="0.25">
      <c r="B40" s="39" t="s">
        <v>114</v>
      </c>
      <c r="C40" s="40">
        <f>GETPIVOTDATA("Sum of EVENT",'Pivot Table'!$A$76)</f>
        <v>60</v>
      </c>
      <c r="E40" s="39" t="s">
        <v>114</v>
      </c>
      <c r="F40" s="40">
        <f>GETPIVOTDATA("Sum of EVENT",'Pivot Table'!$A$88)</f>
        <v>82</v>
      </c>
      <c r="H40" s="39" t="s">
        <v>114</v>
      </c>
      <c r="I40" s="40">
        <f>GETPIVOTDATA("Sum of EVENT",'Pivot Table'!$A$100)</f>
        <v>24</v>
      </c>
      <c r="K40" s="39" t="s">
        <v>114</v>
      </c>
      <c r="L40" s="40">
        <f>GETPIVOTDATA("Sum of EVENT",'Pivot Table'!$A$112)</f>
        <v>90</v>
      </c>
      <c r="N40" s="39" t="s">
        <v>114</v>
      </c>
      <c r="O40" s="40">
        <f>GETPIVOTDATA("Sum of EVENT",'Pivot Table'!$A$124)</f>
        <v>52</v>
      </c>
      <c r="Q40" s="39" t="s">
        <v>114</v>
      </c>
      <c r="R40" s="40">
        <f>GETPIVOTDATA("Sum of EVENT",'Pivot Table'!$A$136)</f>
        <v>311</v>
      </c>
    </row>
    <row r="41" spans="2:18" x14ac:dyDescent="0.25">
      <c r="B41" s="39" t="s">
        <v>84</v>
      </c>
      <c r="C41" s="40">
        <f>GETPIVOTDATA("Sum of NON-PLAYING",'Pivot Table'!$A$76)</f>
        <v>12</v>
      </c>
      <c r="E41" s="39" t="s">
        <v>84</v>
      </c>
      <c r="F41" s="40">
        <f>GETPIVOTDATA("Sum of NON-PLAYING",'Pivot Table'!$A$88)</f>
        <v>10</v>
      </c>
      <c r="H41" s="39" t="s">
        <v>84</v>
      </c>
      <c r="I41" s="40">
        <f>GETPIVOTDATA("Sum of NON-PLAYING",'Pivot Table'!$A$100)</f>
        <v>9</v>
      </c>
      <c r="K41" s="39" t="s">
        <v>84</v>
      </c>
      <c r="L41" s="40">
        <f>GETPIVOTDATA("Sum of NON-PLAYING",'Pivot Table'!$A$112)</f>
        <v>7</v>
      </c>
      <c r="N41" s="39" t="s">
        <v>84</v>
      </c>
      <c r="O41" s="40">
        <f>GETPIVOTDATA("Sum of NON-PLAYING",'Pivot Table'!$A$124)</f>
        <v>6</v>
      </c>
      <c r="Q41" s="39" t="s">
        <v>84</v>
      </c>
      <c r="R41" s="40">
        <f>GETPIVOTDATA("Sum of NON-PLAYING",'Pivot Table'!$A$136)</f>
        <v>4</v>
      </c>
    </row>
    <row r="42" spans="2:18" x14ac:dyDescent="0.25">
      <c r="B42" s="39" t="s">
        <v>79</v>
      </c>
      <c r="C42" s="40">
        <f>GETPIVOTDATA("Sum of VOUCHER",'Pivot Table'!$A$76)</f>
        <v>153</v>
      </c>
      <c r="E42" s="39" t="s">
        <v>79</v>
      </c>
      <c r="F42" s="40">
        <f>GETPIVOTDATA("Sum of VOUCHER",'Pivot Table'!$A$88)</f>
        <v>109</v>
      </c>
      <c r="H42" s="39" t="s">
        <v>79</v>
      </c>
      <c r="I42" s="40">
        <f>GETPIVOTDATA("Sum of VOUCHER",'Pivot Table'!$A$100)</f>
        <v>19</v>
      </c>
      <c r="K42" s="39" t="s">
        <v>79</v>
      </c>
      <c r="L42" s="40">
        <f>GETPIVOTDATA("Sum of VOUCHER",'Pivot Table'!$A$112)</f>
        <v>39</v>
      </c>
      <c r="N42" s="39" t="s">
        <v>79</v>
      </c>
      <c r="O42" s="40">
        <f>GETPIVOTDATA("Sum of VOUCHER",'Pivot Table'!$A$124)</f>
        <v>25</v>
      </c>
      <c r="Q42" s="39" t="s">
        <v>79</v>
      </c>
      <c r="R42" s="40">
        <f>GETPIVOTDATA("Sum of VOUCHER",'Pivot Table'!$A$136)</f>
        <v>22</v>
      </c>
    </row>
    <row r="43" spans="2:18" x14ac:dyDescent="0.25">
      <c r="B43" s="39" t="s">
        <v>7</v>
      </c>
      <c r="C43" s="40">
        <f>GETPIVOTDATA("Sum of RECIP",'Pivot Table'!$A$76)</f>
        <v>26</v>
      </c>
      <c r="E43" s="39" t="s">
        <v>7</v>
      </c>
      <c r="F43" s="40">
        <f>GETPIVOTDATA("Sum of RECIP",'Pivot Table'!$A$88)</f>
        <v>52</v>
      </c>
      <c r="H43" s="39" t="s">
        <v>7</v>
      </c>
      <c r="I43" s="40">
        <f>GETPIVOTDATA("Sum of RECIP",'Pivot Table'!$A$100)</f>
        <v>84</v>
      </c>
      <c r="K43" s="39" t="s">
        <v>7</v>
      </c>
      <c r="L43" s="40">
        <f>GETPIVOTDATA("Sum of RECIP",'Pivot Table'!$A$112)</f>
        <v>6</v>
      </c>
      <c r="N43" s="39" t="s">
        <v>7</v>
      </c>
      <c r="O43" s="40">
        <f>GETPIVOTDATA("Sum of RECIP",'Pivot Table'!$A$124)</f>
        <v>27</v>
      </c>
      <c r="Q43" s="39" t="s">
        <v>7</v>
      </c>
      <c r="R43" s="40">
        <f>GETPIVOTDATA("Sum of RECIP",'Pivot Table'!$A$136)</f>
        <v>46</v>
      </c>
    </row>
    <row r="44" spans="2:18" x14ac:dyDescent="0.25">
      <c r="B44" s="39" t="s">
        <v>80</v>
      </c>
      <c r="C44" s="40">
        <f>GETPIVOTDATA("Sum of COMP",'Pivot Table'!$A$76)</f>
        <v>2067</v>
      </c>
      <c r="E44" s="39" t="s">
        <v>80</v>
      </c>
      <c r="F44" s="40">
        <f>GETPIVOTDATA("Sum of COMP",'Pivot Table'!$A$88)</f>
        <v>2235</v>
      </c>
      <c r="H44" s="39" t="s">
        <v>80</v>
      </c>
      <c r="I44" s="40">
        <f>GETPIVOTDATA("Sum of COMP",'Pivot Table'!$A$100)</f>
        <v>2185</v>
      </c>
      <c r="K44" s="39" t="s">
        <v>80</v>
      </c>
      <c r="L44" s="40">
        <f>GETPIVOTDATA("Sum of COMP",'Pivot Table'!$A$112)</f>
        <v>2006</v>
      </c>
      <c r="N44" s="39" t="s">
        <v>80</v>
      </c>
      <c r="O44" s="40">
        <f>GETPIVOTDATA("Sum of COMP",'Pivot Table'!$A$124)</f>
        <v>1934</v>
      </c>
      <c r="Q44" s="39" t="s">
        <v>80</v>
      </c>
      <c r="R44" s="40">
        <f>GETPIVOTDATA("Sum of COMP",'Pivot Table'!$A$136)</f>
        <v>2346</v>
      </c>
    </row>
  </sheetData>
  <mergeCells count="12">
    <mergeCell ref="H25:I25"/>
    <mergeCell ref="K25:L25"/>
    <mergeCell ref="N25:O25"/>
    <mergeCell ref="Q25:R25"/>
    <mergeCell ref="B3:C3"/>
    <mergeCell ref="E3:F3"/>
    <mergeCell ref="H3:I3"/>
    <mergeCell ref="K3:L3"/>
    <mergeCell ref="N3:O3"/>
    <mergeCell ref="Q3:R3"/>
    <mergeCell ref="E25:F25"/>
    <mergeCell ref="B25:C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8E1-998A-4DF6-8828-8E3E5CEE0B62}">
  <dimension ref="A2:R144"/>
  <sheetViews>
    <sheetView workbookViewId="0">
      <selection activeCell="I1" sqref="I1"/>
    </sheetView>
  </sheetViews>
  <sheetFormatPr defaultRowHeight="15" x14ac:dyDescent="0.3"/>
  <cols>
    <col min="1" max="1" width="13.42578125" style="81" bestFit="1" customWidth="1"/>
    <col min="2" max="3" width="16.140625" style="81" bestFit="1" customWidth="1"/>
    <col min="4" max="4" width="19.140625" style="81" bestFit="1" customWidth="1"/>
    <col min="5" max="5" width="18.7109375" style="81" bestFit="1" customWidth="1"/>
    <col min="6" max="6" width="15.7109375" style="81" bestFit="1" customWidth="1"/>
    <col min="7" max="7" width="23.42578125" style="81" bestFit="1" customWidth="1"/>
    <col min="8" max="8" width="18.85546875" style="81" bestFit="1" customWidth="1"/>
    <col min="9" max="9" width="22.7109375" style="81" bestFit="1" customWidth="1"/>
    <col min="10" max="10" width="23.85546875" style="81" bestFit="1" customWidth="1"/>
    <col min="11" max="11" width="27.5703125" style="81" bestFit="1" customWidth="1"/>
    <col min="12" max="12" width="37.42578125" style="81" bestFit="1" customWidth="1"/>
    <col min="13" max="13" width="19.28515625" style="81" bestFit="1" customWidth="1"/>
    <col min="14" max="14" width="13.7109375" style="81" bestFit="1" customWidth="1"/>
    <col min="15" max="15" width="20.85546875" style="81" bestFit="1" customWidth="1"/>
    <col min="16" max="16" width="17" style="81" bestFit="1" customWidth="1"/>
    <col min="17" max="18" width="13.42578125" style="81" bestFit="1" customWidth="1"/>
    <col min="19" max="16384" width="9.140625" style="81"/>
  </cols>
  <sheetData>
    <row r="2" spans="1:18" x14ac:dyDescent="0.3">
      <c r="A2" s="81" t="s">
        <v>40</v>
      </c>
    </row>
    <row r="4" spans="1:18" ht="15.75" x14ac:dyDescent="0.3">
      <c r="A4" s="84" t="s">
        <v>41</v>
      </c>
      <c r="B4" s="8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67</v>
      </c>
      <c r="I4" t="s">
        <v>68</v>
      </c>
      <c r="J4" t="s">
        <v>69</v>
      </c>
      <c r="K4" t="s">
        <v>64</v>
      </c>
      <c r="L4" t="s">
        <v>70</v>
      </c>
      <c r="M4" t="s">
        <v>48</v>
      </c>
      <c r="N4" t="s">
        <v>115</v>
      </c>
      <c r="O4" t="s">
        <v>71</v>
      </c>
      <c r="P4" t="s">
        <v>49</v>
      </c>
      <c r="Q4" t="s">
        <v>50</v>
      </c>
      <c r="R4" t="s">
        <v>51</v>
      </c>
    </row>
    <row r="5" spans="1:18" ht="15.75" x14ac:dyDescent="0.3">
      <c r="A5" s="83" t="s">
        <v>52</v>
      </c>
      <c r="B5">
        <v>303</v>
      </c>
      <c r="C5">
        <v>312</v>
      </c>
      <c r="D5">
        <v>615</v>
      </c>
      <c r="E5">
        <v>214</v>
      </c>
      <c r="F5">
        <v>394</v>
      </c>
      <c r="G5">
        <v>4</v>
      </c>
      <c r="H5">
        <v>1</v>
      </c>
      <c r="I5">
        <v>35</v>
      </c>
      <c r="J5">
        <v>5</v>
      </c>
      <c r="K5">
        <v>70</v>
      </c>
      <c r="L5">
        <v>0</v>
      </c>
      <c r="M5">
        <v>0</v>
      </c>
      <c r="N5">
        <v>52</v>
      </c>
      <c r="O5">
        <v>7</v>
      </c>
      <c r="P5">
        <v>11</v>
      </c>
      <c r="Q5">
        <v>36</v>
      </c>
      <c r="R5">
        <v>313</v>
      </c>
    </row>
    <row r="6" spans="1:18" ht="15.75" x14ac:dyDescent="0.3">
      <c r="A6" s="83" t="s">
        <v>53</v>
      </c>
      <c r="B6">
        <v>413</v>
      </c>
      <c r="C6">
        <v>120</v>
      </c>
      <c r="D6">
        <v>533</v>
      </c>
      <c r="E6">
        <v>20</v>
      </c>
      <c r="F6">
        <v>506</v>
      </c>
      <c r="G6">
        <v>0</v>
      </c>
      <c r="H6">
        <v>0</v>
      </c>
      <c r="I6">
        <v>1</v>
      </c>
      <c r="J6">
        <v>13</v>
      </c>
      <c r="K6">
        <v>0</v>
      </c>
      <c r="L6">
        <v>0</v>
      </c>
      <c r="M6">
        <v>0</v>
      </c>
      <c r="N6">
        <v>0</v>
      </c>
      <c r="O6">
        <v>7</v>
      </c>
      <c r="P6">
        <v>0</v>
      </c>
      <c r="Q6">
        <v>6</v>
      </c>
      <c r="R6">
        <v>0</v>
      </c>
    </row>
    <row r="7" spans="1:18" ht="15.75" x14ac:dyDescent="0.3">
      <c r="A7" s="83" t="s">
        <v>54</v>
      </c>
      <c r="B7">
        <v>384</v>
      </c>
      <c r="C7">
        <v>439</v>
      </c>
      <c r="D7">
        <v>823</v>
      </c>
      <c r="E7">
        <v>305</v>
      </c>
      <c r="F7">
        <v>512</v>
      </c>
      <c r="G7">
        <v>1</v>
      </c>
      <c r="H7">
        <v>9</v>
      </c>
      <c r="I7">
        <v>32</v>
      </c>
      <c r="J7">
        <v>10</v>
      </c>
      <c r="K7">
        <v>179</v>
      </c>
      <c r="L7">
        <v>6</v>
      </c>
      <c r="M7">
        <v>0</v>
      </c>
      <c r="N7">
        <v>0</v>
      </c>
      <c r="O7">
        <v>6</v>
      </c>
      <c r="P7">
        <v>16</v>
      </c>
      <c r="Q7">
        <v>52</v>
      </c>
      <c r="R7">
        <v>263</v>
      </c>
    </row>
    <row r="8" spans="1:18" ht="15.75" x14ac:dyDescent="0.3">
      <c r="A8" s="83" t="s">
        <v>55</v>
      </c>
      <c r="B8">
        <v>313</v>
      </c>
      <c r="C8">
        <v>311</v>
      </c>
      <c r="D8">
        <v>624</v>
      </c>
      <c r="E8">
        <v>8</v>
      </c>
      <c r="F8">
        <v>608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8</v>
      </c>
      <c r="P8">
        <v>0</v>
      </c>
      <c r="Q8">
        <v>8</v>
      </c>
      <c r="R8">
        <v>610</v>
      </c>
    </row>
    <row r="9" spans="1:18" ht="15.75" x14ac:dyDescent="0.3">
      <c r="A9" s="83" t="s">
        <v>56</v>
      </c>
      <c r="B9">
        <v>377</v>
      </c>
      <c r="C9">
        <v>309</v>
      </c>
      <c r="D9">
        <v>686</v>
      </c>
      <c r="E9">
        <v>205</v>
      </c>
      <c r="F9">
        <v>478</v>
      </c>
      <c r="G9">
        <v>1</v>
      </c>
      <c r="H9">
        <v>7</v>
      </c>
      <c r="I9">
        <v>15</v>
      </c>
      <c r="J9">
        <v>1</v>
      </c>
      <c r="K9">
        <v>145</v>
      </c>
      <c r="L9">
        <v>0</v>
      </c>
      <c r="M9">
        <v>0</v>
      </c>
      <c r="N9">
        <v>0</v>
      </c>
      <c r="O9">
        <v>3</v>
      </c>
      <c r="P9">
        <v>10</v>
      </c>
      <c r="Q9">
        <v>26</v>
      </c>
      <c r="R9">
        <v>366</v>
      </c>
    </row>
    <row r="10" spans="1:18" ht="15.75" x14ac:dyDescent="0.3">
      <c r="A10" s="83" t="s">
        <v>57</v>
      </c>
      <c r="B10">
        <v>376</v>
      </c>
      <c r="C10">
        <v>238</v>
      </c>
      <c r="D10">
        <v>614</v>
      </c>
      <c r="E10">
        <v>14</v>
      </c>
      <c r="F10">
        <v>596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4</v>
      </c>
      <c r="P10">
        <v>0</v>
      </c>
      <c r="Q10">
        <v>13</v>
      </c>
      <c r="R10">
        <v>592</v>
      </c>
    </row>
    <row r="11" spans="1:18" ht="15.75" x14ac:dyDescent="0.3">
      <c r="A11" s="83" t="s">
        <v>58</v>
      </c>
      <c r="B11">
        <v>395</v>
      </c>
      <c r="C11">
        <v>315</v>
      </c>
      <c r="D11">
        <v>710</v>
      </c>
      <c r="E11">
        <v>99</v>
      </c>
      <c r="F11">
        <v>603</v>
      </c>
      <c r="G11">
        <v>0</v>
      </c>
      <c r="H11">
        <v>0</v>
      </c>
      <c r="I11">
        <v>7</v>
      </c>
      <c r="J11">
        <v>3</v>
      </c>
      <c r="K11">
        <v>77</v>
      </c>
      <c r="L11">
        <v>0</v>
      </c>
      <c r="M11">
        <v>0</v>
      </c>
      <c r="N11">
        <v>0</v>
      </c>
      <c r="O11">
        <v>8</v>
      </c>
      <c r="P11">
        <v>0</v>
      </c>
      <c r="Q11">
        <v>12</v>
      </c>
      <c r="R11">
        <v>567</v>
      </c>
    </row>
    <row r="12" spans="1:18" ht="15.75" x14ac:dyDescent="0.3">
      <c r="A12" s="83" t="s">
        <v>59</v>
      </c>
      <c r="B12">
        <v>2561</v>
      </c>
      <c r="C12">
        <v>2044</v>
      </c>
      <c r="D12">
        <v>4605</v>
      </c>
      <c r="E12">
        <v>865</v>
      </c>
      <c r="F12">
        <v>3697</v>
      </c>
      <c r="G12">
        <v>6</v>
      </c>
      <c r="H12">
        <v>17</v>
      </c>
      <c r="I12">
        <v>91</v>
      </c>
      <c r="J12">
        <v>32</v>
      </c>
      <c r="K12">
        <v>471</v>
      </c>
      <c r="L12">
        <v>6</v>
      </c>
      <c r="M12">
        <v>0</v>
      </c>
      <c r="N12">
        <v>52</v>
      </c>
      <c r="O12">
        <v>43</v>
      </c>
      <c r="P12">
        <v>37</v>
      </c>
      <c r="Q12">
        <v>153</v>
      </c>
      <c r="R12">
        <v>2711</v>
      </c>
    </row>
    <row r="14" spans="1:18" x14ac:dyDescent="0.3">
      <c r="A14" s="82" t="s">
        <v>72</v>
      </c>
    </row>
    <row r="16" spans="1:18" ht="16.5" x14ac:dyDescent="0.3">
      <c r="A16" s="88" t="s">
        <v>41</v>
      </c>
      <c r="B16" s="88" t="s">
        <v>42</v>
      </c>
      <c r="C16" s="30" t="s">
        <v>43</v>
      </c>
      <c r="D16" s="30" t="s">
        <v>44</v>
      </c>
      <c r="E16" s="30" t="s">
        <v>45</v>
      </c>
      <c r="F16" s="30" t="s">
        <v>46</v>
      </c>
      <c r="G16" s="30" t="s">
        <v>47</v>
      </c>
      <c r="H16" s="30" t="s">
        <v>67</v>
      </c>
      <c r="I16" s="30" t="s">
        <v>68</v>
      </c>
      <c r="J16" s="30" t="s">
        <v>69</v>
      </c>
      <c r="K16" s="30" t="s">
        <v>64</v>
      </c>
      <c r="L16" s="30" t="s">
        <v>70</v>
      </c>
      <c r="M16" s="30" t="s">
        <v>48</v>
      </c>
      <c r="N16" s="30" t="s">
        <v>115</v>
      </c>
      <c r="O16" s="30" t="s">
        <v>71</v>
      </c>
      <c r="P16" s="30" t="s">
        <v>49</v>
      </c>
      <c r="Q16" s="30" t="s">
        <v>50</v>
      </c>
      <c r="R16" s="30" t="s">
        <v>51</v>
      </c>
    </row>
    <row r="17" spans="1:18" ht="16.5" x14ac:dyDescent="0.3">
      <c r="A17" s="87" t="s">
        <v>52</v>
      </c>
      <c r="B17" s="30">
        <v>182</v>
      </c>
      <c r="C17" s="30">
        <v>284</v>
      </c>
      <c r="D17" s="30">
        <v>466</v>
      </c>
      <c r="E17" s="30">
        <v>75</v>
      </c>
      <c r="F17" s="30">
        <v>385</v>
      </c>
      <c r="G17" s="30">
        <v>2</v>
      </c>
      <c r="H17" s="30">
        <v>1</v>
      </c>
      <c r="I17" s="30">
        <v>30</v>
      </c>
      <c r="J17" s="30">
        <v>3</v>
      </c>
      <c r="K17" s="30">
        <v>28</v>
      </c>
      <c r="L17" s="30">
        <v>0</v>
      </c>
      <c r="M17" s="30">
        <v>0</v>
      </c>
      <c r="N17" s="30">
        <v>0</v>
      </c>
      <c r="O17" s="30">
        <v>6</v>
      </c>
      <c r="P17" s="30">
        <v>0</v>
      </c>
      <c r="Q17" s="30">
        <v>11</v>
      </c>
      <c r="R17" s="30">
        <v>153</v>
      </c>
    </row>
    <row r="18" spans="1:18" ht="16.5" x14ac:dyDescent="0.3">
      <c r="A18" s="87" t="s">
        <v>53</v>
      </c>
      <c r="B18" s="30">
        <v>358</v>
      </c>
      <c r="C18" s="30">
        <v>116</v>
      </c>
      <c r="D18" s="30">
        <v>474</v>
      </c>
      <c r="E18" s="30">
        <v>5</v>
      </c>
      <c r="F18" s="30">
        <v>462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7</v>
      </c>
      <c r="P18" s="30">
        <v>0</v>
      </c>
      <c r="Q18" s="30">
        <v>5</v>
      </c>
      <c r="R18" s="30">
        <v>0</v>
      </c>
    </row>
    <row r="19" spans="1:18" ht="16.5" x14ac:dyDescent="0.3">
      <c r="A19" s="87" t="s">
        <v>54</v>
      </c>
      <c r="B19" s="30">
        <v>258</v>
      </c>
      <c r="C19" s="30">
        <v>390</v>
      </c>
      <c r="D19" s="30">
        <v>648</v>
      </c>
      <c r="E19" s="30">
        <v>275</v>
      </c>
      <c r="F19" s="30">
        <v>368</v>
      </c>
      <c r="G19" s="30">
        <v>26</v>
      </c>
      <c r="H19" s="30">
        <v>0</v>
      </c>
      <c r="I19" s="30">
        <v>53</v>
      </c>
      <c r="J19" s="30">
        <v>9</v>
      </c>
      <c r="K19" s="30">
        <v>76</v>
      </c>
      <c r="L19" s="30">
        <v>8</v>
      </c>
      <c r="M19" s="30">
        <v>63</v>
      </c>
      <c r="N19" s="30">
        <v>0</v>
      </c>
      <c r="O19" s="30">
        <v>5</v>
      </c>
      <c r="P19" s="30">
        <v>5</v>
      </c>
      <c r="Q19" s="30">
        <v>35</v>
      </c>
      <c r="R19" s="30">
        <v>163</v>
      </c>
    </row>
    <row r="20" spans="1:18" ht="16.5" x14ac:dyDescent="0.3">
      <c r="A20" s="87" t="s">
        <v>55</v>
      </c>
      <c r="B20" s="30">
        <v>396</v>
      </c>
      <c r="C20" s="30">
        <v>372</v>
      </c>
      <c r="D20" s="30">
        <v>768</v>
      </c>
      <c r="E20" s="30">
        <v>34</v>
      </c>
      <c r="F20" s="30">
        <v>729</v>
      </c>
      <c r="G20" s="30">
        <v>0</v>
      </c>
      <c r="H20" s="30">
        <v>1</v>
      </c>
      <c r="I20" s="30">
        <v>0</v>
      </c>
      <c r="J20" s="30">
        <v>3</v>
      </c>
      <c r="K20" s="30">
        <v>9</v>
      </c>
      <c r="L20" s="30">
        <v>0</v>
      </c>
      <c r="M20" s="30">
        <v>0</v>
      </c>
      <c r="N20" s="30">
        <v>0</v>
      </c>
      <c r="O20" s="30">
        <v>5</v>
      </c>
      <c r="P20" s="30">
        <v>4</v>
      </c>
      <c r="Q20" s="30">
        <v>17</v>
      </c>
      <c r="R20" s="30">
        <v>690</v>
      </c>
    </row>
    <row r="21" spans="1:18" ht="16.5" x14ac:dyDescent="0.3">
      <c r="A21" s="87" t="s">
        <v>56</v>
      </c>
      <c r="B21" s="30">
        <v>329</v>
      </c>
      <c r="C21" s="30">
        <v>372</v>
      </c>
      <c r="D21" s="30">
        <v>701</v>
      </c>
      <c r="E21" s="30">
        <v>275</v>
      </c>
      <c r="F21" s="30">
        <v>418</v>
      </c>
      <c r="G21" s="30">
        <v>0</v>
      </c>
      <c r="H21" s="30">
        <v>7</v>
      </c>
      <c r="I21" s="30">
        <v>2</v>
      </c>
      <c r="J21" s="30">
        <v>2</v>
      </c>
      <c r="K21" s="30">
        <v>87</v>
      </c>
      <c r="L21" s="30">
        <v>0</v>
      </c>
      <c r="M21" s="30">
        <v>157</v>
      </c>
      <c r="N21" s="30">
        <v>0</v>
      </c>
      <c r="O21" s="30">
        <v>8</v>
      </c>
      <c r="P21" s="30">
        <v>10</v>
      </c>
      <c r="Q21" s="30">
        <v>10</v>
      </c>
      <c r="R21" s="30">
        <v>172</v>
      </c>
    </row>
    <row r="22" spans="1:18" ht="16.5" x14ac:dyDescent="0.3">
      <c r="A22" s="87" t="s">
        <v>57</v>
      </c>
      <c r="B22" s="30">
        <v>336</v>
      </c>
      <c r="C22" s="30">
        <v>341</v>
      </c>
      <c r="D22" s="30">
        <v>677</v>
      </c>
      <c r="E22" s="30">
        <v>90</v>
      </c>
      <c r="F22" s="30">
        <v>582</v>
      </c>
      <c r="G22" s="30">
        <v>0</v>
      </c>
      <c r="H22" s="30">
        <v>0</v>
      </c>
      <c r="I22" s="30">
        <v>2</v>
      </c>
      <c r="J22" s="30">
        <v>0</v>
      </c>
      <c r="K22" s="30">
        <v>84</v>
      </c>
      <c r="L22" s="30">
        <v>0</v>
      </c>
      <c r="M22" s="30">
        <v>0</v>
      </c>
      <c r="N22" s="30">
        <v>0</v>
      </c>
      <c r="O22" s="30">
        <v>5</v>
      </c>
      <c r="P22" s="30">
        <v>0</v>
      </c>
      <c r="Q22" s="30">
        <v>4</v>
      </c>
      <c r="R22" s="30">
        <v>607</v>
      </c>
    </row>
    <row r="23" spans="1:18" ht="16.5" x14ac:dyDescent="0.3">
      <c r="A23" s="87" t="s">
        <v>58</v>
      </c>
      <c r="B23" s="30">
        <v>389</v>
      </c>
      <c r="C23" s="30">
        <v>290</v>
      </c>
      <c r="D23" s="30">
        <v>679</v>
      </c>
      <c r="E23" s="30">
        <v>89</v>
      </c>
      <c r="F23" s="30">
        <v>585</v>
      </c>
      <c r="G23" s="30">
        <v>0</v>
      </c>
      <c r="H23" s="30">
        <v>1</v>
      </c>
      <c r="I23" s="30">
        <v>0</v>
      </c>
      <c r="J23" s="30">
        <v>1</v>
      </c>
      <c r="K23" s="30">
        <v>65</v>
      </c>
      <c r="L23" s="30">
        <v>0</v>
      </c>
      <c r="M23" s="30">
        <v>0</v>
      </c>
      <c r="N23" s="30">
        <v>0</v>
      </c>
      <c r="O23" s="30">
        <v>5</v>
      </c>
      <c r="P23" s="30">
        <v>2</v>
      </c>
      <c r="Q23" s="30">
        <v>20</v>
      </c>
      <c r="R23" s="30">
        <v>490</v>
      </c>
    </row>
    <row r="24" spans="1:18" ht="16.5" x14ac:dyDescent="0.3">
      <c r="A24" s="87" t="s">
        <v>59</v>
      </c>
      <c r="B24" s="30">
        <v>2248</v>
      </c>
      <c r="C24" s="30">
        <v>2165</v>
      </c>
      <c r="D24" s="30">
        <v>4413</v>
      </c>
      <c r="E24" s="30">
        <v>843</v>
      </c>
      <c r="F24" s="30">
        <v>3529</v>
      </c>
      <c r="G24" s="30">
        <v>28</v>
      </c>
      <c r="H24" s="30">
        <v>10</v>
      </c>
      <c r="I24" s="30">
        <v>87</v>
      </c>
      <c r="J24" s="30">
        <v>18</v>
      </c>
      <c r="K24" s="30">
        <v>349</v>
      </c>
      <c r="L24" s="30">
        <v>8</v>
      </c>
      <c r="M24" s="30">
        <v>220</v>
      </c>
      <c r="N24" s="30">
        <v>0</v>
      </c>
      <c r="O24" s="30">
        <v>41</v>
      </c>
      <c r="P24" s="30">
        <v>21</v>
      </c>
      <c r="Q24" s="30">
        <v>102</v>
      </c>
      <c r="R24" s="30">
        <v>2275</v>
      </c>
    </row>
    <row r="26" spans="1:18" x14ac:dyDescent="0.3">
      <c r="A26" s="82" t="s">
        <v>60</v>
      </c>
    </row>
    <row r="28" spans="1:18" ht="15.75" x14ac:dyDescent="0.3">
      <c r="A28" s="84" t="s">
        <v>41</v>
      </c>
      <c r="B28" s="84" t="s">
        <v>42</v>
      </c>
      <c r="C28" t="s">
        <v>43</v>
      </c>
      <c r="D28" t="s">
        <v>44</v>
      </c>
      <c r="E28" t="s">
        <v>45</v>
      </c>
      <c r="F28" t="s">
        <v>46</v>
      </c>
      <c r="G28" t="s">
        <v>47</v>
      </c>
      <c r="H28" t="s">
        <v>67</v>
      </c>
      <c r="I28" t="s">
        <v>68</v>
      </c>
      <c r="J28" t="s">
        <v>69</v>
      </c>
      <c r="K28" t="s">
        <v>64</v>
      </c>
      <c r="L28" t="s">
        <v>70</v>
      </c>
      <c r="M28" t="s">
        <v>48</v>
      </c>
      <c r="N28" t="s">
        <v>115</v>
      </c>
      <c r="O28" t="s">
        <v>71</v>
      </c>
      <c r="P28" t="s">
        <v>49</v>
      </c>
      <c r="Q28" t="s">
        <v>50</v>
      </c>
      <c r="R28" t="s">
        <v>51</v>
      </c>
    </row>
    <row r="29" spans="1:18" ht="15.75" x14ac:dyDescent="0.3">
      <c r="A29" s="83" t="s">
        <v>52</v>
      </c>
      <c r="B29">
        <v>224</v>
      </c>
      <c r="C29">
        <v>246</v>
      </c>
      <c r="D29">
        <v>470</v>
      </c>
      <c r="E29">
        <v>149</v>
      </c>
      <c r="F29">
        <v>314</v>
      </c>
      <c r="G29">
        <v>14</v>
      </c>
      <c r="H29">
        <v>8</v>
      </c>
      <c r="I29">
        <v>2</v>
      </c>
      <c r="J29">
        <v>2</v>
      </c>
      <c r="K29">
        <v>55</v>
      </c>
      <c r="L29">
        <v>4</v>
      </c>
      <c r="M29">
        <v>36</v>
      </c>
      <c r="N29">
        <v>0</v>
      </c>
      <c r="O29">
        <v>7</v>
      </c>
      <c r="P29">
        <v>16</v>
      </c>
      <c r="Q29">
        <v>12</v>
      </c>
      <c r="R29">
        <v>207</v>
      </c>
    </row>
    <row r="30" spans="1:18" ht="15.75" x14ac:dyDescent="0.3">
      <c r="A30" s="83" t="s">
        <v>53</v>
      </c>
      <c r="B30">
        <v>403</v>
      </c>
      <c r="C30">
        <v>77</v>
      </c>
      <c r="D30">
        <v>480</v>
      </c>
      <c r="E30">
        <v>55</v>
      </c>
      <c r="F30">
        <v>421</v>
      </c>
      <c r="G30">
        <v>0</v>
      </c>
      <c r="H30">
        <v>0</v>
      </c>
      <c r="I30">
        <v>0</v>
      </c>
      <c r="J30">
        <v>0</v>
      </c>
      <c r="K30">
        <v>55</v>
      </c>
      <c r="L30">
        <v>0</v>
      </c>
      <c r="M30">
        <v>0</v>
      </c>
      <c r="N30">
        <v>0</v>
      </c>
      <c r="O30">
        <v>4</v>
      </c>
      <c r="P30">
        <v>0</v>
      </c>
      <c r="Q30">
        <v>0</v>
      </c>
      <c r="R30">
        <v>0</v>
      </c>
    </row>
    <row r="31" spans="1:18" ht="15.75" x14ac:dyDescent="0.3">
      <c r="A31" s="83" t="s">
        <v>54</v>
      </c>
      <c r="B31">
        <v>252</v>
      </c>
      <c r="C31">
        <v>317</v>
      </c>
      <c r="D31">
        <v>569</v>
      </c>
      <c r="E31">
        <v>351</v>
      </c>
      <c r="F31">
        <v>217</v>
      </c>
      <c r="G31">
        <v>0</v>
      </c>
      <c r="H31">
        <v>3</v>
      </c>
      <c r="I31">
        <v>33</v>
      </c>
      <c r="J31">
        <v>6</v>
      </c>
      <c r="K31">
        <v>38</v>
      </c>
      <c r="L31">
        <v>0</v>
      </c>
      <c r="M31">
        <v>253</v>
      </c>
      <c r="N31">
        <v>0</v>
      </c>
      <c r="O31">
        <v>1</v>
      </c>
      <c r="P31">
        <v>0</v>
      </c>
      <c r="Q31">
        <v>18</v>
      </c>
      <c r="R31">
        <v>38</v>
      </c>
    </row>
    <row r="32" spans="1:18" ht="15.75" x14ac:dyDescent="0.3">
      <c r="A32" s="83" t="s">
        <v>55</v>
      </c>
      <c r="B32">
        <v>325</v>
      </c>
      <c r="C32">
        <v>280</v>
      </c>
      <c r="D32">
        <v>605</v>
      </c>
      <c r="E32">
        <v>3</v>
      </c>
      <c r="F32">
        <v>596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6</v>
      </c>
      <c r="P32">
        <v>0</v>
      </c>
      <c r="Q32">
        <v>2</v>
      </c>
      <c r="R32">
        <v>577</v>
      </c>
    </row>
    <row r="33" spans="1:18" ht="15.75" x14ac:dyDescent="0.3">
      <c r="A33" s="83" t="s">
        <v>56</v>
      </c>
      <c r="B33">
        <v>399</v>
      </c>
      <c r="C33">
        <v>543</v>
      </c>
      <c r="D33">
        <v>942</v>
      </c>
      <c r="E33">
        <v>307</v>
      </c>
      <c r="F33">
        <v>628</v>
      </c>
      <c r="G33">
        <v>17</v>
      </c>
      <c r="H33">
        <v>20</v>
      </c>
      <c r="I33">
        <v>1</v>
      </c>
      <c r="J33">
        <v>1</v>
      </c>
      <c r="K33">
        <v>145</v>
      </c>
      <c r="L33">
        <v>0</v>
      </c>
      <c r="M33">
        <v>20</v>
      </c>
      <c r="N33">
        <v>56</v>
      </c>
      <c r="O33">
        <v>7</v>
      </c>
      <c r="P33">
        <v>19</v>
      </c>
      <c r="Q33">
        <v>28</v>
      </c>
      <c r="R33">
        <v>314</v>
      </c>
    </row>
    <row r="34" spans="1:18" ht="15.75" x14ac:dyDescent="0.3">
      <c r="A34" s="83" t="s">
        <v>57</v>
      </c>
      <c r="B34">
        <v>426</v>
      </c>
      <c r="C34">
        <v>268</v>
      </c>
      <c r="D34">
        <v>694</v>
      </c>
      <c r="E34">
        <v>0</v>
      </c>
      <c r="F34">
        <v>693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602</v>
      </c>
    </row>
    <row r="35" spans="1:18" ht="15.75" x14ac:dyDescent="0.3">
      <c r="A35" s="83" t="s">
        <v>58</v>
      </c>
      <c r="B35">
        <v>356</v>
      </c>
      <c r="C35">
        <v>298</v>
      </c>
      <c r="D35">
        <v>654</v>
      </c>
      <c r="E35">
        <v>158</v>
      </c>
      <c r="F35">
        <v>492</v>
      </c>
      <c r="G35">
        <v>2</v>
      </c>
      <c r="H35">
        <v>0</v>
      </c>
      <c r="I35">
        <v>0</v>
      </c>
      <c r="J35">
        <v>0</v>
      </c>
      <c r="K35">
        <v>46</v>
      </c>
      <c r="L35">
        <v>0</v>
      </c>
      <c r="M35">
        <v>0</v>
      </c>
      <c r="N35">
        <v>96</v>
      </c>
      <c r="O35">
        <v>4</v>
      </c>
      <c r="P35">
        <v>2</v>
      </c>
      <c r="Q35">
        <v>12</v>
      </c>
      <c r="R35">
        <v>369</v>
      </c>
    </row>
    <row r="36" spans="1:18" ht="15.75" x14ac:dyDescent="0.3">
      <c r="A36" s="83" t="s">
        <v>59</v>
      </c>
      <c r="B36">
        <v>2385</v>
      </c>
      <c r="C36">
        <v>2029</v>
      </c>
      <c r="D36">
        <v>4414</v>
      </c>
      <c r="E36">
        <v>1023</v>
      </c>
      <c r="F36">
        <v>3361</v>
      </c>
      <c r="G36">
        <v>33</v>
      </c>
      <c r="H36">
        <v>31</v>
      </c>
      <c r="I36">
        <v>37</v>
      </c>
      <c r="J36">
        <v>9</v>
      </c>
      <c r="K36">
        <v>339</v>
      </c>
      <c r="L36">
        <v>4</v>
      </c>
      <c r="M36">
        <v>309</v>
      </c>
      <c r="N36">
        <v>152</v>
      </c>
      <c r="O36">
        <v>30</v>
      </c>
      <c r="P36">
        <v>37</v>
      </c>
      <c r="Q36">
        <v>72</v>
      </c>
      <c r="R36">
        <v>2107</v>
      </c>
    </row>
    <row r="38" spans="1:18" x14ac:dyDescent="0.3">
      <c r="A38" s="82" t="s">
        <v>61</v>
      </c>
    </row>
    <row r="40" spans="1:18" ht="15.75" x14ac:dyDescent="0.3">
      <c r="A40" s="84" t="s">
        <v>41</v>
      </c>
      <c r="B40" s="84" t="s">
        <v>42</v>
      </c>
      <c r="C40" t="s">
        <v>43</v>
      </c>
      <c r="D40" t="s">
        <v>44</v>
      </c>
      <c r="E40" t="s">
        <v>45</v>
      </c>
      <c r="F40" t="s">
        <v>46</v>
      </c>
      <c r="G40" t="s">
        <v>47</v>
      </c>
      <c r="H40" t="s">
        <v>67</v>
      </c>
      <c r="I40" t="s">
        <v>68</v>
      </c>
      <c r="J40" t="s">
        <v>69</v>
      </c>
      <c r="K40" t="s">
        <v>64</v>
      </c>
      <c r="L40" t="s">
        <v>70</v>
      </c>
      <c r="M40" t="s">
        <v>48</v>
      </c>
      <c r="N40" t="s">
        <v>115</v>
      </c>
      <c r="O40" t="s">
        <v>71</v>
      </c>
      <c r="P40" t="s">
        <v>49</v>
      </c>
      <c r="Q40" t="s">
        <v>50</v>
      </c>
      <c r="R40" t="s">
        <v>51</v>
      </c>
    </row>
    <row r="41" spans="1:18" ht="15.75" x14ac:dyDescent="0.3">
      <c r="A41" s="83" t="s">
        <v>52</v>
      </c>
      <c r="B41">
        <v>234</v>
      </c>
      <c r="C41">
        <v>337</v>
      </c>
      <c r="D41">
        <v>571</v>
      </c>
      <c r="E41">
        <v>114</v>
      </c>
      <c r="F41">
        <v>453</v>
      </c>
      <c r="G41">
        <v>1</v>
      </c>
      <c r="H41">
        <v>0</v>
      </c>
      <c r="I41">
        <v>3</v>
      </c>
      <c r="J41">
        <v>1</v>
      </c>
      <c r="K41">
        <v>41</v>
      </c>
      <c r="L41">
        <v>0</v>
      </c>
      <c r="M41">
        <v>0</v>
      </c>
      <c r="N41">
        <v>32</v>
      </c>
      <c r="O41">
        <v>4</v>
      </c>
      <c r="P41">
        <v>12</v>
      </c>
      <c r="Q41">
        <v>24</v>
      </c>
      <c r="R41">
        <v>315</v>
      </c>
    </row>
    <row r="42" spans="1:18" ht="15.75" x14ac:dyDescent="0.3">
      <c r="A42" s="83" t="s">
        <v>53</v>
      </c>
      <c r="B42">
        <v>345</v>
      </c>
      <c r="C42">
        <v>204</v>
      </c>
      <c r="D42">
        <v>549</v>
      </c>
      <c r="E42">
        <v>18</v>
      </c>
      <c r="F42">
        <v>526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12</v>
      </c>
      <c r="O42">
        <v>5</v>
      </c>
      <c r="P42">
        <v>6</v>
      </c>
      <c r="Q42">
        <v>0</v>
      </c>
      <c r="R42">
        <v>0</v>
      </c>
    </row>
    <row r="43" spans="1:18" ht="15.75" x14ac:dyDescent="0.3">
      <c r="A43" s="83" t="s">
        <v>54</v>
      </c>
      <c r="B43">
        <v>302</v>
      </c>
      <c r="C43">
        <v>339</v>
      </c>
      <c r="D43">
        <v>641</v>
      </c>
      <c r="E43">
        <v>420</v>
      </c>
      <c r="F43">
        <v>221</v>
      </c>
      <c r="G43">
        <v>5</v>
      </c>
      <c r="H43">
        <v>12</v>
      </c>
      <c r="I43">
        <v>8</v>
      </c>
      <c r="J43">
        <v>10</v>
      </c>
      <c r="K43">
        <v>53</v>
      </c>
      <c r="L43">
        <v>0</v>
      </c>
      <c r="M43">
        <v>314</v>
      </c>
      <c r="N43">
        <v>0</v>
      </c>
      <c r="O43">
        <v>0</v>
      </c>
      <c r="P43">
        <v>4</v>
      </c>
      <c r="Q43">
        <v>14</v>
      </c>
      <c r="R43">
        <v>79</v>
      </c>
    </row>
    <row r="44" spans="1:18" ht="15.75" x14ac:dyDescent="0.3">
      <c r="A44" s="83" t="s">
        <v>55</v>
      </c>
      <c r="B44">
        <v>342</v>
      </c>
      <c r="C44">
        <v>344</v>
      </c>
      <c r="D44">
        <v>686</v>
      </c>
      <c r="E44">
        <v>27</v>
      </c>
      <c r="F44">
        <v>653</v>
      </c>
      <c r="G44">
        <v>0</v>
      </c>
      <c r="H44">
        <v>0</v>
      </c>
      <c r="I44">
        <v>0</v>
      </c>
      <c r="J44">
        <v>2</v>
      </c>
      <c r="K44">
        <v>18</v>
      </c>
      <c r="L44">
        <v>0</v>
      </c>
      <c r="M44">
        <v>0</v>
      </c>
      <c r="N44">
        <v>0</v>
      </c>
      <c r="O44">
        <v>6</v>
      </c>
      <c r="P44">
        <v>0</v>
      </c>
      <c r="Q44">
        <v>7</v>
      </c>
      <c r="R44">
        <v>600</v>
      </c>
    </row>
    <row r="45" spans="1:18" ht="15.75" x14ac:dyDescent="0.3">
      <c r="A45" s="83" t="s">
        <v>56</v>
      </c>
      <c r="B45">
        <v>385</v>
      </c>
      <c r="C45">
        <v>297</v>
      </c>
      <c r="D45">
        <v>682</v>
      </c>
      <c r="E45">
        <v>220</v>
      </c>
      <c r="F45">
        <v>461</v>
      </c>
      <c r="G45">
        <v>9</v>
      </c>
      <c r="H45">
        <v>1</v>
      </c>
      <c r="I45">
        <v>3</v>
      </c>
      <c r="J45">
        <v>3</v>
      </c>
      <c r="K45">
        <v>101</v>
      </c>
      <c r="L45">
        <v>0</v>
      </c>
      <c r="M45">
        <v>0</v>
      </c>
      <c r="N45">
        <v>56</v>
      </c>
      <c r="O45">
        <v>1</v>
      </c>
      <c r="P45">
        <v>21</v>
      </c>
      <c r="Q45">
        <v>26</v>
      </c>
      <c r="R45">
        <v>259</v>
      </c>
    </row>
    <row r="46" spans="1:18" ht="15.75" x14ac:dyDescent="0.3">
      <c r="A46" s="83" t="s">
        <v>57</v>
      </c>
      <c r="B46">
        <v>324</v>
      </c>
      <c r="C46">
        <v>287</v>
      </c>
      <c r="D46">
        <v>611</v>
      </c>
      <c r="E46">
        <v>1</v>
      </c>
      <c r="F46">
        <v>609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515</v>
      </c>
    </row>
    <row r="47" spans="1:18" ht="15.75" x14ac:dyDescent="0.3">
      <c r="A47" s="83" t="s">
        <v>58</v>
      </c>
      <c r="B47">
        <v>348</v>
      </c>
      <c r="C47">
        <v>312</v>
      </c>
      <c r="D47">
        <v>660</v>
      </c>
      <c r="E47">
        <v>115</v>
      </c>
      <c r="F47">
        <v>540</v>
      </c>
      <c r="G47">
        <v>0</v>
      </c>
      <c r="H47">
        <v>0</v>
      </c>
      <c r="I47">
        <v>0</v>
      </c>
      <c r="J47">
        <v>0</v>
      </c>
      <c r="K47">
        <v>40</v>
      </c>
      <c r="L47">
        <v>0</v>
      </c>
      <c r="M47">
        <v>0</v>
      </c>
      <c r="N47">
        <v>56</v>
      </c>
      <c r="O47">
        <v>5</v>
      </c>
      <c r="P47">
        <v>2</v>
      </c>
      <c r="Q47">
        <v>17</v>
      </c>
      <c r="R47">
        <v>376</v>
      </c>
    </row>
    <row r="48" spans="1:18" ht="15.75" x14ac:dyDescent="0.3">
      <c r="A48" s="83" t="s">
        <v>59</v>
      </c>
      <c r="B48">
        <v>2280</v>
      </c>
      <c r="C48">
        <v>2120</v>
      </c>
      <c r="D48">
        <v>4400</v>
      </c>
      <c r="E48">
        <v>915</v>
      </c>
      <c r="F48">
        <v>3463</v>
      </c>
      <c r="G48">
        <v>15</v>
      </c>
      <c r="H48">
        <v>13</v>
      </c>
      <c r="I48">
        <v>14</v>
      </c>
      <c r="J48">
        <v>16</v>
      </c>
      <c r="K48">
        <v>253</v>
      </c>
      <c r="L48">
        <v>0</v>
      </c>
      <c r="M48">
        <v>314</v>
      </c>
      <c r="N48">
        <v>156</v>
      </c>
      <c r="O48">
        <v>22</v>
      </c>
      <c r="P48">
        <v>45</v>
      </c>
      <c r="Q48">
        <v>89</v>
      </c>
      <c r="R48">
        <v>2144</v>
      </c>
    </row>
    <row r="50" spans="1:18" x14ac:dyDescent="0.3">
      <c r="A50" s="82" t="s">
        <v>62</v>
      </c>
    </row>
    <row r="52" spans="1:18" ht="15.75" x14ac:dyDescent="0.3">
      <c r="A52" s="84" t="s">
        <v>41</v>
      </c>
      <c r="B52" s="84" t="s">
        <v>42</v>
      </c>
      <c r="C52" t="s">
        <v>43</v>
      </c>
      <c r="D52" t="s">
        <v>44</v>
      </c>
      <c r="E52" t="s">
        <v>45</v>
      </c>
      <c r="F52" t="s">
        <v>46</v>
      </c>
      <c r="G52" t="s">
        <v>47</v>
      </c>
      <c r="H52" t="s">
        <v>67</v>
      </c>
      <c r="I52" t="s">
        <v>68</v>
      </c>
      <c r="J52" t="s">
        <v>69</v>
      </c>
      <c r="K52" t="s">
        <v>64</v>
      </c>
      <c r="L52" t="s">
        <v>70</v>
      </c>
      <c r="M52" t="s">
        <v>48</v>
      </c>
      <c r="N52" t="s">
        <v>115</v>
      </c>
      <c r="O52" t="s">
        <v>71</v>
      </c>
      <c r="P52" t="s">
        <v>49</v>
      </c>
      <c r="Q52" t="s">
        <v>50</v>
      </c>
      <c r="R52" t="s">
        <v>51</v>
      </c>
    </row>
    <row r="53" spans="1:18" ht="15.75" x14ac:dyDescent="0.3">
      <c r="A53" s="83" t="s">
        <v>52</v>
      </c>
      <c r="B53">
        <v>164</v>
      </c>
      <c r="C53">
        <v>292</v>
      </c>
      <c r="D53">
        <v>456</v>
      </c>
      <c r="E53">
        <v>80</v>
      </c>
      <c r="F53">
        <v>375</v>
      </c>
      <c r="G53">
        <v>1</v>
      </c>
      <c r="H53">
        <v>0</v>
      </c>
      <c r="I53">
        <v>3</v>
      </c>
      <c r="J53">
        <v>0</v>
      </c>
      <c r="K53">
        <v>28</v>
      </c>
      <c r="L53">
        <v>6</v>
      </c>
      <c r="M53">
        <v>0</v>
      </c>
      <c r="N53">
        <v>0</v>
      </c>
      <c r="O53">
        <v>1</v>
      </c>
      <c r="P53">
        <v>11</v>
      </c>
      <c r="Q53">
        <v>31</v>
      </c>
      <c r="R53">
        <v>239</v>
      </c>
    </row>
    <row r="54" spans="1:18" ht="15.75" x14ac:dyDescent="0.3">
      <c r="A54" s="83" t="s">
        <v>53</v>
      </c>
      <c r="B54">
        <v>342</v>
      </c>
      <c r="C54">
        <v>147</v>
      </c>
      <c r="D54">
        <v>489</v>
      </c>
      <c r="E54">
        <v>42</v>
      </c>
      <c r="F54">
        <v>445</v>
      </c>
      <c r="G54">
        <v>0</v>
      </c>
      <c r="H54">
        <v>0</v>
      </c>
      <c r="I54">
        <v>0</v>
      </c>
      <c r="J54">
        <v>0</v>
      </c>
      <c r="K54">
        <v>42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</row>
    <row r="55" spans="1:18" ht="15.75" x14ac:dyDescent="0.3">
      <c r="A55" s="83" t="s">
        <v>54</v>
      </c>
      <c r="B55">
        <v>409</v>
      </c>
      <c r="C55">
        <v>309</v>
      </c>
      <c r="D55">
        <v>718</v>
      </c>
      <c r="E55">
        <v>320</v>
      </c>
      <c r="F55">
        <v>396</v>
      </c>
      <c r="G55">
        <v>0</v>
      </c>
      <c r="H55">
        <v>2</v>
      </c>
      <c r="I55">
        <v>4</v>
      </c>
      <c r="J55">
        <v>2</v>
      </c>
      <c r="K55">
        <v>55</v>
      </c>
      <c r="L55">
        <v>4</v>
      </c>
      <c r="M55">
        <v>202</v>
      </c>
      <c r="N55">
        <v>24</v>
      </c>
      <c r="O55">
        <v>2</v>
      </c>
      <c r="P55">
        <v>13</v>
      </c>
      <c r="Q55">
        <v>14</v>
      </c>
      <c r="R55">
        <v>96</v>
      </c>
    </row>
    <row r="56" spans="1:18" ht="15.75" x14ac:dyDescent="0.3">
      <c r="A56" s="83" t="s">
        <v>55</v>
      </c>
      <c r="B56">
        <v>364</v>
      </c>
      <c r="C56">
        <v>404</v>
      </c>
      <c r="D56">
        <v>768</v>
      </c>
      <c r="E56">
        <v>1</v>
      </c>
      <c r="F56">
        <v>764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</v>
      </c>
      <c r="R56">
        <v>731</v>
      </c>
    </row>
    <row r="57" spans="1:18" ht="15.75" x14ac:dyDescent="0.3">
      <c r="A57" s="83" t="s">
        <v>56</v>
      </c>
      <c r="B57">
        <v>498</v>
      </c>
      <c r="C57">
        <v>367</v>
      </c>
      <c r="D57">
        <v>865</v>
      </c>
      <c r="E57">
        <v>296</v>
      </c>
      <c r="F57">
        <v>559</v>
      </c>
      <c r="G57">
        <v>4</v>
      </c>
      <c r="H57">
        <v>1</v>
      </c>
      <c r="I57">
        <v>0</v>
      </c>
      <c r="J57">
        <v>0</v>
      </c>
      <c r="K57">
        <v>146</v>
      </c>
      <c r="L57">
        <v>0</v>
      </c>
      <c r="M57">
        <v>120</v>
      </c>
      <c r="N57">
        <v>0</v>
      </c>
      <c r="O57">
        <v>10</v>
      </c>
      <c r="P57">
        <v>10</v>
      </c>
      <c r="Q57">
        <v>15</v>
      </c>
      <c r="R57">
        <v>225</v>
      </c>
    </row>
    <row r="58" spans="1:18" ht="15.75" x14ac:dyDescent="0.3">
      <c r="A58" s="83" t="s">
        <v>57</v>
      </c>
      <c r="B58">
        <v>356</v>
      </c>
      <c r="C58">
        <v>295</v>
      </c>
      <c r="D58">
        <v>651</v>
      </c>
      <c r="E58">
        <v>2</v>
      </c>
      <c r="F58">
        <v>646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</v>
      </c>
      <c r="P58">
        <v>0</v>
      </c>
      <c r="Q58">
        <v>2</v>
      </c>
      <c r="R58">
        <v>579</v>
      </c>
    </row>
    <row r="59" spans="1:18" ht="15.75" x14ac:dyDescent="0.3">
      <c r="A59" s="83" t="s">
        <v>58</v>
      </c>
      <c r="B59">
        <v>354</v>
      </c>
      <c r="C59">
        <v>359</v>
      </c>
      <c r="D59">
        <v>713</v>
      </c>
      <c r="E59">
        <v>96</v>
      </c>
      <c r="F59">
        <v>615</v>
      </c>
      <c r="G59">
        <v>0</v>
      </c>
      <c r="H59">
        <v>0</v>
      </c>
      <c r="I59">
        <v>0</v>
      </c>
      <c r="J59">
        <v>0</v>
      </c>
      <c r="K59">
        <v>85</v>
      </c>
      <c r="L59">
        <v>0</v>
      </c>
      <c r="M59">
        <v>0</v>
      </c>
      <c r="N59">
        <v>0</v>
      </c>
      <c r="O59">
        <v>2</v>
      </c>
      <c r="P59">
        <v>0</v>
      </c>
      <c r="Q59">
        <v>11</v>
      </c>
      <c r="R59">
        <v>492</v>
      </c>
    </row>
    <row r="60" spans="1:18" ht="15.75" x14ac:dyDescent="0.3">
      <c r="A60" s="83" t="s">
        <v>59</v>
      </c>
      <c r="B60">
        <v>2487</v>
      </c>
      <c r="C60">
        <v>2173</v>
      </c>
      <c r="D60">
        <v>4660</v>
      </c>
      <c r="E60">
        <v>837</v>
      </c>
      <c r="F60">
        <v>3800</v>
      </c>
      <c r="G60">
        <v>5</v>
      </c>
      <c r="H60">
        <v>3</v>
      </c>
      <c r="I60">
        <v>7</v>
      </c>
      <c r="J60">
        <v>2</v>
      </c>
      <c r="K60">
        <v>356</v>
      </c>
      <c r="L60">
        <v>10</v>
      </c>
      <c r="M60">
        <v>322</v>
      </c>
      <c r="N60">
        <v>24</v>
      </c>
      <c r="O60">
        <v>23</v>
      </c>
      <c r="P60">
        <v>34</v>
      </c>
      <c r="Q60">
        <v>74</v>
      </c>
      <c r="R60">
        <v>2362</v>
      </c>
    </row>
    <row r="62" spans="1:18" x14ac:dyDescent="0.3">
      <c r="A62" s="82" t="s">
        <v>63</v>
      </c>
    </row>
    <row r="64" spans="1:18" ht="15.75" x14ac:dyDescent="0.3">
      <c r="A64" s="84" t="s">
        <v>41</v>
      </c>
      <c r="B64" s="84" t="s">
        <v>42</v>
      </c>
      <c r="C64" t="s">
        <v>43</v>
      </c>
      <c r="D64" t="s">
        <v>44</v>
      </c>
      <c r="E64" t="s">
        <v>45</v>
      </c>
      <c r="F64" t="s">
        <v>46</v>
      </c>
      <c r="G64" t="s">
        <v>47</v>
      </c>
      <c r="H64" t="s">
        <v>67</v>
      </c>
      <c r="I64" t="s">
        <v>68</v>
      </c>
      <c r="J64" t="s">
        <v>69</v>
      </c>
      <c r="K64" t="s">
        <v>64</v>
      </c>
      <c r="L64" t="s">
        <v>70</v>
      </c>
      <c r="M64" t="s">
        <v>48</v>
      </c>
      <c r="N64" t="s">
        <v>115</v>
      </c>
      <c r="O64" t="s">
        <v>71</v>
      </c>
      <c r="P64" t="s">
        <v>49</v>
      </c>
      <c r="Q64" t="s">
        <v>50</v>
      </c>
      <c r="R64" t="s">
        <v>51</v>
      </c>
    </row>
    <row r="65" spans="1:18" ht="15.75" x14ac:dyDescent="0.3">
      <c r="A65" s="83" t="s">
        <v>52</v>
      </c>
      <c r="B65">
        <v>159</v>
      </c>
      <c r="C65">
        <v>299</v>
      </c>
      <c r="D65">
        <v>458</v>
      </c>
      <c r="E65">
        <v>95</v>
      </c>
      <c r="F65">
        <v>363</v>
      </c>
      <c r="G65">
        <v>0</v>
      </c>
      <c r="H65">
        <v>13</v>
      </c>
      <c r="I65">
        <v>5</v>
      </c>
      <c r="J65">
        <v>0</v>
      </c>
      <c r="K65">
        <v>49</v>
      </c>
      <c r="L65">
        <v>0</v>
      </c>
      <c r="M65">
        <v>0</v>
      </c>
      <c r="N65">
        <v>0</v>
      </c>
      <c r="O65">
        <v>0</v>
      </c>
      <c r="P65">
        <v>17</v>
      </c>
      <c r="Q65">
        <v>11</v>
      </c>
      <c r="R65">
        <v>301</v>
      </c>
    </row>
    <row r="66" spans="1:18" ht="15.75" x14ac:dyDescent="0.3">
      <c r="A66" s="83" t="s">
        <v>53</v>
      </c>
      <c r="B66">
        <v>266</v>
      </c>
      <c r="C66">
        <v>80</v>
      </c>
      <c r="D66">
        <v>346</v>
      </c>
      <c r="E66">
        <v>0</v>
      </c>
      <c r="F66">
        <v>343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3</v>
      </c>
      <c r="P66">
        <v>0</v>
      </c>
      <c r="Q66">
        <v>0</v>
      </c>
      <c r="R66">
        <v>0</v>
      </c>
    </row>
    <row r="67" spans="1:18" ht="15.75" x14ac:dyDescent="0.3">
      <c r="A67" s="83" t="s">
        <v>54</v>
      </c>
      <c r="B67">
        <v>246</v>
      </c>
      <c r="C67">
        <v>280</v>
      </c>
      <c r="D67">
        <v>526</v>
      </c>
      <c r="E67">
        <v>268</v>
      </c>
      <c r="F67">
        <v>258</v>
      </c>
      <c r="G67">
        <v>8</v>
      </c>
      <c r="H67">
        <v>21</v>
      </c>
      <c r="I67">
        <v>0</v>
      </c>
      <c r="J67">
        <v>0</v>
      </c>
      <c r="K67">
        <v>51</v>
      </c>
      <c r="L67">
        <v>0</v>
      </c>
      <c r="M67">
        <v>108</v>
      </c>
      <c r="N67">
        <v>0</v>
      </c>
      <c r="O67">
        <v>0</v>
      </c>
      <c r="P67">
        <v>66</v>
      </c>
      <c r="Q67">
        <v>14</v>
      </c>
      <c r="R67">
        <v>136</v>
      </c>
    </row>
    <row r="68" spans="1:18" ht="15.75" x14ac:dyDescent="0.3">
      <c r="A68" s="83" t="s">
        <v>55</v>
      </c>
      <c r="B68">
        <v>280</v>
      </c>
      <c r="C68">
        <v>292</v>
      </c>
      <c r="D68">
        <v>572</v>
      </c>
      <c r="E68">
        <v>0</v>
      </c>
      <c r="F68">
        <v>571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537</v>
      </c>
    </row>
    <row r="69" spans="1:18" ht="15.75" x14ac:dyDescent="0.3">
      <c r="A69" s="83" t="s">
        <v>56</v>
      </c>
      <c r="B69">
        <v>346</v>
      </c>
      <c r="C69">
        <v>258</v>
      </c>
      <c r="D69">
        <v>604</v>
      </c>
      <c r="E69">
        <v>133</v>
      </c>
      <c r="F69">
        <v>461</v>
      </c>
      <c r="G69">
        <v>4</v>
      </c>
      <c r="H69">
        <v>8</v>
      </c>
      <c r="I69">
        <v>0</v>
      </c>
      <c r="J69">
        <v>0</v>
      </c>
      <c r="K69">
        <v>98</v>
      </c>
      <c r="L69">
        <v>0</v>
      </c>
      <c r="M69">
        <v>0</v>
      </c>
      <c r="N69">
        <v>0</v>
      </c>
      <c r="O69">
        <v>10</v>
      </c>
      <c r="P69">
        <v>4</v>
      </c>
      <c r="Q69">
        <v>19</v>
      </c>
      <c r="R69">
        <v>263</v>
      </c>
    </row>
    <row r="70" spans="1:18" ht="15.75" x14ac:dyDescent="0.3">
      <c r="A70" s="83" t="s">
        <v>57</v>
      </c>
      <c r="B70">
        <v>356</v>
      </c>
      <c r="C70">
        <v>251</v>
      </c>
      <c r="D70">
        <v>607</v>
      </c>
      <c r="E70">
        <v>0</v>
      </c>
      <c r="F70">
        <v>607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574</v>
      </c>
    </row>
    <row r="71" spans="1:18" ht="15.75" x14ac:dyDescent="0.3">
      <c r="A71" s="83" t="s">
        <v>58</v>
      </c>
      <c r="B71">
        <v>393</v>
      </c>
      <c r="C71">
        <v>399</v>
      </c>
      <c r="D71">
        <v>792</v>
      </c>
      <c r="E71">
        <v>91</v>
      </c>
      <c r="F71">
        <v>693</v>
      </c>
      <c r="G71">
        <v>0</v>
      </c>
      <c r="H71">
        <v>0</v>
      </c>
      <c r="I71">
        <v>0</v>
      </c>
      <c r="J71">
        <v>0</v>
      </c>
      <c r="K71">
        <v>89</v>
      </c>
      <c r="L71">
        <v>0</v>
      </c>
      <c r="M71">
        <v>0</v>
      </c>
      <c r="N71">
        <v>0</v>
      </c>
      <c r="O71">
        <v>8</v>
      </c>
      <c r="P71">
        <v>0</v>
      </c>
      <c r="Q71">
        <v>2</v>
      </c>
      <c r="R71">
        <v>584</v>
      </c>
    </row>
    <row r="72" spans="1:18" ht="15.75" x14ac:dyDescent="0.3">
      <c r="A72" s="83" t="s">
        <v>59</v>
      </c>
      <c r="B72">
        <v>2046</v>
      </c>
      <c r="C72">
        <v>1859</v>
      </c>
      <c r="D72">
        <v>3905</v>
      </c>
      <c r="E72">
        <v>587</v>
      </c>
      <c r="F72">
        <v>3296</v>
      </c>
      <c r="G72">
        <v>12</v>
      </c>
      <c r="H72">
        <v>42</v>
      </c>
      <c r="I72">
        <v>5</v>
      </c>
      <c r="J72">
        <v>0</v>
      </c>
      <c r="K72">
        <v>287</v>
      </c>
      <c r="L72">
        <v>0</v>
      </c>
      <c r="M72">
        <v>108</v>
      </c>
      <c r="N72">
        <v>0</v>
      </c>
      <c r="O72">
        <v>22</v>
      </c>
      <c r="P72">
        <v>87</v>
      </c>
      <c r="Q72">
        <v>46</v>
      </c>
      <c r="R72">
        <v>2395</v>
      </c>
    </row>
    <row r="74" spans="1:18" x14ac:dyDescent="0.3">
      <c r="A74" s="82" t="s">
        <v>65</v>
      </c>
    </row>
    <row r="76" spans="1:18" ht="15.75" x14ac:dyDescent="0.3">
      <c r="A76" s="84" t="s">
        <v>41</v>
      </c>
      <c r="B76" s="84" t="s">
        <v>42</v>
      </c>
      <c r="C76" t="s">
        <v>43</v>
      </c>
      <c r="D76" t="s">
        <v>44</v>
      </c>
      <c r="E76" t="s">
        <v>45</v>
      </c>
      <c r="F76" t="s">
        <v>46</v>
      </c>
      <c r="G76" t="s">
        <v>47</v>
      </c>
      <c r="H76" t="s">
        <v>67</v>
      </c>
      <c r="I76" t="s">
        <v>68</v>
      </c>
      <c r="J76" t="s">
        <v>69</v>
      </c>
      <c r="K76" t="s">
        <v>64</v>
      </c>
      <c r="L76" t="s">
        <v>70</v>
      </c>
      <c r="M76" t="s">
        <v>48</v>
      </c>
      <c r="N76" t="s">
        <v>115</v>
      </c>
      <c r="O76" t="s">
        <v>71</v>
      </c>
      <c r="P76" t="s">
        <v>49</v>
      </c>
      <c r="Q76" t="s">
        <v>50</v>
      </c>
      <c r="R76" t="s">
        <v>51</v>
      </c>
    </row>
    <row r="77" spans="1:18" ht="15.75" x14ac:dyDescent="0.3">
      <c r="A77" s="83" t="s">
        <v>52</v>
      </c>
      <c r="B77">
        <v>169</v>
      </c>
      <c r="C77">
        <v>307</v>
      </c>
      <c r="D77">
        <v>476</v>
      </c>
      <c r="E77">
        <v>87</v>
      </c>
      <c r="F77">
        <v>386</v>
      </c>
      <c r="G77">
        <v>2</v>
      </c>
      <c r="H77">
        <v>0</v>
      </c>
      <c r="I77">
        <v>0</v>
      </c>
      <c r="J77">
        <v>0</v>
      </c>
      <c r="K77">
        <v>11</v>
      </c>
      <c r="L77">
        <v>0</v>
      </c>
      <c r="M77">
        <v>0</v>
      </c>
      <c r="N77">
        <v>60</v>
      </c>
      <c r="O77">
        <v>3</v>
      </c>
      <c r="P77">
        <v>10</v>
      </c>
      <c r="Q77">
        <v>4</v>
      </c>
      <c r="R77">
        <v>218</v>
      </c>
    </row>
    <row r="78" spans="1:18" ht="15.75" x14ac:dyDescent="0.3">
      <c r="A78" s="83" t="s">
        <v>53</v>
      </c>
      <c r="B78">
        <v>331</v>
      </c>
      <c r="C78">
        <v>133</v>
      </c>
      <c r="D78">
        <v>464</v>
      </c>
      <c r="E78">
        <v>0</v>
      </c>
      <c r="F78">
        <v>462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</row>
    <row r="79" spans="1:18" ht="15.75" x14ac:dyDescent="0.3">
      <c r="A79" s="83" t="s">
        <v>54</v>
      </c>
      <c r="B79">
        <v>284</v>
      </c>
      <c r="C79">
        <v>269</v>
      </c>
      <c r="D79">
        <v>553</v>
      </c>
      <c r="E79">
        <v>300</v>
      </c>
      <c r="F79">
        <v>252</v>
      </c>
      <c r="G79">
        <v>0</v>
      </c>
      <c r="H79">
        <v>4</v>
      </c>
      <c r="I79">
        <v>1</v>
      </c>
      <c r="J79">
        <v>0</v>
      </c>
      <c r="K79">
        <v>27</v>
      </c>
      <c r="L79">
        <v>0</v>
      </c>
      <c r="M79">
        <v>192</v>
      </c>
      <c r="N79">
        <v>0</v>
      </c>
      <c r="O79">
        <v>1</v>
      </c>
      <c r="P79">
        <v>64</v>
      </c>
      <c r="Q79">
        <v>12</v>
      </c>
      <c r="R79">
        <v>102</v>
      </c>
    </row>
    <row r="80" spans="1:18" ht="15.75" x14ac:dyDescent="0.3">
      <c r="A80" s="83" t="s">
        <v>55</v>
      </c>
      <c r="B80">
        <v>252</v>
      </c>
      <c r="C80">
        <v>265</v>
      </c>
      <c r="D80">
        <v>517</v>
      </c>
      <c r="E80">
        <v>2</v>
      </c>
      <c r="F80">
        <v>515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502</v>
      </c>
    </row>
    <row r="81" spans="1:18" ht="15.75" x14ac:dyDescent="0.3">
      <c r="A81" s="83" t="s">
        <v>56</v>
      </c>
      <c r="B81">
        <v>362</v>
      </c>
      <c r="C81">
        <v>251</v>
      </c>
      <c r="D81">
        <v>613</v>
      </c>
      <c r="E81">
        <v>152</v>
      </c>
      <c r="F81">
        <v>457</v>
      </c>
      <c r="G81">
        <v>5</v>
      </c>
      <c r="H81">
        <v>0</v>
      </c>
      <c r="I81">
        <v>0</v>
      </c>
      <c r="J81">
        <v>5</v>
      </c>
      <c r="K81">
        <v>124</v>
      </c>
      <c r="L81">
        <v>0</v>
      </c>
      <c r="M81">
        <v>0</v>
      </c>
      <c r="N81">
        <v>0</v>
      </c>
      <c r="O81">
        <v>4</v>
      </c>
      <c r="P81">
        <v>17</v>
      </c>
      <c r="Q81">
        <v>1</v>
      </c>
      <c r="R81">
        <v>264</v>
      </c>
    </row>
    <row r="82" spans="1:18" ht="15.75" x14ac:dyDescent="0.3">
      <c r="A82" s="83" t="s">
        <v>57</v>
      </c>
      <c r="B82">
        <v>263</v>
      </c>
      <c r="C82">
        <v>249</v>
      </c>
      <c r="D82">
        <v>512</v>
      </c>
      <c r="E82">
        <v>0</v>
      </c>
      <c r="F82">
        <v>512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490</v>
      </c>
    </row>
    <row r="83" spans="1:18" ht="15.75" x14ac:dyDescent="0.3">
      <c r="A83" s="83" t="s">
        <v>58</v>
      </c>
      <c r="B83">
        <v>305</v>
      </c>
      <c r="C83">
        <v>310</v>
      </c>
      <c r="D83">
        <v>615</v>
      </c>
      <c r="E83">
        <v>127</v>
      </c>
      <c r="F83">
        <v>486</v>
      </c>
      <c r="G83">
        <v>0</v>
      </c>
      <c r="H83">
        <v>0</v>
      </c>
      <c r="I83">
        <v>0</v>
      </c>
      <c r="J83">
        <v>0</v>
      </c>
      <c r="K83">
        <v>56</v>
      </c>
      <c r="L83">
        <v>0</v>
      </c>
      <c r="M83">
        <v>0</v>
      </c>
      <c r="N83">
        <v>0</v>
      </c>
      <c r="O83">
        <v>2</v>
      </c>
      <c r="P83">
        <v>62</v>
      </c>
      <c r="Q83">
        <v>9</v>
      </c>
      <c r="R83">
        <v>491</v>
      </c>
    </row>
    <row r="84" spans="1:18" ht="15.75" x14ac:dyDescent="0.3">
      <c r="A84" s="83" t="s">
        <v>59</v>
      </c>
      <c r="B84">
        <v>1966</v>
      </c>
      <c r="C84">
        <v>1784</v>
      </c>
      <c r="D84">
        <v>3750</v>
      </c>
      <c r="E84">
        <v>668</v>
      </c>
      <c r="F84">
        <v>3070</v>
      </c>
      <c r="G84">
        <v>8</v>
      </c>
      <c r="H84">
        <v>5</v>
      </c>
      <c r="I84">
        <v>1</v>
      </c>
      <c r="J84">
        <v>5</v>
      </c>
      <c r="K84">
        <v>218</v>
      </c>
      <c r="L84">
        <v>0</v>
      </c>
      <c r="M84">
        <v>192</v>
      </c>
      <c r="N84">
        <v>60</v>
      </c>
      <c r="O84">
        <v>12</v>
      </c>
      <c r="P84">
        <v>153</v>
      </c>
      <c r="Q84">
        <v>26</v>
      </c>
      <c r="R84">
        <v>2067</v>
      </c>
    </row>
    <row r="86" spans="1:18" x14ac:dyDescent="0.3">
      <c r="A86" s="82" t="s">
        <v>73</v>
      </c>
    </row>
    <row r="88" spans="1:18" ht="15.75" x14ac:dyDescent="0.3">
      <c r="A88" s="84" t="s">
        <v>41</v>
      </c>
      <c r="B88" s="84" t="s">
        <v>42</v>
      </c>
      <c r="C88" t="s">
        <v>43</v>
      </c>
      <c r="D88" t="s">
        <v>44</v>
      </c>
      <c r="E88" t="s">
        <v>45</v>
      </c>
      <c r="F88" t="s">
        <v>46</v>
      </c>
      <c r="G88" t="s">
        <v>47</v>
      </c>
      <c r="H88" t="s">
        <v>67</v>
      </c>
      <c r="I88" t="s">
        <v>68</v>
      </c>
      <c r="J88" t="s">
        <v>69</v>
      </c>
      <c r="K88" t="s">
        <v>64</v>
      </c>
      <c r="L88" t="s">
        <v>70</v>
      </c>
      <c r="M88" t="s">
        <v>48</v>
      </c>
      <c r="N88" t="s">
        <v>115</v>
      </c>
      <c r="O88" t="s">
        <v>71</v>
      </c>
      <c r="P88" t="s">
        <v>49</v>
      </c>
      <c r="Q88" t="s">
        <v>50</v>
      </c>
      <c r="R88" t="s">
        <v>51</v>
      </c>
    </row>
    <row r="89" spans="1:18" ht="15.75" x14ac:dyDescent="0.3">
      <c r="A89" s="83" t="s">
        <v>52</v>
      </c>
      <c r="B89">
        <v>113</v>
      </c>
      <c r="C89">
        <v>238</v>
      </c>
      <c r="D89">
        <v>351</v>
      </c>
      <c r="E89">
        <v>75</v>
      </c>
      <c r="F89">
        <v>275</v>
      </c>
      <c r="G89">
        <v>1</v>
      </c>
      <c r="H89">
        <v>5</v>
      </c>
      <c r="I89">
        <v>0</v>
      </c>
      <c r="J89">
        <v>0</v>
      </c>
      <c r="K89">
        <v>49</v>
      </c>
      <c r="L89">
        <v>0</v>
      </c>
      <c r="M89">
        <v>0</v>
      </c>
      <c r="N89">
        <v>0</v>
      </c>
      <c r="O89">
        <v>1</v>
      </c>
      <c r="P89">
        <v>5</v>
      </c>
      <c r="Q89">
        <v>15</v>
      </c>
      <c r="R89">
        <v>199</v>
      </c>
    </row>
    <row r="90" spans="1:18" ht="15.75" x14ac:dyDescent="0.3">
      <c r="A90" s="83" t="s">
        <v>53</v>
      </c>
      <c r="B90">
        <v>316</v>
      </c>
      <c r="C90">
        <v>118</v>
      </c>
      <c r="D90">
        <v>434</v>
      </c>
      <c r="E90">
        <v>0</v>
      </c>
      <c r="F90">
        <v>434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ht="15.75" x14ac:dyDescent="0.3">
      <c r="A91" s="83" t="s">
        <v>54</v>
      </c>
      <c r="B91">
        <v>230</v>
      </c>
      <c r="C91">
        <v>176</v>
      </c>
      <c r="D91">
        <v>406</v>
      </c>
      <c r="E91">
        <v>164</v>
      </c>
      <c r="F91">
        <v>242</v>
      </c>
      <c r="G91">
        <v>3</v>
      </c>
      <c r="H91">
        <v>0</v>
      </c>
      <c r="I91">
        <v>1</v>
      </c>
      <c r="J91">
        <v>2</v>
      </c>
      <c r="K91">
        <v>29</v>
      </c>
      <c r="L91">
        <v>0</v>
      </c>
      <c r="M91">
        <v>112</v>
      </c>
      <c r="N91">
        <v>0</v>
      </c>
      <c r="O91">
        <v>0</v>
      </c>
      <c r="P91">
        <v>8</v>
      </c>
      <c r="Q91">
        <v>9</v>
      </c>
      <c r="R91">
        <v>62</v>
      </c>
    </row>
    <row r="92" spans="1:18" ht="15.75" x14ac:dyDescent="0.3">
      <c r="A92" s="83" t="s">
        <v>55</v>
      </c>
      <c r="B92">
        <v>367</v>
      </c>
      <c r="C92">
        <v>334</v>
      </c>
      <c r="D92">
        <v>701</v>
      </c>
      <c r="E92">
        <v>3</v>
      </c>
      <c r="F92">
        <v>698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680</v>
      </c>
    </row>
    <row r="93" spans="1:18" ht="15.75" x14ac:dyDescent="0.3">
      <c r="A93" s="83" t="s">
        <v>56</v>
      </c>
      <c r="B93">
        <v>412</v>
      </c>
      <c r="C93">
        <v>300</v>
      </c>
      <c r="D93">
        <v>712</v>
      </c>
      <c r="E93">
        <v>241</v>
      </c>
      <c r="F93">
        <v>464</v>
      </c>
      <c r="G93">
        <v>6</v>
      </c>
      <c r="H93">
        <v>3</v>
      </c>
      <c r="I93">
        <v>16</v>
      </c>
      <c r="J93">
        <v>0</v>
      </c>
      <c r="K93">
        <v>107</v>
      </c>
      <c r="L93">
        <v>4</v>
      </c>
      <c r="M93">
        <v>0</v>
      </c>
      <c r="N93">
        <v>82</v>
      </c>
      <c r="O93">
        <v>7</v>
      </c>
      <c r="P93">
        <v>9</v>
      </c>
      <c r="Q93">
        <v>14</v>
      </c>
      <c r="R93">
        <v>217</v>
      </c>
    </row>
    <row r="94" spans="1:18" ht="15.75" x14ac:dyDescent="0.3">
      <c r="A94" s="83" t="s">
        <v>57</v>
      </c>
      <c r="B94">
        <v>453</v>
      </c>
      <c r="C94">
        <v>334</v>
      </c>
      <c r="D94">
        <v>787</v>
      </c>
      <c r="E94">
        <v>8</v>
      </c>
      <c r="F94">
        <v>779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8</v>
      </c>
      <c r="R94">
        <v>551</v>
      </c>
    </row>
    <row r="95" spans="1:18" ht="15.75" x14ac:dyDescent="0.3">
      <c r="A95" s="83" t="s">
        <v>58</v>
      </c>
      <c r="B95">
        <v>357</v>
      </c>
      <c r="C95">
        <v>307</v>
      </c>
      <c r="D95">
        <v>664</v>
      </c>
      <c r="E95">
        <v>163</v>
      </c>
      <c r="F95">
        <v>499</v>
      </c>
      <c r="G95">
        <v>1</v>
      </c>
      <c r="H95">
        <v>0</v>
      </c>
      <c r="I95">
        <v>0</v>
      </c>
      <c r="J95">
        <v>0</v>
      </c>
      <c r="K95">
        <v>69</v>
      </c>
      <c r="L95">
        <v>0</v>
      </c>
      <c r="M95">
        <v>0</v>
      </c>
      <c r="N95">
        <v>0</v>
      </c>
      <c r="O95">
        <v>2</v>
      </c>
      <c r="P95">
        <v>87</v>
      </c>
      <c r="Q95">
        <v>6</v>
      </c>
      <c r="R95">
        <v>526</v>
      </c>
    </row>
    <row r="96" spans="1:18" ht="15.75" x14ac:dyDescent="0.3">
      <c r="A96" s="83" t="s">
        <v>59</v>
      </c>
      <c r="B96">
        <v>2248</v>
      </c>
      <c r="C96">
        <v>1807</v>
      </c>
      <c r="D96">
        <v>4055</v>
      </c>
      <c r="E96">
        <v>654</v>
      </c>
      <c r="F96">
        <v>3391</v>
      </c>
      <c r="G96">
        <v>14</v>
      </c>
      <c r="H96">
        <v>8</v>
      </c>
      <c r="I96">
        <v>17</v>
      </c>
      <c r="J96">
        <v>2</v>
      </c>
      <c r="K96">
        <v>254</v>
      </c>
      <c r="L96">
        <v>4</v>
      </c>
      <c r="M96">
        <v>112</v>
      </c>
      <c r="N96">
        <v>82</v>
      </c>
      <c r="O96">
        <v>10</v>
      </c>
      <c r="P96">
        <v>109</v>
      </c>
      <c r="Q96">
        <v>52</v>
      </c>
      <c r="R96">
        <v>2235</v>
      </c>
    </row>
    <row r="98" spans="1:18" x14ac:dyDescent="0.3">
      <c r="A98" s="82" t="s">
        <v>107</v>
      </c>
    </row>
    <row r="100" spans="1:18" ht="15.75" x14ac:dyDescent="0.3">
      <c r="A100" s="84" t="s">
        <v>41</v>
      </c>
      <c r="B100" s="84" t="s">
        <v>42</v>
      </c>
      <c r="C100" t="s">
        <v>43</v>
      </c>
      <c r="D100" t="s">
        <v>44</v>
      </c>
      <c r="E100" t="s">
        <v>45</v>
      </c>
      <c r="F100" t="s">
        <v>46</v>
      </c>
      <c r="G100" t="s">
        <v>47</v>
      </c>
      <c r="H100" t="s">
        <v>67</v>
      </c>
      <c r="I100" t="s">
        <v>68</v>
      </c>
      <c r="J100" t="s">
        <v>69</v>
      </c>
      <c r="K100" t="s">
        <v>64</v>
      </c>
      <c r="L100" t="s">
        <v>70</v>
      </c>
      <c r="M100" t="s">
        <v>48</v>
      </c>
      <c r="N100" t="s">
        <v>115</v>
      </c>
      <c r="O100" t="s">
        <v>71</v>
      </c>
      <c r="P100" t="s">
        <v>49</v>
      </c>
      <c r="Q100" t="s">
        <v>50</v>
      </c>
      <c r="R100" t="s">
        <v>51</v>
      </c>
    </row>
    <row r="101" spans="1:18" ht="15.75" x14ac:dyDescent="0.3">
      <c r="A101" s="83" t="s">
        <v>52</v>
      </c>
      <c r="B101">
        <v>170</v>
      </c>
      <c r="C101">
        <v>341</v>
      </c>
      <c r="D101">
        <v>511</v>
      </c>
      <c r="E101">
        <v>107</v>
      </c>
      <c r="F101">
        <v>404</v>
      </c>
      <c r="G101">
        <v>0</v>
      </c>
      <c r="H101">
        <v>7</v>
      </c>
      <c r="I101">
        <v>3</v>
      </c>
      <c r="J101">
        <v>1</v>
      </c>
      <c r="K101">
        <v>49</v>
      </c>
      <c r="L101">
        <v>0</v>
      </c>
      <c r="M101">
        <v>0</v>
      </c>
      <c r="N101">
        <v>24</v>
      </c>
      <c r="O101">
        <v>0</v>
      </c>
      <c r="P101">
        <v>3</v>
      </c>
      <c r="Q101">
        <v>20</v>
      </c>
      <c r="R101">
        <v>250</v>
      </c>
    </row>
    <row r="102" spans="1:18" ht="15.75" x14ac:dyDescent="0.3">
      <c r="A102" s="83" t="s">
        <v>53</v>
      </c>
      <c r="B102">
        <v>327</v>
      </c>
      <c r="C102">
        <v>115</v>
      </c>
      <c r="D102">
        <v>442</v>
      </c>
      <c r="E102">
        <v>0</v>
      </c>
      <c r="F102">
        <v>442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ht="15.75" x14ac:dyDescent="0.3">
      <c r="A103" s="83" t="s">
        <v>54</v>
      </c>
      <c r="B103">
        <v>363</v>
      </c>
      <c r="C103">
        <v>239</v>
      </c>
      <c r="D103">
        <v>602</v>
      </c>
      <c r="E103">
        <v>388</v>
      </c>
      <c r="F103">
        <v>211</v>
      </c>
      <c r="G103">
        <v>1</v>
      </c>
      <c r="H103">
        <v>2</v>
      </c>
      <c r="I103">
        <v>4</v>
      </c>
      <c r="J103">
        <v>1</v>
      </c>
      <c r="K103">
        <v>31</v>
      </c>
      <c r="L103">
        <v>0</v>
      </c>
      <c r="M103">
        <v>334</v>
      </c>
      <c r="N103">
        <v>0</v>
      </c>
      <c r="O103">
        <v>3</v>
      </c>
      <c r="P103">
        <v>6</v>
      </c>
      <c r="Q103">
        <v>9</v>
      </c>
      <c r="R103">
        <v>16</v>
      </c>
    </row>
    <row r="104" spans="1:18" ht="15.75" x14ac:dyDescent="0.3">
      <c r="A104" s="83" t="s">
        <v>55</v>
      </c>
      <c r="B104">
        <v>285</v>
      </c>
      <c r="C104">
        <v>303</v>
      </c>
      <c r="D104">
        <v>588</v>
      </c>
      <c r="E104">
        <v>4</v>
      </c>
      <c r="F104">
        <v>584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</v>
      </c>
      <c r="R104">
        <v>558</v>
      </c>
    </row>
    <row r="105" spans="1:18" ht="15.75" x14ac:dyDescent="0.3">
      <c r="A105" s="83" t="s">
        <v>56</v>
      </c>
      <c r="B105">
        <v>379</v>
      </c>
      <c r="C105">
        <v>275</v>
      </c>
      <c r="D105">
        <v>654</v>
      </c>
      <c r="E105">
        <v>167</v>
      </c>
      <c r="F105">
        <v>486</v>
      </c>
      <c r="G105">
        <v>17</v>
      </c>
      <c r="H105">
        <v>0</v>
      </c>
      <c r="I105">
        <v>8</v>
      </c>
      <c r="J105">
        <v>0</v>
      </c>
      <c r="K105">
        <v>122</v>
      </c>
      <c r="L105">
        <v>0</v>
      </c>
      <c r="M105">
        <v>0</v>
      </c>
      <c r="N105">
        <v>0</v>
      </c>
      <c r="O105">
        <v>1</v>
      </c>
      <c r="P105">
        <v>10</v>
      </c>
      <c r="Q105">
        <v>10</v>
      </c>
      <c r="R105">
        <v>339</v>
      </c>
    </row>
    <row r="106" spans="1:18" ht="15.75" x14ac:dyDescent="0.3">
      <c r="A106" s="83" t="s">
        <v>57</v>
      </c>
      <c r="B106">
        <v>292</v>
      </c>
      <c r="C106">
        <v>226</v>
      </c>
      <c r="D106">
        <v>518</v>
      </c>
      <c r="E106">
        <v>20</v>
      </c>
      <c r="F106">
        <v>498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20</v>
      </c>
      <c r="R106">
        <v>464</v>
      </c>
    </row>
    <row r="107" spans="1:18" ht="15.75" x14ac:dyDescent="0.3">
      <c r="A107" s="83" t="s">
        <v>58</v>
      </c>
      <c r="B107">
        <v>438</v>
      </c>
      <c r="C107">
        <v>336</v>
      </c>
      <c r="D107">
        <v>774</v>
      </c>
      <c r="E107">
        <v>159</v>
      </c>
      <c r="F107">
        <v>610</v>
      </c>
      <c r="G107">
        <v>42</v>
      </c>
      <c r="H107">
        <v>0</v>
      </c>
      <c r="I107">
        <v>0</v>
      </c>
      <c r="J107">
        <v>0</v>
      </c>
      <c r="K107">
        <v>96</v>
      </c>
      <c r="L107">
        <v>0</v>
      </c>
      <c r="M107">
        <v>0</v>
      </c>
      <c r="N107">
        <v>0</v>
      </c>
      <c r="O107">
        <v>5</v>
      </c>
      <c r="P107">
        <v>0</v>
      </c>
      <c r="Q107">
        <v>21</v>
      </c>
      <c r="R107">
        <v>558</v>
      </c>
    </row>
    <row r="108" spans="1:18" ht="15.75" x14ac:dyDescent="0.3">
      <c r="A108" s="83" t="s">
        <v>59</v>
      </c>
      <c r="B108">
        <v>2254</v>
      </c>
      <c r="C108">
        <v>1835</v>
      </c>
      <c r="D108">
        <v>4089</v>
      </c>
      <c r="E108">
        <v>845</v>
      </c>
      <c r="F108">
        <v>3235</v>
      </c>
      <c r="G108">
        <v>60</v>
      </c>
      <c r="H108">
        <v>9</v>
      </c>
      <c r="I108">
        <v>15</v>
      </c>
      <c r="J108">
        <v>2</v>
      </c>
      <c r="K108">
        <v>298</v>
      </c>
      <c r="L108">
        <v>0</v>
      </c>
      <c r="M108">
        <v>334</v>
      </c>
      <c r="N108">
        <v>24</v>
      </c>
      <c r="O108">
        <v>9</v>
      </c>
      <c r="P108">
        <v>19</v>
      </c>
      <c r="Q108">
        <v>84</v>
      </c>
      <c r="R108">
        <v>2185</v>
      </c>
    </row>
    <row r="110" spans="1:18" x14ac:dyDescent="0.3">
      <c r="A110" s="82" t="s">
        <v>108</v>
      </c>
    </row>
    <row r="112" spans="1:18" ht="15.75" x14ac:dyDescent="0.3">
      <c r="A112" s="84" t="s">
        <v>41</v>
      </c>
      <c r="B112" s="84" t="s">
        <v>42</v>
      </c>
      <c r="C112" t="s">
        <v>43</v>
      </c>
      <c r="D112" t="s">
        <v>44</v>
      </c>
      <c r="E112" t="s">
        <v>45</v>
      </c>
      <c r="F112" t="s">
        <v>46</v>
      </c>
      <c r="G112" t="s">
        <v>47</v>
      </c>
      <c r="H112" t="s">
        <v>67</v>
      </c>
      <c r="I112" t="s">
        <v>68</v>
      </c>
      <c r="J112" t="s">
        <v>69</v>
      </c>
      <c r="K112" t="s">
        <v>64</v>
      </c>
      <c r="L112" t="s">
        <v>70</v>
      </c>
      <c r="M112" t="s">
        <v>48</v>
      </c>
      <c r="N112" t="s">
        <v>115</v>
      </c>
      <c r="O112" t="s">
        <v>71</v>
      </c>
      <c r="P112" t="s">
        <v>49</v>
      </c>
      <c r="Q112" t="s">
        <v>50</v>
      </c>
      <c r="R112" t="s">
        <v>51</v>
      </c>
    </row>
    <row r="113" spans="1:18" ht="15.75" x14ac:dyDescent="0.3">
      <c r="A113" s="83" t="s">
        <v>52</v>
      </c>
      <c r="B113">
        <v>145</v>
      </c>
      <c r="C113">
        <v>236</v>
      </c>
      <c r="D113">
        <v>381</v>
      </c>
      <c r="E113">
        <v>117</v>
      </c>
      <c r="F113">
        <v>263</v>
      </c>
      <c r="G113">
        <v>0</v>
      </c>
      <c r="H113">
        <v>0</v>
      </c>
      <c r="I113">
        <v>2</v>
      </c>
      <c r="J113">
        <v>0</v>
      </c>
      <c r="K113">
        <v>15</v>
      </c>
      <c r="L113">
        <v>4</v>
      </c>
      <c r="M113">
        <v>0</v>
      </c>
      <c r="N113">
        <v>90</v>
      </c>
      <c r="O113">
        <v>1</v>
      </c>
      <c r="P113">
        <v>4</v>
      </c>
      <c r="Q113">
        <v>2</v>
      </c>
      <c r="R113">
        <v>141</v>
      </c>
    </row>
    <row r="114" spans="1:18" ht="15.75" x14ac:dyDescent="0.3">
      <c r="A114" s="83" t="s">
        <v>53</v>
      </c>
      <c r="B114">
        <v>433</v>
      </c>
      <c r="C114">
        <v>247</v>
      </c>
      <c r="D114">
        <v>680</v>
      </c>
      <c r="E114">
        <v>0</v>
      </c>
      <c r="F114">
        <v>680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ht="15.75" x14ac:dyDescent="0.3">
      <c r="A115" s="83" t="s">
        <v>54</v>
      </c>
      <c r="B115">
        <v>313</v>
      </c>
      <c r="C115">
        <v>362</v>
      </c>
      <c r="D115">
        <v>675</v>
      </c>
      <c r="E115">
        <v>339</v>
      </c>
      <c r="F115">
        <v>335</v>
      </c>
      <c r="G115">
        <v>2</v>
      </c>
      <c r="H115">
        <v>0</v>
      </c>
      <c r="I115">
        <v>11</v>
      </c>
      <c r="J115">
        <v>3</v>
      </c>
      <c r="K115">
        <v>46</v>
      </c>
      <c r="L115">
        <v>0</v>
      </c>
      <c r="M115">
        <v>247</v>
      </c>
      <c r="N115">
        <v>0</v>
      </c>
      <c r="O115">
        <v>1</v>
      </c>
      <c r="P115">
        <v>30</v>
      </c>
      <c r="Q115">
        <v>0</v>
      </c>
      <c r="R115">
        <v>37</v>
      </c>
    </row>
    <row r="116" spans="1:18" ht="15.75" x14ac:dyDescent="0.3">
      <c r="A116" s="83" t="s">
        <v>55</v>
      </c>
      <c r="B116">
        <v>407</v>
      </c>
      <c r="C116">
        <v>450</v>
      </c>
      <c r="D116">
        <v>857</v>
      </c>
      <c r="E116">
        <v>0</v>
      </c>
      <c r="F116">
        <v>857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792</v>
      </c>
    </row>
    <row r="117" spans="1:18" ht="15.75" x14ac:dyDescent="0.3">
      <c r="A117" s="83" t="s">
        <v>56</v>
      </c>
      <c r="B117">
        <v>287</v>
      </c>
      <c r="C117">
        <v>220</v>
      </c>
      <c r="D117">
        <v>507</v>
      </c>
      <c r="E117">
        <v>94</v>
      </c>
      <c r="F117">
        <v>410</v>
      </c>
      <c r="G117">
        <v>2</v>
      </c>
      <c r="H117">
        <v>1</v>
      </c>
      <c r="I117">
        <v>1</v>
      </c>
      <c r="J117">
        <v>3</v>
      </c>
      <c r="K117">
        <v>82</v>
      </c>
      <c r="L117">
        <v>0</v>
      </c>
      <c r="M117">
        <v>0</v>
      </c>
      <c r="N117">
        <v>0</v>
      </c>
      <c r="O117">
        <v>3</v>
      </c>
      <c r="P117">
        <v>5</v>
      </c>
      <c r="Q117">
        <v>0</v>
      </c>
      <c r="R117">
        <v>195</v>
      </c>
    </row>
    <row r="118" spans="1:18" ht="15.75" x14ac:dyDescent="0.3">
      <c r="A118" s="83" t="s">
        <v>57</v>
      </c>
      <c r="B118">
        <v>295</v>
      </c>
      <c r="C118">
        <v>265</v>
      </c>
      <c r="D118">
        <v>560</v>
      </c>
      <c r="E118">
        <v>0</v>
      </c>
      <c r="F118">
        <v>560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501</v>
      </c>
    </row>
    <row r="119" spans="1:18" ht="15.75" x14ac:dyDescent="0.3">
      <c r="A119" s="83" t="s">
        <v>58</v>
      </c>
      <c r="B119">
        <v>229</v>
      </c>
      <c r="C119">
        <v>269</v>
      </c>
      <c r="D119">
        <v>498</v>
      </c>
      <c r="E119">
        <v>43</v>
      </c>
      <c r="F119">
        <v>453</v>
      </c>
      <c r="G119">
        <v>0</v>
      </c>
      <c r="H119">
        <v>0</v>
      </c>
      <c r="I119">
        <v>0</v>
      </c>
      <c r="J119">
        <v>0</v>
      </c>
      <c r="K119">
        <v>39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4</v>
      </c>
      <c r="R119">
        <v>340</v>
      </c>
    </row>
    <row r="120" spans="1:18" ht="15.75" x14ac:dyDescent="0.3">
      <c r="A120" s="83" t="s">
        <v>59</v>
      </c>
      <c r="B120">
        <v>2109</v>
      </c>
      <c r="C120">
        <v>2049</v>
      </c>
      <c r="D120">
        <v>4158</v>
      </c>
      <c r="E120">
        <v>593</v>
      </c>
      <c r="F120">
        <v>3558</v>
      </c>
      <c r="G120">
        <v>4</v>
      </c>
      <c r="H120">
        <v>1</v>
      </c>
      <c r="I120">
        <v>14</v>
      </c>
      <c r="J120">
        <v>6</v>
      </c>
      <c r="K120">
        <v>182</v>
      </c>
      <c r="L120">
        <v>4</v>
      </c>
      <c r="M120">
        <v>247</v>
      </c>
      <c r="N120">
        <v>90</v>
      </c>
      <c r="O120">
        <v>7</v>
      </c>
      <c r="P120">
        <v>39</v>
      </c>
      <c r="Q120">
        <v>6</v>
      </c>
      <c r="R120">
        <v>2006</v>
      </c>
    </row>
    <row r="122" spans="1:18" x14ac:dyDescent="0.3">
      <c r="A122" s="82" t="s">
        <v>109</v>
      </c>
    </row>
    <row r="124" spans="1:18" ht="15.75" x14ac:dyDescent="0.3">
      <c r="A124" s="84" t="s">
        <v>41</v>
      </c>
      <c r="B124" s="84" t="s">
        <v>42</v>
      </c>
      <c r="C124" t="s">
        <v>43</v>
      </c>
      <c r="D124" t="s">
        <v>44</v>
      </c>
      <c r="E124" t="s">
        <v>45</v>
      </c>
      <c r="F124" t="s">
        <v>46</v>
      </c>
      <c r="G124" t="s">
        <v>47</v>
      </c>
      <c r="H124" t="s">
        <v>67</v>
      </c>
      <c r="I124" t="s">
        <v>68</v>
      </c>
      <c r="J124" t="s">
        <v>69</v>
      </c>
      <c r="K124" t="s">
        <v>64</v>
      </c>
      <c r="L124" t="s">
        <v>70</v>
      </c>
      <c r="M124" t="s">
        <v>48</v>
      </c>
      <c r="N124" t="s">
        <v>115</v>
      </c>
      <c r="O124" t="s">
        <v>71</v>
      </c>
      <c r="P124" t="s">
        <v>49</v>
      </c>
      <c r="Q124" t="s">
        <v>50</v>
      </c>
      <c r="R124" t="s">
        <v>51</v>
      </c>
    </row>
    <row r="125" spans="1:18" ht="15.75" x14ac:dyDescent="0.3">
      <c r="A125" s="83" t="s">
        <v>52</v>
      </c>
      <c r="B125">
        <v>124</v>
      </c>
      <c r="C125">
        <v>202</v>
      </c>
      <c r="D125">
        <v>326</v>
      </c>
      <c r="E125">
        <v>72</v>
      </c>
      <c r="F125">
        <v>254</v>
      </c>
      <c r="G125">
        <v>0</v>
      </c>
      <c r="H125">
        <v>4</v>
      </c>
      <c r="I125">
        <v>1</v>
      </c>
      <c r="J125">
        <v>0</v>
      </c>
      <c r="K125">
        <v>33</v>
      </c>
      <c r="L125">
        <v>0</v>
      </c>
      <c r="M125">
        <v>0</v>
      </c>
      <c r="N125">
        <v>24</v>
      </c>
      <c r="O125">
        <v>0</v>
      </c>
      <c r="P125">
        <v>4</v>
      </c>
      <c r="Q125">
        <v>6</v>
      </c>
      <c r="R125">
        <v>181</v>
      </c>
    </row>
    <row r="126" spans="1:18" ht="15.75" x14ac:dyDescent="0.3">
      <c r="A126" s="83" t="s">
        <v>53</v>
      </c>
      <c r="B126">
        <v>296</v>
      </c>
      <c r="C126">
        <v>170</v>
      </c>
      <c r="D126">
        <v>466</v>
      </c>
      <c r="E126">
        <v>51</v>
      </c>
      <c r="F126">
        <v>413</v>
      </c>
      <c r="G126">
        <v>0</v>
      </c>
      <c r="H126">
        <v>0</v>
      </c>
      <c r="I126">
        <v>16</v>
      </c>
      <c r="J126">
        <v>0</v>
      </c>
      <c r="K126">
        <v>29</v>
      </c>
      <c r="L126">
        <v>0</v>
      </c>
      <c r="M126">
        <v>0</v>
      </c>
      <c r="N126">
        <v>0</v>
      </c>
      <c r="O126">
        <v>2</v>
      </c>
      <c r="P126">
        <v>2</v>
      </c>
      <c r="Q126">
        <v>4</v>
      </c>
      <c r="R126">
        <v>140</v>
      </c>
    </row>
    <row r="127" spans="1:18" ht="15.75" x14ac:dyDescent="0.3">
      <c r="A127" s="83" t="s">
        <v>54</v>
      </c>
      <c r="B127">
        <v>205</v>
      </c>
      <c r="C127">
        <v>189</v>
      </c>
      <c r="D127">
        <v>394</v>
      </c>
      <c r="E127">
        <v>227</v>
      </c>
      <c r="F127">
        <v>167</v>
      </c>
      <c r="G127">
        <v>0</v>
      </c>
      <c r="H127">
        <v>0</v>
      </c>
      <c r="I127">
        <v>18</v>
      </c>
      <c r="J127">
        <v>2</v>
      </c>
      <c r="K127">
        <v>15</v>
      </c>
      <c r="L127">
        <v>0</v>
      </c>
      <c r="M127">
        <v>184</v>
      </c>
      <c r="N127">
        <v>0</v>
      </c>
      <c r="O127">
        <v>0</v>
      </c>
      <c r="P127">
        <v>0</v>
      </c>
      <c r="Q127">
        <v>8</v>
      </c>
      <c r="R127">
        <v>0</v>
      </c>
    </row>
    <row r="128" spans="1:18" ht="15.75" x14ac:dyDescent="0.3">
      <c r="A128" s="83" t="s">
        <v>55</v>
      </c>
      <c r="B128">
        <v>233</v>
      </c>
      <c r="C128">
        <v>239</v>
      </c>
      <c r="D128">
        <v>472</v>
      </c>
      <c r="E128">
        <v>7</v>
      </c>
      <c r="F128">
        <v>465</v>
      </c>
      <c r="G128">
        <v>0</v>
      </c>
      <c r="H128">
        <v>0</v>
      </c>
      <c r="I128">
        <v>0</v>
      </c>
      <c r="J128">
        <v>2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</v>
      </c>
      <c r="R128">
        <v>432</v>
      </c>
    </row>
    <row r="129" spans="1:18" ht="15.75" x14ac:dyDescent="0.3">
      <c r="A129" s="83" t="s">
        <v>56</v>
      </c>
      <c r="B129">
        <v>384</v>
      </c>
      <c r="C129">
        <v>311</v>
      </c>
      <c r="D129">
        <v>695</v>
      </c>
      <c r="E129">
        <v>233</v>
      </c>
      <c r="F129">
        <v>462</v>
      </c>
      <c r="G129">
        <v>1</v>
      </c>
      <c r="H129">
        <v>0</v>
      </c>
      <c r="I129">
        <v>1</v>
      </c>
      <c r="J129">
        <v>4</v>
      </c>
      <c r="K129">
        <v>124</v>
      </c>
      <c r="L129">
        <v>8</v>
      </c>
      <c r="M129">
        <v>72</v>
      </c>
      <c r="N129">
        <v>0</v>
      </c>
      <c r="O129">
        <v>0</v>
      </c>
      <c r="P129">
        <v>19</v>
      </c>
      <c r="Q129">
        <v>4</v>
      </c>
      <c r="R129">
        <v>233</v>
      </c>
    </row>
    <row r="130" spans="1:18" ht="15.75" x14ac:dyDescent="0.3">
      <c r="A130" s="83" t="s">
        <v>57</v>
      </c>
      <c r="B130">
        <v>479</v>
      </c>
      <c r="C130">
        <v>254</v>
      </c>
      <c r="D130">
        <v>733</v>
      </c>
      <c r="E130">
        <v>0</v>
      </c>
      <c r="F130">
        <v>733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622</v>
      </c>
    </row>
    <row r="131" spans="1:18" ht="15.75" x14ac:dyDescent="0.3">
      <c r="A131" s="83" t="s">
        <v>58</v>
      </c>
      <c r="B131">
        <v>254</v>
      </c>
      <c r="C131">
        <v>213</v>
      </c>
      <c r="D131">
        <v>467</v>
      </c>
      <c r="E131">
        <v>95</v>
      </c>
      <c r="F131">
        <v>368</v>
      </c>
      <c r="G131">
        <v>0</v>
      </c>
      <c r="H131">
        <v>0</v>
      </c>
      <c r="I131">
        <v>0</v>
      </c>
      <c r="J131">
        <v>0</v>
      </c>
      <c r="K131">
        <v>66</v>
      </c>
      <c r="L131">
        <v>0</v>
      </c>
      <c r="M131">
        <v>0</v>
      </c>
      <c r="N131">
        <v>28</v>
      </c>
      <c r="O131">
        <v>4</v>
      </c>
      <c r="P131">
        <v>0</v>
      </c>
      <c r="Q131">
        <v>1</v>
      </c>
      <c r="R131">
        <v>326</v>
      </c>
    </row>
    <row r="132" spans="1:18" ht="15.75" x14ac:dyDescent="0.3">
      <c r="A132" s="83" t="s">
        <v>59</v>
      </c>
      <c r="B132">
        <v>1975</v>
      </c>
      <c r="C132">
        <v>1578</v>
      </c>
      <c r="D132">
        <v>3553</v>
      </c>
      <c r="E132">
        <v>685</v>
      </c>
      <c r="F132">
        <v>2862</v>
      </c>
      <c r="G132">
        <v>1</v>
      </c>
      <c r="H132">
        <v>4</v>
      </c>
      <c r="I132">
        <v>36</v>
      </c>
      <c r="J132">
        <v>8</v>
      </c>
      <c r="K132">
        <v>268</v>
      </c>
      <c r="L132">
        <v>8</v>
      </c>
      <c r="M132">
        <v>256</v>
      </c>
      <c r="N132">
        <v>52</v>
      </c>
      <c r="O132">
        <v>6</v>
      </c>
      <c r="P132">
        <v>25</v>
      </c>
      <c r="Q132">
        <v>27</v>
      </c>
      <c r="R132">
        <v>1934</v>
      </c>
    </row>
    <row r="134" spans="1:18" x14ac:dyDescent="0.3">
      <c r="A134" s="82" t="s">
        <v>110</v>
      </c>
    </row>
    <row r="136" spans="1:18" ht="15.75" x14ac:dyDescent="0.3">
      <c r="A136" s="84" t="s">
        <v>41</v>
      </c>
      <c r="B136" s="84" t="s">
        <v>42</v>
      </c>
      <c r="C136" t="s">
        <v>43</v>
      </c>
      <c r="D136" t="s">
        <v>44</v>
      </c>
      <c r="E136" t="s">
        <v>45</v>
      </c>
      <c r="F136" t="s">
        <v>46</v>
      </c>
      <c r="G136" t="s">
        <v>47</v>
      </c>
      <c r="H136" t="s">
        <v>67</v>
      </c>
      <c r="I136" t="s">
        <v>68</v>
      </c>
      <c r="J136" t="s">
        <v>69</v>
      </c>
      <c r="K136" t="s">
        <v>64</v>
      </c>
      <c r="L136" t="s">
        <v>70</v>
      </c>
      <c r="M136" t="s">
        <v>48</v>
      </c>
      <c r="N136" t="s">
        <v>115</v>
      </c>
      <c r="O136" t="s">
        <v>71</v>
      </c>
      <c r="P136" t="s">
        <v>49</v>
      </c>
      <c r="Q136" t="s">
        <v>50</v>
      </c>
      <c r="R136" t="s">
        <v>51</v>
      </c>
    </row>
    <row r="137" spans="1:18" ht="15.75" x14ac:dyDescent="0.3">
      <c r="A137" s="83" t="s">
        <v>52</v>
      </c>
      <c r="B137">
        <v>273</v>
      </c>
      <c r="C137">
        <v>305</v>
      </c>
      <c r="D137">
        <v>578</v>
      </c>
      <c r="E137">
        <v>282</v>
      </c>
      <c r="F137">
        <v>296</v>
      </c>
      <c r="G137">
        <v>4</v>
      </c>
      <c r="H137">
        <v>0</v>
      </c>
      <c r="I137">
        <v>3</v>
      </c>
      <c r="J137">
        <v>0</v>
      </c>
      <c r="K137">
        <v>45</v>
      </c>
      <c r="L137">
        <v>0</v>
      </c>
      <c r="M137">
        <v>0</v>
      </c>
      <c r="N137">
        <v>211</v>
      </c>
      <c r="O137">
        <v>0</v>
      </c>
      <c r="P137">
        <v>13</v>
      </c>
      <c r="Q137">
        <v>6</v>
      </c>
      <c r="R137">
        <v>184</v>
      </c>
    </row>
    <row r="138" spans="1:18" ht="15.75" x14ac:dyDescent="0.3">
      <c r="A138" s="83" t="s">
        <v>53</v>
      </c>
      <c r="B138">
        <v>390</v>
      </c>
      <c r="C138">
        <v>108</v>
      </c>
      <c r="D138">
        <v>498</v>
      </c>
      <c r="E138">
        <v>125</v>
      </c>
      <c r="F138">
        <v>372</v>
      </c>
      <c r="G138">
        <v>0</v>
      </c>
      <c r="H138">
        <v>0</v>
      </c>
      <c r="I138">
        <v>1</v>
      </c>
      <c r="J138">
        <v>0</v>
      </c>
      <c r="K138">
        <v>23</v>
      </c>
      <c r="L138">
        <v>0</v>
      </c>
      <c r="M138">
        <v>0</v>
      </c>
      <c r="N138">
        <v>100</v>
      </c>
      <c r="O138">
        <v>1</v>
      </c>
      <c r="P138">
        <v>0</v>
      </c>
      <c r="Q138">
        <v>1</v>
      </c>
      <c r="R138">
        <v>0</v>
      </c>
    </row>
    <row r="139" spans="1:18" ht="15.75" x14ac:dyDescent="0.3">
      <c r="A139" s="83" t="s">
        <v>54</v>
      </c>
      <c r="B139">
        <v>106</v>
      </c>
      <c r="C139">
        <v>250</v>
      </c>
      <c r="D139">
        <v>356</v>
      </c>
      <c r="E139">
        <v>150</v>
      </c>
      <c r="F139">
        <v>205</v>
      </c>
      <c r="G139">
        <v>1</v>
      </c>
      <c r="H139">
        <v>4</v>
      </c>
      <c r="I139">
        <v>4</v>
      </c>
      <c r="J139">
        <v>0</v>
      </c>
      <c r="K139">
        <v>41</v>
      </c>
      <c r="L139">
        <v>0</v>
      </c>
      <c r="M139">
        <v>94</v>
      </c>
      <c r="N139">
        <v>0</v>
      </c>
      <c r="O139">
        <v>1</v>
      </c>
      <c r="P139">
        <v>2</v>
      </c>
      <c r="Q139">
        <v>4</v>
      </c>
      <c r="R139">
        <v>46</v>
      </c>
    </row>
    <row r="140" spans="1:18" ht="15.75" x14ac:dyDescent="0.3">
      <c r="A140" s="83" t="s">
        <v>55</v>
      </c>
      <c r="B140">
        <v>310</v>
      </c>
      <c r="C140">
        <v>232</v>
      </c>
      <c r="D140">
        <v>542</v>
      </c>
      <c r="E140">
        <v>11</v>
      </c>
      <c r="F140">
        <v>531</v>
      </c>
      <c r="G140">
        <v>0</v>
      </c>
      <c r="H140">
        <v>0</v>
      </c>
      <c r="I140">
        <v>0</v>
      </c>
      <c r="J140">
        <v>0</v>
      </c>
      <c r="K140">
        <v>10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519</v>
      </c>
    </row>
    <row r="141" spans="1:18" ht="15.75" x14ac:dyDescent="0.3">
      <c r="A141" s="83" t="s">
        <v>56</v>
      </c>
      <c r="B141">
        <v>421</v>
      </c>
      <c r="C141">
        <v>256</v>
      </c>
      <c r="D141">
        <v>677</v>
      </c>
      <c r="E141">
        <v>276</v>
      </c>
      <c r="F141">
        <v>400</v>
      </c>
      <c r="G141">
        <v>0</v>
      </c>
      <c r="H141">
        <v>0</v>
      </c>
      <c r="I141">
        <v>0</v>
      </c>
      <c r="J141">
        <v>0</v>
      </c>
      <c r="K141">
        <v>116</v>
      </c>
      <c r="L141">
        <v>0</v>
      </c>
      <c r="M141">
        <v>144</v>
      </c>
      <c r="N141">
        <v>0</v>
      </c>
      <c r="O141">
        <v>1</v>
      </c>
      <c r="P141">
        <v>5</v>
      </c>
      <c r="Q141">
        <v>11</v>
      </c>
      <c r="R141">
        <v>243</v>
      </c>
    </row>
    <row r="142" spans="1:18" ht="15.75" x14ac:dyDescent="0.3">
      <c r="A142" s="83" t="s">
        <v>57</v>
      </c>
      <c r="B142">
        <v>349</v>
      </c>
      <c r="C142">
        <v>307</v>
      </c>
      <c r="D142">
        <v>656</v>
      </c>
      <c r="E142">
        <v>85</v>
      </c>
      <c r="F142">
        <v>571</v>
      </c>
      <c r="G142">
        <v>0</v>
      </c>
      <c r="H142">
        <v>0</v>
      </c>
      <c r="I142">
        <v>0</v>
      </c>
      <c r="J142">
        <v>0</v>
      </c>
      <c r="K142">
        <v>79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</v>
      </c>
      <c r="R142">
        <v>591</v>
      </c>
    </row>
    <row r="143" spans="1:18" ht="15.75" x14ac:dyDescent="0.3">
      <c r="A143" s="83" t="s">
        <v>58</v>
      </c>
      <c r="B143">
        <v>508</v>
      </c>
      <c r="C143">
        <v>384</v>
      </c>
      <c r="D143">
        <v>892</v>
      </c>
      <c r="E143">
        <v>133</v>
      </c>
      <c r="F143">
        <v>758</v>
      </c>
      <c r="G143">
        <v>0</v>
      </c>
      <c r="H143">
        <v>0</v>
      </c>
      <c r="I143">
        <v>0</v>
      </c>
      <c r="J143">
        <v>1</v>
      </c>
      <c r="K143">
        <v>113</v>
      </c>
      <c r="L143">
        <v>0</v>
      </c>
      <c r="M143">
        <v>0</v>
      </c>
      <c r="N143">
        <v>0</v>
      </c>
      <c r="O143">
        <v>1</v>
      </c>
      <c r="P143">
        <v>2</v>
      </c>
      <c r="Q143">
        <v>17</v>
      </c>
      <c r="R143">
        <v>763</v>
      </c>
    </row>
    <row r="144" spans="1:18" ht="15.75" x14ac:dyDescent="0.3">
      <c r="A144" s="83" t="s">
        <v>59</v>
      </c>
      <c r="B144">
        <v>2357</v>
      </c>
      <c r="C144">
        <v>1842</v>
      </c>
      <c r="D144">
        <v>4199</v>
      </c>
      <c r="E144">
        <v>1062</v>
      </c>
      <c r="F144">
        <v>3133</v>
      </c>
      <c r="G144">
        <v>5</v>
      </c>
      <c r="H144">
        <v>4</v>
      </c>
      <c r="I144">
        <v>8</v>
      </c>
      <c r="J144">
        <v>1</v>
      </c>
      <c r="K144">
        <v>427</v>
      </c>
      <c r="L144">
        <v>0</v>
      </c>
      <c r="M144">
        <v>238</v>
      </c>
      <c r="N144">
        <v>311</v>
      </c>
      <c r="O144">
        <v>4</v>
      </c>
      <c r="P144">
        <v>22</v>
      </c>
      <c r="Q144">
        <v>46</v>
      </c>
      <c r="R144">
        <v>2346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b6b0b1-babf-46be-b246-fda93dded546" xsi:nil="true"/>
    <lcf76f155ced4ddcb4097134ff3c332f xmlns="d32d6e54-5891-4072-9c52-20c5cf7ad6a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2447EAF9B04292BFE10B93173B30" ma:contentTypeVersion="15" ma:contentTypeDescription="Create a new document." ma:contentTypeScope="" ma:versionID="abe77a223238ba3710f52b3f64154a00">
  <xsd:schema xmlns:xsd="http://www.w3.org/2001/XMLSchema" xmlns:xs="http://www.w3.org/2001/XMLSchema" xmlns:p="http://schemas.microsoft.com/office/2006/metadata/properties" xmlns:ns2="d32d6e54-5891-4072-9c52-20c5cf7ad6a8" xmlns:ns3="09b6b0b1-babf-46be-b246-fda93dded546" targetNamespace="http://schemas.microsoft.com/office/2006/metadata/properties" ma:root="true" ma:fieldsID="43f10d7d5e27c75b431b6660b778facd" ns2:_="" ns3:_="">
    <xsd:import namespace="d32d6e54-5891-4072-9c52-20c5cf7ad6a8"/>
    <xsd:import namespace="09b6b0b1-babf-46be-b246-fda93dded5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d6e54-5891-4072-9c52-20c5cf7ad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dbdd397-5632-4097-b2d6-08b9c85d3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6b0b1-babf-46be-b246-fda93dded54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f07269-0629-40d6-a83e-17d4c031baaa}" ma:internalName="TaxCatchAll" ma:showField="CatchAllData" ma:web="09b6b0b1-babf-46be-b246-fda93dded5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11F8F0-9164-4266-9F36-9577645C6AA9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d32d6e54-5891-4072-9c52-20c5cf7ad6a8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9b6b0b1-babf-46be-b246-fda93dded546"/>
  </ds:schemaRefs>
</ds:datastoreItem>
</file>

<file path=customXml/itemProps2.xml><?xml version="1.0" encoding="utf-8"?>
<ds:datastoreItem xmlns:ds="http://schemas.openxmlformats.org/officeDocument/2006/customXml" ds:itemID="{79842BC1-3DC8-4D41-B513-67A190020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2d6e54-5891-4072-9c52-20c5cf7ad6a8"/>
    <ds:schemaRef ds:uri="09b6b0b1-babf-46be-b246-fda93dded5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703619-30A0-46C2-8F11-BEC9CC477F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Yearly Total To Date</vt:lpstr>
      <vt:lpstr>Occupancy Report</vt:lpstr>
      <vt:lpstr>Occupancy Report Summarised</vt:lpstr>
      <vt:lpstr>Day by Day Totals</vt:lpstr>
      <vt:lpstr>Day Trends</vt:lpstr>
      <vt:lpstr>Monthly Averages</vt:lpstr>
      <vt:lpstr>Monthly Totals</vt:lpstr>
      <vt:lpstr>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CGC Golf Shop</dc:creator>
  <cp:keywords/>
  <dc:description/>
  <cp:lastModifiedBy>VGC Golf Shop</cp:lastModifiedBy>
  <cp:revision/>
  <dcterms:created xsi:type="dcterms:W3CDTF">2024-07-09T05:39:17Z</dcterms:created>
  <dcterms:modified xsi:type="dcterms:W3CDTF">2025-06-18T01:34:31Z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0x01010079132447EAF9B04292BFE10B93173B30</vt:lpwstr>
  </property>
  <property fmtid="{D5CDD505-2E9C-101B-9397-08002B2CF9AE}" pid="3" name="MediaServiceImageTags">
    <vt:lpwstr/>
  </property>
</Properties>
</file>