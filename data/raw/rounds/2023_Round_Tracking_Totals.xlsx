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G:\VGC Golf Shop\Jordan Kruck\Round Tracking\Round Tracking Totals\Yearly\"/>
    </mc:Choice>
  </mc:AlternateContent>
  <xr:revisionPtr revIDLastSave="0" documentId="13_ncr:1_{5F48CAFA-B9C7-4B4F-ACF6-4D98013E672B}" xr6:coauthVersionLast="47" xr6:coauthVersionMax="47" xr10:uidLastSave="{00000000-0000-0000-0000-000000000000}"/>
  <bookViews>
    <workbookView xWindow="-120" yWindow="-120" windowWidth="29040" windowHeight="15720" activeTab="1" xr2:uid="{AFF0EBC3-4C9F-4A1D-85DA-6AACFFF41100}"/>
  </bookViews>
  <sheets>
    <sheet name="Yearly Total To Date" sheetId="1" r:id="rId1"/>
    <sheet name="Occupancy Report" sheetId="8" r:id="rId2"/>
    <sheet name="Occupancy Report Summarised" sheetId="9" r:id="rId3"/>
    <sheet name="Day by Day Totals" sheetId="2" r:id="rId4"/>
    <sheet name="Monthly Averages" sheetId="11" r:id="rId5"/>
    <sheet name="Monthly Totals" sheetId="10" r:id="rId6"/>
    <sheet name="Pivot Table" sheetId="5" r:id="rId7"/>
  </sheets>
  <calcPr calcId="191028"/>
  <pivotCaches>
    <pivotCache cacheId="3" r:id="rId8"/>
    <pivotCache cacheId="4" r:id="rId9"/>
    <pivotCache cacheId="5" r:id="rId10"/>
    <pivotCache cacheId="6" r:id="rId11"/>
    <pivotCache cacheId="7" r:id="rId12"/>
    <pivotCache cacheId="8" r:id="rId13"/>
    <pivotCache cacheId="9" r:id="rId14"/>
    <pivotCache cacheId="10" r:id="rId15"/>
    <pivotCache cacheId="11" r:id="rId16"/>
    <pivotCache cacheId="12" r:id="rId17"/>
    <pivotCache cacheId="13" r:id="rId18"/>
    <pivotCache cacheId="14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5" i="8" l="1"/>
  <c r="S59" i="8"/>
  <c r="L60" i="8"/>
  <c r="E48" i="8"/>
  <c r="S13" i="8"/>
  <c r="E86" i="8"/>
  <c r="E90" i="8"/>
  <c r="E55" i="8"/>
  <c r="S39" i="8" l="1"/>
  <c r="S60" i="8" l="1"/>
  <c r="S56" i="8"/>
  <c r="S52" i="8"/>
  <c r="S48" i="8"/>
  <c r="S44" i="8"/>
  <c r="S43" i="8"/>
  <c r="S40" i="8"/>
  <c r="S36" i="8"/>
  <c r="S55" i="8"/>
  <c r="S51" i="8"/>
  <c r="S47" i="8"/>
  <c r="S7" i="1"/>
  <c r="M45" i="9"/>
  <c r="M44" i="9"/>
  <c r="R9" i="11"/>
  <c r="S9" i="11"/>
  <c r="T9" i="11"/>
  <c r="N9" i="11"/>
  <c r="O9" i="11"/>
  <c r="I9" i="11"/>
  <c r="J9" i="11"/>
  <c r="D9" i="11"/>
  <c r="E9" i="11"/>
  <c r="S31" i="11"/>
  <c r="T31" i="11"/>
  <c r="N31" i="11"/>
  <c r="O31" i="11"/>
  <c r="I31" i="11"/>
  <c r="J31" i="11"/>
  <c r="D31" i="11"/>
  <c r="E31" i="11"/>
  <c r="C53" i="11"/>
  <c r="H53" i="11"/>
  <c r="M53" i="11"/>
  <c r="D18" i="11"/>
  <c r="E18" i="11"/>
  <c r="I18" i="11"/>
  <c r="J18" i="11"/>
  <c r="N18" i="11"/>
  <c r="O18" i="11"/>
  <c r="L122" i="8"/>
  <c r="L121" i="8"/>
  <c r="L118" i="8"/>
  <c r="L117" i="8"/>
  <c r="L114" i="8"/>
  <c r="L113" i="8"/>
  <c r="L110" i="8"/>
  <c r="L109" i="8"/>
  <c r="L106" i="8"/>
  <c r="L105" i="8"/>
  <c r="L102" i="8"/>
  <c r="L101" i="8"/>
  <c r="L98" i="8"/>
  <c r="L97" i="8"/>
  <c r="K122" i="8"/>
  <c r="K121" i="8"/>
  <c r="K118" i="8"/>
  <c r="K117" i="8"/>
  <c r="K114" i="8"/>
  <c r="K113" i="8"/>
  <c r="K110" i="8"/>
  <c r="K109" i="8"/>
  <c r="K106" i="8"/>
  <c r="K105" i="8"/>
  <c r="K102" i="8"/>
  <c r="K101" i="8"/>
  <c r="K98" i="8"/>
  <c r="K97" i="8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0" i="10"/>
  <c r="O29" i="10"/>
  <c r="O28" i="10"/>
  <c r="O27" i="10"/>
  <c r="L45" i="9"/>
  <c r="L44" i="9"/>
  <c r="M62" i="11"/>
  <c r="M61" i="11"/>
  <c r="M60" i="11"/>
  <c r="M59" i="11"/>
  <c r="M58" i="11"/>
  <c r="M57" i="11"/>
  <c r="M56" i="11"/>
  <c r="M55" i="11"/>
  <c r="M54" i="11"/>
  <c r="M52" i="11"/>
  <c r="M51" i="11"/>
  <c r="M50" i="11"/>
  <c r="M66" i="11"/>
  <c r="M49" i="11"/>
  <c r="M65" i="11"/>
  <c r="M64" i="11"/>
  <c r="M63" i="11"/>
  <c r="H66" i="11"/>
  <c r="H49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2" i="11"/>
  <c r="H51" i="11"/>
  <c r="H50" i="11"/>
  <c r="R40" i="11"/>
  <c r="M40" i="11"/>
  <c r="C40" i="11"/>
  <c r="R18" i="11"/>
  <c r="M18" i="11"/>
  <c r="H18" i="11"/>
  <c r="C18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2" i="11"/>
  <c r="C51" i="11"/>
  <c r="C50" i="11"/>
  <c r="C49" i="11"/>
  <c r="E62" i="11" l="1"/>
  <c r="D62" i="11"/>
  <c r="E63" i="11"/>
  <c r="S18" i="11"/>
  <c r="T18" i="11"/>
  <c r="D40" i="11"/>
  <c r="E40" i="11"/>
  <c r="N40" i="11"/>
  <c r="O40" i="11"/>
  <c r="S40" i="11"/>
  <c r="T40" i="11"/>
  <c r="M41" i="9"/>
  <c r="M40" i="9"/>
  <c r="E122" i="8"/>
  <c r="E121" i="8"/>
  <c r="E118" i="8"/>
  <c r="E117" i="8"/>
  <c r="E114" i="8"/>
  <c r="E113" i="8"/>
  <c r="E110" i="8"/>
  <c r="E109" i="8"/>
  <c r="E106" i="8"/>
  <c r="E105" i="8"/>
  <c r="E102" i="8"/>
  <c r="E101" i="8"/>
  <c r="E98" i="8"/>
  <c r="E97" i="8"/>
  <c r="L41" i="9"/>
  <c r="L40" i="9"/>
  <c r="D122" i="8"/>
  <c r="D121" i="8"/>
  <c r="D118" i="8"/>
  <c r="D117" i="8"/>
  <c r="D114" i="8"/>
  <c r="D113" i="8"/>
  <c r="D110" i="8"/>
  <c r="D109" i="8"/>
  <c r="D106" i="8"/>
  <c r="D105" i="8"/>
  <c r="D102" i="8"/>
  <c r="D101" i="8"/>
  <c r="D98" i="8"/>
  <c r="D97" i="8"/>
  <c r="L44" i="10" l="1"/>
  <c r="L43" i="10"/>
  <c r="L42" i="10"/>
  <c r="L41" i="10"/>
  <c r="L40" i="10"/>
  <c r="L39" i="10"/>
  <c r="L38" i="10"/>
  <c r="L37" i="10"/>
  <c r="L36" i="10"/>
  <c r="L35" i="10"/>
  <c r="L34" i="10"/>
  <c r="L33" i="10"/>
  <c r="L32" i="10"/>
  <c r="L30" i="10"/>
  <c r="L29" i="10"/>
  <c r="L28" i="10"/>
  <c r="L27" i="10"/>
  <c r="C8" i="1" l="1"/>
  <c r="M36" i="9" l="1"/>
  <c r="M37" i="9"/>
  <c r="L37" i="9"/>
  <c r="L36" i="9"/>
  <c r="S91" i="8"/>
  <c r="S90" i="8"/>
  <c r="S87" i="8"/>
  <c r="S86" i="8"/>
  <c r="S83" i="8"/>
  <c r="S82" i="8"/>
  <c r="S79" i="8"/>
  <c r="S78" i="8"/>
  <c r="S75" i="8"/>
  <c r="S74" i="8"/>
  <c r="S71" i="8"/>
  <c r="S70" i="8"/>
  <c r="S67" i="8"/>
  <c r="S66" i="8"/>
  <c r="I31" i="10"/>
  <c r="R91" i="8"/>
  <c r="R90" i="8"/>
  <c r="R87" i="8"/>
  <c r="R86" i="8"/>
  <c r="R83" i="8"/>
  <c r="R82" i="8"/>
  <c r="R79" i="8"/>
  <c r="R78" i="8"/>
  <c r="R75" i="8"/>
  <c r="R74" i="8"/>
  <c r="R71" i="8"/>
  <c r="R70" i="8"/>
  <c r="R67" i="8"/>
  <c r="R66" i="8"/>
  <c r="I44" i="10"/>
  <c r="I43" i="10"/>
  <c r="I41" i="10"/>
  <c r="I42" i="10"/>
  <c r="I40" i="10"/>
  <c r="I39" i="10"/>
  <c r="I38" i="10"/>
  <c r="I37" i="10"/>
  <c r="I36" i="10"/>
  <c r="I35" i="10"/>
  <c r="I34" i="10"/>
  <c r="I33" i="10"/>
  <c r="I32" i="10"/>
  <c r="I30" i="10"/>
  <c r="I29" i="10"/>
  <c r="I28" i="10"/>
  <c r="I27" i="10"/>
  <c r="I18" i="10" l="1"/>
  <c r="R40" i="10"/>
  <c r="C18" i="10"/>
  <c r="F18" i="10"/>
  <c r="L18" i="10" l="1"/>
  <c r="L59" i="8" l="1"/>
  <c r="L56" i="8"/>
  <c r="L55" i="8"/>
  <c r="L52" i="8"/>
  <c r="L51" i="8"/>
  <c r="L48" i="8"/>
  <c r="L47" i="8"/>
  <c r="L44" i="8"/>
  <c r="L43" i="8"/>
  <c r="L40" i="8"/>
  <c r="L39" i="8"/>
  <c r="L36" i="8"/>
  <c r="L35" i="8"/>
  <c r="O8" i="10"/>
  <c r="O14" i="10"/>
  <c r="O21" i="10"/>
  <c r="O15" i="10"/>
  <c r="O22" i="10"/>
  <c r="O18" i="10"/>
  <c r="O10" i="10"/>
  <c r="O16" i="10"/>
  <c r="O5" i="10"/>
  <c r="O11" i="10"/>
  <c r="O17" i="10"/>
  <c r="O6" i="10"/>
  <c r="O12" i="10"/>
  <c r="O19" i="10"/>
  <c r="O7" i="10"/>
  <c r="O13" i="10"/>
  <c r="O20" i="10"/>
  <c r="L49" i="8" l="1"/>
  <c r="O9" i="10"/>
  <c r="E60" i="8"/>
  <c r="E59" i="8"/>
  <c r="E56" i="8"/>
  <c r="E52" i="8"/>
  <c r="E51" i="8"/>
  <c r="E47" i="8"/>
  <c r="E44" i="8"/>
  <c r="E43" i="8"/>
  <c r="E41" i="8"/>
  <c r="E40" i="8"/>
  <c r="E39" i="8"/>
  <c r="E36" i="8"/>
  <c r="E35" i="8"/>
  <c r="M49" i="9" l="1"/>
  <c r="M48" i="9"/>
  <c r="S122" i="8"/>
  <c r="S121" i="8"/>
  <c r="S118" i="8"/>
  <c r="S117" i="8"/>
  <c r="S114" i="8"/>
  <c r="S113" i="8"/>
  <c r="S110" i="8"/>
  <c r="S109" i="8"/>
  <c r="S106" i="8"/>
  <c r="S105" i="8"/>
  <c r="S102" i="8"/>
  <c r="S101" i="8"/>
  <c r="S98" i="8"/>
  <c r="S97" i="8"/>
  <c r="R33" i="10" l="1"/>
  <c r="R113" i="8"/>
  <c r="R37" i="10"/>
  <c r="R110" i="8"/>
  <c r="R42" i="10"/>
  <c r="R29" i="10"/>
  <c r="R98" i="8"/>
  <c r="R121" i="8"/>
  <c r="R109" i="8"/>
  <c r="R97" i="8"/>
  <c r="R34" i="10"/>
  <c r="R39" i="10"/>
  <c r="R27" i="10"/>
  <c r="R118" i="8"/>
  <c r="R106" i="8"/>
  <c r="R38" i="10"/>
  <c r="R44" i="10"/>
  <c r="R43" i="10"/>
  <c r="R117" i="8"/>
  <c r="R105" i="8"/>
  <c r="R30" i="10"/>
  <c r="R35" i="10"/>
  <c r="R41" i="10"/>
  <c r="L49" i="9"/>
  <c r="R114" i="8"/>
  <c r="R102" i="8"/>
  <c r="R28" i="10"/>
  <c r="L48" i="9"/>
  <c r="R101" i="8"/>
  <c r="R32" i="10"/>
  <c r="R122" i="8"/>
  <c r="R36" i="10"/>
  <c r="R51" i="11"/>
  <c r="R66" i="11"/>
  <c r="R57" i="11"/>
  <c r="R50" i="11"/>
  <c r="R49" i="11"/>
  <c r="R60" i="11"/>
  <c r="R61" i="11"/>
  <c r="R56" i="11"/>
  <c r="R59" i="11"/>
  <c r="R55" i="11"/>
  <c r="R52" i="11"/>
  <c r="R63" i="11"/>
  <c r="R65" i="11"/>
  <c r="R58" i="11"/>
  <c r="R54" i="11"/>
  <c r="R64" i="11"/>
  <c r="R53" i="11" l="1"/>
  <c r="R31" i="10"/>
  <c r="L91" i="8"/>
  <c r="L90" i="8"/>
  <c r="L87" i="8"/>
  <c r="L86" i="8"/>
  <c r="L83" i="8"/>
  <c r="L82" i="8"/>
  <c r="L79" i="8"/>
  <c r="L78" i="8"/>
  <c r="L75" i="8"/>
  <c r="L74" i="8"/>
  <c r="L71" i="8"/>
  <c r="L70" i="8"/>
  <c r="L72" i="8" s="1"/>
  <c r="L67" i="8"/>
  <c r="L66" i="8"/>
  <c r="E91" i="8"/>
  <c r="E87" i="8"/>
  <c r="E83" i="8"/>
  <c r="E82" i="8"/>
  <c r="E79" i="8"/>
  <c r="E78" i="8"/>
  <c r="E75" i="8"/>
  <c r="E74" i="8"/>
  <c r="E71" i="8"/>
  <c r="E70" i="8"/>
  <c r="E67" i="8"/>
  <c r="E66" i="8"/>
  <c r="E92" i="8"/>
  <c r="S9" i="8" l="1"/>
  <c r="S8" i="8"/>
  <c r="S29" i="8" l="1"/>
  <c r="S28" i="8"/>
  <c r="S25" i="8"/>
  <c r="S24" i="8"/>
  <c r="S21" i="8"/>
  <c r="S20" i="8"/>
  <c r="S17" i="8"/>
  <c r="S16" i="8"/>
  <c r="S12" i="8"/>
  <c r="S4" i="8"/>
  <c r="S5" i="8"/>
  <c r="L13" i="8"/>
  <c r="L29" i="8"/>
  <c r="L28" i="8"/>
  <c r="L25" i="8"/>
  <c r="L24" i="8"/>
  <c r="L21" i="8"/>
  <c r="L20" i="8"/>
  <c r="L17" i="8"/>
  <c r="L16" i="8"/>
  <c r="L12" i="8"/>
  <c r="L5" i="8"/>
  <c r="L4" i="8"/>
  <c r="L8" i="8"/>
  <c r="L9" i="8"/>
  <c r="S26" i="8" l="1"/>
  <c r="S22" i="8"/>
  <c r="L6" i="8"/>
  <c r="E29" i="8" l="1"/>
  <c r="E28" i="8"/>
  <c r="E25" i="8"/>
  <c r="E24" i="8"/>
  <c r="E21" i="8"/>
  <c r="E20" i="8"/>
  <c r="E17" i="8"/>
  <c r="E16" i="8"/>
  <c r="E13" i="8"/>
  <c r="E12" i="8"/>
  <c r="E9" i="8"/>
  <c r="E8" i="8"/>
  <c r="E5" i="8"/>
  <c r="E4" i="8"/>
  <c r="E6" i="8" l="1"/>
  <c r="D5" i="8"/>
  <c r="D4" i="8"/>
  <c r="D8" i="8"/>
  <c r="F5" i="8" l="1"/>
  <c r="F4" i="8"/>
  <c r="D6" i="8"/>
  <c r="F6" i="8"/>
  <c r="F8" i="8"/>
  <c r="E10" i="8"/>
  <c r="D9" i="8"/>
  <c r="D12" i="8"/>
  <c r="D10" i="8" l="1"/>
  <c r="F10" i="8" s="1"/>
  <c r="F9" i="8"/>
  <c r="F12" i="8"/>
  <c r="E14" i="8"/>
  <c r="E18" i="8"/>
  <c r="E22" i="8"/>
  <c r="D17" i="8"/>
  <c r="D21" i="8"/>
  <c r="D16" i="8"/>
  <c r="D13" i="8"/>
  <c r="D20" i="8"/>
  <c r="D24" i="8"/>
  <c r="F13" i="8" l="1"/>
  <c r="D14" i="8"/>
  <c r="F14" i="8" s="1"/>
  <c r="F21" i="8"/>
  <c r="F17" i="8"/>
  <c r="D22" i="8"/>
  <c r="F22" i="8" s="1"/>
  <c r="F20" i="8"/>
  <c r="D18" i="8"/>
  <c r="F18" i="8" s="1"/>
  <c r="F16" i="8"/>
  <c r="F24" i="8"/>
  <c r="E26" i="8"/>
  <c r="D28" i="8"/>
  <c r="D25" i="8"/>
  <c r="D26" i="8" l="1"/>
  <c r="F25" i="8"/>
  <c r="F26" i="8"/>
  <c r="F28" i="8"/>
  <c r="E30" i="8"/>
  <c r="E37" i="8"/>
  <c r="D36" i="8"/>
  <c r="D35" i="8"/>
  <c r="D39" i="8"/>
  <c r="D29" i="8"/>
  <c r="F35" i="8" l="1"/>
  <c r="D37" i="8"/>
  <c r="F36" i="8"/>
  <c r="D30" i="8"/>
  <c r="F30" i="8" s="1"/>
  <c r="F29" i="8"/>
  <c r="F37" i="8"/>
  <c r="F39" i="8"/>
  <c r="E45" i="8"/>
  <c r="E49" i="8"/>
  <c r="E53" i="8"/>
  <c r="E57" i="8"/>
  <c r="E61" i="8"/>
  <c r="L37" i="8"/>
  <c r="L41" i="8"/>
  <c r="D56" i="8"/>
  <c r="D55" i="8"/>
  <c r="D40" i="8"/>
  <c r="D59" i="8"/>
  <c r="D44" i="8"/>
  <c r="D48" i="8"/>
  <c r="D60" i="8"/>
  <c r="D43" i="8"/>
  <c r="D47" i="8"/>
  <c r="D52" i="8"/>
  <c r="D51" i="8"/>
  <c r="K35" i="8"/>
  <c r="K43" i="8"/>
  <c r="K36" i="8"/>
  <c r="K40" i="8"/>
  <c r="K39" i="8"/>
  <c r="M39" i="8" l="1"/>
  <c r="K41" i="8"/>
  <c r="M40" i="8"/>
  <c r="M36" i="8"/>
  <c r="M35" i="8"/>
  <c r="K37" i="8"/>
  <c r="M37" i="8" s="1"/>
  <c r="F55" i="8"/>
  <c r="D57" i="8"/>
  <c r="F57" i="8" s="1"/>
  <c r="F51" i="8"/>
  <c r="D53" i="8"/>
  <c r="F53" i="8" s="1"/>
  <c r="D49" i="8"/>
  <c r="F49" i="8" s="1"/>
  <c r="F47" i="8"/>
  <c r="D45" i="8"/>
  <c r="F43" i="8"/>
  <c r="D61" i="8"/>
  <c r="F59" i="8"/>
  <c r="F60" i="8"/>
  <c r="F56" i="8"/>
  <c r="F52" i="8"/>
  <c r="F48" i="8"/>
  <c r="F44" i="8"/>
  <c r="F40" i="8"/>
  <c r="D41" i="8"/>
  <c r="F41" i="8" s="1"/>
  <c r="F61" i="8"/>
  <c r="F45" i="8"/>
  <c r="M41" i="8"/>
  <c r="M43" i="8"/>
  <c r="L45" i="8"/>
  <c r="L53" i="8"/>
  <c r="L57" i="8"/>
  <c r="L61" i="8"/>
  <c r="E68" i="8"/>
  <c r="E72" i="8"/>
  <c r="E76" i="8"/>
  <c r="K52" i="8"/>
  <c r="K44" i="8"/>
  <c r="K47" i="8"/>
  <c r="K56" i="8"/>
  <c r="K60" i="8"/>
  <c r="K51" i="8"/>
  <c r="K48" i="8"/>
  <c r="K55" i="8"/>
  <c r="K59" i="8"/>
  <c r="D78" i="8"/>
  <c r="D66" i="8"/>
  <c r="D71" i="8"/>
  <c r="D75" i="8"/>
  <c r="D67" i="8"/>
  <c r="D70" i="8"/>
  <c r="D74" i="8"/>
  <c r="K61" i="8" l="1"/>
  <c r="M59" i="8"/>
  <c r="K57" i="8"/>
  <c r="M55" i="8"/>
  <c r="K49" i="8"/>
  <c r="M49" i="8" s="1"/>
  <c r="M47" i="8"/>
  <c r="K53" i="8"/>
  <c r="M51" i="8"/>
  <c r="M60" i="8"/>
  <c r="M56" i="8"/>
  <c r="M52" i="8"/>
  <c r="M48" i="8"/>
  <c r="M44" i="8"/>
  <c r="K45" i="8"/>
  <c r="M45" i="8" s="1"/>
  <c r="M57" i="8"/>
  <c r="M61" i="8"/>
  <c r="M53" i="8"/>
  <c r="F74" i="8"/>
  <c r="D76" i="8"/>
  <c r="F76" i="8" s="1"/>
  <c r="F70" i="8"/>
  <c r="D72" i="8"/>
  <c r="F72" i="8" s="1"/>
  <c r="F67" i="8"/>
  <c r="F75" i="8"/>
  <c r="F71" i="8"/>
  <c r="F66" i="8"/>
  <c r="D68" i="8"/>
  <c r="F68" i="8"/>
  <c r="F78" i="8"/>
  <c r="E80" i="8"/>
  <c r="E84" i="8"/>
  <c r="E88" i="8"/>
  <c r="L68" i="8"/>
  <c r="L76" i="8"/>
  <c r="L80" i="8"/>
  <c r="L84" i="8"/>
  <c r="L88" i="8"/>
  <c r="L92" i="8"/>
  <c r="M25" i="9"/>
  <c r="M24" i="9"/>
  <c r="L25" i="9"/>
  <c r="L24" i="9"/>
  <c r="D86" i="8"/>
  <c r="D90" i="8"/>
  <c r="D83" i="8"/>
  <c r="D79" i="8"/>
  <c r="D87" i="8"/>
  <c r="D91" i="8"/>
  <c r="D82" i="8"/>
  <c r="K90" i="8"/>
  <c r="K71" i="8"/>
  <c r="K67" i="8"/>
  <c r="K66" i="8"/>
  <c r="K74" i="8"/>
  <c r="K75" i="8"/>
  <c r="K91" i="8"/>
  <c r="K78" i="8"/>
  <c r="K79" i="8"/>
  <c r="K83" i="8"/>
  <c r="K70" i="8"/>
  <c r="K82" i="8"/>
  <c r="K87" i="8"/>
  <c r="K86" i="8"/>
  <c r="M91" i="8" l="1"/>
  <c r="M87" i="8"/>
  <c r="M83" i="8"/>
  <c r="M79" i="8"/>
  <c r="M75" i="8"/>
  <c r="M71" i="8"/>
  <c r="M67" i="8"/>
  <c r="K92" i="8"/>
  <c r="M90" i="8"/>
  <c r="K88" i="8"/>
  <c r="M88" i="8" s="1"/>
  <c r="M86" i="8"/>
  <c r="M82" i="8"/>
  <c r="K84" i="8"/>
  <c r="M84" i="8" s="1"/>
  <c r="K68" i="8"/>
  <c r="M68" i="8" s="1"/>
  <c r="M66" i="8"/>
  <c r="K72" i="8"/>
  <c r="M72" i="8" s="1"/>
  <c r="M70" i="8"/>
  <c r="M78" i="8"/>
  <c r="K80" i="8"/>
  <c r="K76" i="8"/>
  <c r="M74" i="8"/>
  <c r="M92" i="8"/>
  <c r="M80" i="8"/>
  <c r="M76" i="8"/>
  <c r="F91" i="8"/>
  <c r="F87" i="8"/>
  <c r="D80" i="8"/>
  <c r="F80" i="8" s="1"/>
  <c r="F79" i="8"/>
  <c r="F83" i="8"/>
  <c r="F90" i="8"/>
  <c r="D92" i="8"/>
  <c r="F92" i="8" s="1"/>
  <c r="F86" i="8"/>
  <c r="D88" i="8"/>
  <c r="F88" i="8" s="1"/>
  <c r="D84" i="8"/>
  <c r="F84" i="8" s="1"/>
  <c r="F82" i="8"/>
  <c r="M21" i="9"/>
  <c r="M20" i="9"/>
  <c r="R39" i="8"/>
  <c r="R60" i="8"/>
  <c r="R55" i="8"/>
  <c r="R35" i="8"/>
  <c r="R48" i="8"/>
  <c r="R43" i="8"/>
  <c r="R52" i="8"/>
  <c r="R59" i="8"/>
  <c r="R40" i="8"/>
  <c r="R36" i="8"/>
  <c r="R47" i="8"/>
  <c r="R44" i="8"/>
  <c r="R56" i="8"/>
  <c r="R51" i="8"/>
  <c r="R13" i="10"/>
  <c r="R22" i="10"/>
  <c r="R6" i="10"/>
  <c r="R11" i="10"/>
  <c r="R12" i="10"/>
  <c r="R5" i="10"/>
  <c r="R8" i="10"/>
  <c r="R20" i="10"/>
  <c r="R17" i="10"/>
  <c r="R21" i="10"/>
  <c r="R14" i="10"/>
  <c r="R16" i="10"/>
  <c r="R19" i="10"/>
  <c r="R10" i="10"/>
  <c r="R7" i="10"/>
  <c r="R15" i="10"/>
  <c r="L20" i="9"/>
  <c r="L21" i="9"/>
  <c r="C36" i="11"/>
  <c r="H32" i="11"/>
  <c r="H35" i="11"/>
  <c r="H42" i="11"/>
  <c r="C39" i="11"/>
  <c r="H38" i="11"/>
  <c r="H27" i="11"/>
  <c r="C34" i="11"/>
  <c r="H43" i="11"/>
  <c r="H34" i="11"/>
  <c r="H36" i="11"/>
  <c r="C44" i="11"/>
  <c r="H37" i="11"/>
  <c r="C38" i="11"/>
  <c r="C30" i="11"/>
  <c r="C42" i="11"/>
  <c r="H30" i="11"/>
  <c r="C43" i="11"/>
  <c r="C29" i="11"/>
  <c r="H44" i="11"/>
  <c r="C28" i="11"/>
  <c r="H39" i="11"/>
  <c r="C41" i="11"/>
  <c r="H28" i="11"/>
  <c r="H29" i="11"/>
  <c r="C37" i="11"/>
  <c r="H41" i="11"/>
  <c r="C35" i="11"/>
  <c r="C32" i="11"/>
  <c r="C33" i="11"/>
  <c r="C27" i="11"/>
  <c r="H33" i="11"/>
  <c r="H31" i="11" l="1"/>
  <c r="C31" i="11"/>
  <c r="R9" i="10"/>
  <c r="R61" i="8"/>
  <c r="T59" i="8"/>
  <c r="T56" i="8"/>
  <c r="R57" i="8"/>
  <c r="T55" i="8"/>
  <c r="T52" i="8"/>
  <c r="R53" i="8"/>
  <c r="T51" i="8"/>
  <c r="T48" i="8"/>
  <c r="R49" i="8"/>
  <c r="T49" i="8" s="1"/>
  <c r="T47" i="8"/>
  <c r="T44" i="8"/>
  <c r="R45" i="8"/>
  <c r="T43" i="8"/>
  <c r="T40" i="8"/>
  <c r="T39" i="8"/>
  <c r="R41" i="8"/>
  <c r="T41" i="8" s="1"/>
  <c r="T36" i="8"/>
  <c r="R37" i="8"/>
  <c r="T35" i="8"/>
  <c r="T37" i="8"/>
  <c r="T57" i="8"/>
  <c r="T60" i="8"/>
  <c r="T45" i="8"/>
  <c r="T53" i="8" l="1"/>
  <c r="T61" i="8"/>
  <c r="M17" i="9"/>
  <c r="M16" i="9"/>
  <c r="L14" i="10"/>
  <c r="L7" i="10"/>
  <c r="L11" i="10"/>
  <c r="L17" i="10"/>
  <c r="L17" i="9"/>
  <c r="L15" i="10"/>
  <c r="L16" i="9"/>
  <c r="L13" i="10"/>
  <c r="L6" i="10"/>
  <c r="L19" i="10"/>
  <c r="L5" i="10"/>
  <c r="L22" i="10"/>
  <c r="L12" i="10"/>
  <c r="L8" i="10"/>
  <c r="L21" i="10"/>
  <c r="L16" i="10"/>
  <c r="L20" i="10"/>
  <c r="L10" i="10"/>
  <c r="R15" i="11"/>
  <c r="R13" i="11"/>
  <c r="R12" i="11"/>
  <c r="R20" i="11"/>
  <c r="R14" i="11"/>
  <c r="R22" i="11"/>
  <c r="R8" i="11"/>
  <c r="R38" i="11"/>
  <c r="R37" i="11"/>
  <c r="R7" i="11"/>
  <c r="R6" i="11"/>
  <c r="R5" i="11"/>
  <c r="R16" i="11"/>
  <c r="R10" i="11"/>
  <c r="R17" i="11"/>
  <c r="M38" i="11"/>
  <c r="M37" i="11"/>
  <c r="R21" i="11"/>
  <c r="R19" i="11"/>
  <c r="R11" i="11"/>
  <c r="L9" i="10" l="1"/>
  <c r="N38" i="11"/>
  <c r="O38" i="11"/>
  <c r="N37" i="11"/>
  <c r="O37" i="11"/>
  <c r="S37" i="11"/>
  <c r="T37" i="11"/>
  <c r="T38" i="11"/>
  <c r="S38" i="11"/>
  <c r="T66" i="11" l="1"/>
  <c r="S66" i="11"/>
  <c r="O66" i="11"/>
  <c r="N66" i="11"/>
  <c r="T65" i="11"/>
  <c r="S65" i="11"/>
  <c r="O65" i="11"/>
  <c r="N65" i="11"/>
  <c r="T64" i="11"/>
  <c r="S64" i="11"/>
  <c r="O64" i="11"/>
  <c r="N64" i="11"/>
  <c r="T63" i="11"/>
  <c r="S63" i="11"/>
  <c r="O63" i="11"/>
  <c r="N63" i="11"/>
  <c r="T61" i="11"/>
  <c r="S61" i="11"/>
  <c r="O61" i="11"/>
  <c r="N61" i="11"/>
  <c r="T60" i="11"/>
  <c r="S60" i="11"/>
  <c r="O60" i="11"/>
  <c r="N60" i="11"/>
  <c r="T59" i="11"/>
  <c r="S59" i="11"/>
  <c r="O59" i="11"/>
  <c r="N59" i="11"/>
  <c r="T58" i="11"/>
  <c r="S58" i="11"/>
  <c r="O58" i="11"/>
  <c r="N58" i="11"/>
  <c r="T57" i="11"/>
  <c r="S57" i="11"/>
  <c r="O57" i="11"/>
  <c r="N57" i="11"/>
  <c r="T56" i="11"/>
  <c r="S56" i="11"/>
  <c r="O56" i="11"/>
  <c r="N56" i="11"/>
  <c r="T55" i="11"/>
  <c r="S55" i="11"/>
  <c r="O55" i="11"/>
  <c r="N55" i="11"/>
  <c r="T54" i="11"/>
  <c r="S54" i="11"/>
  <c r="O54" i="11"/>
  <c r="N54" i="11"/>
  <c r="T53" i="11"/>
  <c r="S53" i="11"/>
  <c r="O53" i="11"/>
  <c r="N53" i="11"/>
  <c r="T52" i="11"/>
  <c r="S52" i="11"/>
  <c r="O52" i="11"/>
  <c r="N52" i="11"/>
  <c r="T51" i="11"/>
  <c r="S51" i="11"/>
  <c r="O51" i="11"/>
  <c r="N51" i="11"/>
  <c r="T50" i="11"/>
  <c r="S50" i="11"/>
  <c r="O50" i="11"/>
  <c r="N50" i="11"/>
  <c r="T49" i="11"/>
  <c r="S49" i="11"/>
  <c r="O49" i="11"/>
  <c r="N49" i="11"/>
  <c r="J66" i="11"/>
  <c r="I66" i="11"/>
  <c r="E66" i="11"/>
  <c r="D66" i="11"/>
  <c r="J65" i="11"/>
  <c r="I65" i="11"/>
  <c r="E65" i="11"/>
  <c r="D65" i="11"/>
  <c r="J64" i="11"/>
  <c r="I64" i="11"/>
  <c r="E64" i="11"/>
  <c r="D64" i="11"/>
  <c r="J63" i="11"/>
  <c r="I63" i="11"/>
  <c r="D63" i="11"/>
  <c r="J61" i="11"/>
  <c r="I61" i="11"/>
  <c r="E61" i="11"/>
  <c r="D61" i="11"/>
  <c r="J60" i="11"/>
  <c r="I60" i="11"/>
  <c r="E60" i="11"/>
  <c r="D60" i="11"/>
  <c r="J59" i="11"/>
  <c r="I59" i="11"/>
  <c r="E59" i="11"/>
  <c r="D59" i="11"/>
  <c r="J58" i="11"/>
  <c r="I58" i="11"/>
  <c r="E58" i="11"/>
  <c r="D58" i="11"/>
  <c r="J57" i="11"/>
  <c r="I57" i="11"/>
  <c r="E57" i="11"/>
  <c r="D57" i="11"/>
  <c r="J56" i="11"/>
  <c r="I56" i="11"/>
  <c r="E56" i="11"/>
  <c r="D56" i="11"/>
  <c r="J55" i="11"/>
  <c r="I55" i="11"/>
  <c r="E55" i="11"/>
  <c r="D55" i="11"/>
  <c r="J54" i="11"/>
  <c r="I54" i="11"/>
  <c r="E54" i="11"/>
  <c r="D54" i="11"/>
  <c r="J53" i="11"/>
  <c r="I53" i="11"/>
  <c r="E53" i="11"/>
  <c r="D53" i="11"/>
  <c r="J52" i="11"/>
  <c r="I52" i="11"/>
  <c r="E52" i="11"/>
  <c r="D52" i="11"/>
  <c r="J51" i="11"/>
  <c r="I51" i="11"/>
  <c r="E51" i="11"/>
  <c r="D51" i="11"/>
  <c r="J50" i="11"/>
  <c r="I50" i="11"/>
  <c r="E50" i="11"/>
  <c r="D50" i="11"/>
  <c r="J49" i="11"/>
  <c r="I49" i="11"/>
  <c r="E49" i="11"/>
  <c r="D49" i="11"/>
  <c r="J44" i="11"/>
  <c r="I44" i="11"/>
  <c r="E44" i="11"/>
  <c r="D44" i="11"/>
  <c r="J43" i="11"/>
  <c r="I43" i="11"/>
  <c r="E43" i="11"/>
  <c r="D43" i="11"/>
  <c r="J42" i="11"/>
  <c r="I42" i="11"/>
  <c r="E42" i="11"/>
  <c r="D42" i="11"/>
  <c r="J41" i="11"/>
  <c r="I41" i="11"/>
  <c r="E41" i="11"/>
  <c r="D41" i="11"/>
  <c r="J39" i="11"/>
  <c r="I39" i="11"/>
  <c r="E39" i="11"/>
  <c r="D39" i="11"/>
  <c r="J38" i="11"/>
  <c r="I38" i="11"/>
  <c r="E38" i="11"/>
  <c r="D38" i="11"/>
  <c r="J37" i="11"/>
  <c r="I37" i="11"/>
  <c r="E37" i="11"/>
  <c r="D37" i="11"/>
  <c r="J36" i="11"/>
  <c r="I36" i="11"/>
  <c r="E36" i="11"/>
  <c r="D36" i="11"/>
  <c r="J35" i="11"/>
  <c r="I35" i="11"/>
  <c r="E35" i="11"/>
  <c r="D35" i="11"/>
  <c r="J34" i="11"/>
  <c r="I34" i="11"/>
  <c r="E34" i="11"/>
  <c r="D34" i="11"/>
  <c r="J33" i="11"/>
  <c r="I33" i="11"/>
  <c r="E33" i="11"/>
  <c r="D33" i="11"/>
  <c r="J32" i="11"/>
  <c r="I32" i="11"/>
  <c r="E32" i="11"/>
  <c r="D32" i="11"/>
  <c r="J30" i="11"/>
  <c r="I30" i="11"/>
  <c r="E30" i="11"/>
  <c r="D30" i="11"/>
  <c r="J29" i="11"/>
  <c r="I29" i="11"/>
  <c r="E29" i="11"/>
  <c r="D29" i="11"/>
  <c r="J28" i="11"/>
  <c r="I28" i="11"/>
  <c r="E28" i="11"/>
  <c r="D28" i="11"/>
  <c r="J27" i="11"/>
  <c r="I27" i="11"/>
  <c r="E27" i="11"/>
  <c r="D27" i="11"/>
  <c r="O12" i="2"/>
  <c r="F13" i="2"/>
  <c r="U14" i="2"/>
  <c r="I15" i="2"/>
  <c r="L21" i="2"/>
  <c r="O9" i="2"/>
  <c r="F18" i="2"/>
  <c r="L11" i="2"/>
  <c r="O20" i="2"/>
  <c r="F15" i="2"/>
  <c r="R9" i="2"/>
  <c r="I17" i="2"/>
  <c r="O6" i="2"/>
  <c r="O21" i="2"/>
  <c r="I11" i="2"/>
  <c r="I13" i="2"/>
  <c r="L9" i="2"/>
  <c r="I7" i="2"/>
  <c r="R19" i="2"/>
  <c r="R8" i="2"/>
  <c r="L18" i="2"/>
  <c r="O13" i="2"/>
  <c r="R22" i="2"/>
  <c r="U8" i="2"/>
  <c r="R17" i="2"/>
  <c r="I9" i="2"/>
  <c r="F21" i="2"/>
  <c r="R6" i="2"/>
  <c r="I20" i="2"/>
  <c r="U21" i="2"/>
  <c r="U16" i="2"/>
  <c r="U15" i="2"/>
  <c r="L12" i="2"/>
  <c r="I12" i="2"/>
  <c r="U20" i="2"/>
  <c r="F19" i="2"/>
  <c r="R12" i="2"/>
  <c r="F22" i="2"/>
  <c r="U17" i="2"/>
  <c r="L20" i="2"/>
  <c r="R20" i="2"/>
  <c r="U12" i="2"/>
  <c r="O8" i="2"/>
  <c r="O15" i="2"/>
  <c r="O7" i="2"/>
  <c r="U6" i="2"/>
  <c r="R11" i="2"/>
  <c r="I14" i="2"/>
  <c r="I21" i="2"/>
  <c r="L22" i="2"/>
  <c r="R14" i="2"/>
  <c r="F14" i="2"/>
  <c r="U11" i="2"/>
  <c r="O14" i="2"/>
  <c r="F20" i="2"/>
  <c r="U13" i="2"/>
  <c r="O11" i="2"/>
  <c r="L19" i="2"/>
  <c r="L17" i="2"/>
  <c r="R16" i="2"/>
  <c r="I19" i="2"/>
  <c r="O17" i="2"/>
  <c r="L8" i="2"/>
  <c r="F16" i="2"/>
  <c r="L15" i="2"/>
  <c r="R21" i="2"/>
  <c r="U19" i="2"/>
  <c r="U22" i="2"/>
  <c r="F12" i="2"/>
  <c r="O19" i="2"/>
  <c r="L16" i="2"/>
  <c r="L6" i="2"/>
  <c r="L13" i="2"/>
  <c r="O22" i="2"/>
  <c r="F17" i="2"/>
  <c r="O18" i="2"/>
  <c r="U9" i="2"/>
  <c r="U7" i="2"/>
  <c r="L14" i="2"/>
  <c r="I22" i="2"/>
  <c r="I16" i="2"/>
  <c r="I6" i="2"/>
  <c r="I8" i="2"/>
  <c r="O16" i="2"/>
  <c r="I18" i="2"/>
  <c r="R7" i="2"/>
  <c r="U18" i="2"/>
  <c r="R18" i="2"/>
  <c r="R15" i="2"/>
  <c r="L7" i="2"/>
  <c r="R13" i="2"/>
  <c r="M28" i="11"/>
  <c r="R39" i="11"/>
  <c r="R27" i="11"/>
  <c r="R36" i="11"/>
  <c r="M39" i="11"/>
  <c r="R33" i="11"/>
  <c r="M34" i="11"/>
  <c r="R42" i="11"/>
  <c r="R35" i="11"/>
  <c r="M16" i="11"/>
  <c r="M42" i="11"/>
  <c r="C16" i="11"/>
  <c r="R28" i="11"/>
  <c r="M32" i="11"/>
  <c r="M43" i="11"/>
  <c r="R34" i="11"/>
  <c r="M29" i="11"/>
  <c r="M41" i="11"/>
  <c r="M27" i="11"/>
  <c r="R43" i="11"/>
  <c r="H16" i="11"/>
  <c r="M36" i="11"/>
  <c r="R44" i="11"/>
  <c r="M35" i="11"/>
  <c r="M44" i="11"/>
  <c r="H15" i="11"/>
  <c r="M15" i="11"/>
  <c r="C15" i="11"/>
  <c r="M30" i="11"/>
  <c r="M33" i="11"/>
  <c r="R41" i="11"/>
  <c r="R32" i="11"/>
  <c r="R30" i="11"/>
  <c r="M31" i="11" l="1"/>
  <c r="F39" i="2"/>
  <c r="O45" i="2"/>
  <c r="L35" i="2"/>
  <c r="R44" i="2"/>
  <c r="O40" i="2"/>
  <c r="F38" i="2"/>
  <c r="F40" i="2"/>
  <c r="I44" i="2"/>
  <c r="F41" i="2"/>
  <c r="O29" i="2"/>
  <c r="O36" i="2"/>
  <c r="R39" i="2"/>
  <c r="R30" i="2"/>
  <c r="F42" i="2"/>
  <c r="I29" i="2"/>
  <c r="R45" i="2"/>
  <c r="R29" i="2"/>
  <c r="L29" i="2"/>
  <c r="L30" i="2"/>
  <c r="I42" i="2"/>
  <c r="R40" i="2"/>
  <c r="F35" i="2"/>
  <c r="U30" i="2"/>
  <c r="O43" i="2"/>
  <c r="O31" i="2"/>
  <c r="I31" i="2"/>
  <c r="U43" i="2"/>
  <c r="F36" i="2"/>
  <c r="L39" i="2"/>
  <c r="R41" i="2"/>
  <c r="R34" i="2"/>
  <c r="O34" i="2"/>
  <c r="O35" i="2"/>
  <c r="I36" i="2"/>
  <c r="F44" i="2"/>
  <c r="I30" i="2"/>
  <c r="L34" i="2"/>
  <c r="O37" i="2"/>
  <c r="O41" i="2"/>
  <c r="U45" i="2"/>
  <c r="U36" i="2"/>
  <c r="I38" i="2"/>
  <c r="U37" i="2"/>
  <c r="U32" i="2"/>
  <c r="R43" i="2"/>
  <c r="U34" i="2"/>
  <c r="R42" i="2"/>
  <c r="O30" i="2"/>
  <c r="L37" i="2"/>
  <c r="U41" i="2"/>
  <c r="F37" i="2"/>
  <c r="U42" i="2"/>
  <c r="R31" i="2"/>
  <c r="R35" i="2"/>
  <c r="R38" i="2"/>
  <c r="L43" i="2"/>
  <c r="I34" i="2"/>
  <c r="U40" i="2"/>
  <c r="I39" i="2"/>
  <c r="I40" i="2"/>
  <c r="U38" i="2"/>
  <c r="I43" i="2"/>
  <c r="L44" i="2"/>
  <c r="I32" i="2"/>
  <c r="O44" i="2"/>
  <c r="O32" i="2"/>
  <c r="I37" i="2"/>
  <c r="L40" i="2"/>
  <c r="I45" i="2"/>
  <c r="U29" i="2"/>
  <c r="I41" i="2"/>
  <c r="L32" i="2"/>
  <c r="L36" i="2"/>
  <c r="R36" i="2"/>
  <c r="L38" i="2"/>
  <c r="L45" i="2"/>
  <c r="I35" i="2"/>
  <c r="R37" i="2"/>
  <c r="L41" i="2"/>
  <c r="F45" i="2"/>
  <c r="U35" i="2"/>
  <c r="U31" i="2"/>
  <c r="O39" i="2"/>
  <c r="F43" i="2"/>
  <c r="O42" i="2"/>
  <c r="L42" i="2"/>
  <c r="U39" i="2"/>
  <c r="R32" i="2"/>
  <c r="U44" i="2"/>
  <c r="O38" i="2"/>
  <c r="L31" i="2"/>
  <c r="E15" i="11"/>
  <c r="D15" i="11"/>
  <c r="E16" i="11"/>
  <c r="D16" i="11"/>
  <c r="J15" i="11"/>
  <c r="I15" i="11"/>
  <c r="J16" i="11"/>
  <c r="I16" i="11"/>
  <c r="N15" i="11"/>
  <c r="O15" i="11"/>
  <c r="O16" i="11"/>
  <c r="N16" i="11"/>
  <c r="U10" i="2"/>
  <c r="O28" i="11"/>
  <c r="N28" i="11"/>
  <c r="O30" i="11"/>
  <c r="N30" i="11"/>
  <c r="T27" i="11"/>
  <c r="S27" i="11"/>
  <c r="R29" i="11"/>
  <c r="R31" i="11" s="1"/>
  <c r="T30" i="11"/>
  <c r="S30" i="11"/>
  <c r="N32" i="11"/>
  <c r="O32" i="11"/>
  <c r="N33" i="11"/>
  <c r="O33" i="11"/>
  <c r="N34" i="11"/>
  <c r="O34" i="11"/>
  <c r="N35" i="11"/>
  <c r="O35" i="11"/>
  <c r="N36" i="11"/>
  <c r="O36" i="11"/>
  <c r="O39" i="11"/>
  <c r="N39" i="11"/>
  <c r="N41" i="11"/>
  <c r="O41" i="11"/>
  <c r="N42" i="11"/>
  <c r="O42" i="11"/>
  <c r="N43" i="11"/>
  <c r="O43" i="11"/>
  <c r="N44" i="11"/>
  <c r="O44" i="11"/>
  <c r="O27" i="11"/>
  <c r="N27" i="11"/>
  <c r="S32" i="11"/>
  <c r="T32" i="11"/>
  <c r="S33" i="11"/>
  <c r="T33" i="11"/>
  <c r="S34" i="11"/>
  <c r="T34" i="11"/>
  <c r="S35" i="11"/>
  <c r="T35" i="11"/>
  <c r="S36" i="11"/>
  <c r="T36" i="11"/>
  <c r="S39" i="11"/>
  <c r="T39" i="11"/>
  <c r="S41" i="11"/>
  <c r="T41" i="11"/>
  <c r="S42" i="11"/>
  <c r="T42" i="11"/>
  <c r="T43" i="11"/>
  <c r="S43" i="11"/>
  <c r="S44" i="11"/>
  <c r="T44" i="11"/>
  <c r="O29" i="11"/>
  <c r="N29" i="11"/>
  <c r="T28" i="11"/>
  <c r="S28" i="11"/>
  <c r="F11" i="2"/>
  <c r="R33" i="2" l="1"/>
  <c r="I33" i="2"/>
  <c r="F34" i="2"/>
  <c r="L33" i="2"/>
  <c r="O33" i="2"/>
  <c r="U33" i="2"/>
  <c r="T29" i="11"/>
  <c r="S29" i="11"/>
  <c r="R10" i="2"/>
  <c r="O10" i="2"/>
  <c r="L10" i="2"/>
  <c r="I10" i="2"/>
  <c r="M13" i="9"/>
  <c r="M12" i="9"/>
  <c r="E4" i="9"/>
  <c r="S6" i="8"/>
  <c r="L13" i="9"/>
  <c r="L12" i="9"/>
  <c r="R4" i="8"/>
  <c r="I11" i="10"/>
  <c r="I21" i="10"/>
  <c r="I15" i="10"/>
  <c r="R29" i="8"/>
  <c r="R25" i="8"/>
  <c r="I6" i="10"/>
  <c r="I16" i="10"/>
  <c r="R28" i="8"/>
  <c r="R16" i="8"/>
  <c r="R8" i="8"/>
  <c r="I22" i="10"/>
  <c r="I12" i="10"/>
  <c r="I14" i="10"/>
  <c r="I20" i="10"/>
  <c r="R13" i="8"/>
  <c r="R9" i="8"/>
  <c r="R5" i="8"/>
  <c r="I13" i="10"/>
  <c r="I17" i="10"/>
  <c r="I5" i="10"/>
  <c r="R12" i="8"/>
  <c r="R20" i="8"/>
  <c r="I19" i="10"/>
  <c r="I10" i="10"/>
  <c r="I8" i="10"/>
  <c r="R24" i="8"/>
  <c r="R21" i="8"/>
  <c r="R17" i="8"/>
  <c r="I7" i="10"/>
  <c r="C16" i="10"/>
  <c r="C15" i="10"/>
  <c r="C38" i="10"/>
  <c r="C37" i="10"/>
  <c r="F37" i="10"/>
  <c r="F38" i="10"/>
  <c r="F15" i="10"/>
  <c r="F16" i="10"/>
  <c r="C17" i="2"/>
  <c r="C19" i="2"/>
  <c r="F7" i="2"/>
  <c r="C16" i="2"/>
  <c r="C22" i="2"/>
  <c r="F8" i="2"/>
  <c r="C11" i="2"/>
  <c r="F9" i="2"/>
  <c r="C21" i="2"/>
  <c r="C8" i="2"/>
  <c r="C14" i="2"/>
  <c r="C18" i="2"/>
  <c r="C7" i="2"/>
  <c r="C9" i="2"/>
  <c r="F6" i="2"/>
  <c r="C20" i="2"/>
  <c r="C6" i="2"/>
  <c r="C12" i="2"/>
  <c r="C13" i="2"/>
  <c r="C15" i="2"/>
  <c r="M22" i="11"/>
  <c r="M14" i="11"/>
  <c r="M8" i="11"/>
  <c r="M17" i="11"/>
  <c r="M7" i="11"/>
  <c r="M12" i="11"/>
  <c r="M21" i="11"/>
  <c r="M20" i="11"/>
  <c r="M5" i="11"/>
  <c r="M13" i="11"/>
  <c r="M11" i="11"/>
  <c r="M19" i="11"/>
  <c r="M6" i="11"/>
  <c r="M10" i="11"/>
  <c r="M9" i="11" l="1"/>
  <c r="T8" i="8"/>
  <c r="I9" i="10"/>
  <c r="C40" i="2"/>
  <c r="C43" i="2"/>
  <c r="C44" i="2"/>
  <c r="F30" i="2"/>
  <c r="F32" i="2"/>
  <c r="C34" i="2"/>
  <c r="C35" i="2"/>
  <c r="C42" i="2"/>
  <c r="C36" i="2"/>
  <c r="F31" i="2"/>
  <c r="F29" i="2"/>
  <c r="C41" i="2"/>
  <c r="C32" i="2"/>
  <c r="C45" i="2"/>
  <c r="C39" i="2"/>
  <c r="C37" i="2"/>
  <c r="C38" i="2"/>
  <c r="C31" i="2"/>
  <c r="C29" i="2"/>
  <c r="C30" i="2"/>
  <c r="F10" i="2"/>
  <c r="T4" i="8"/>
  <c r="T5" i="8"/>
  <c r="C10" i="2"/>
  <c r="S14" i="8"/>
  <c r="S18" i="8"/>
  <c r="C33" i="2" l="1"/>
  <c r="F33" i="2"/>
  <c r="E29" i="9"/>
  <c r="E28" i="9"/>
  <c r="E25" i="9"/>
  <c r="E24" i="9"/>
  <c r="E21" i="9"/>
  <c r="E20" i="9"/>
  <c r="E17" i="9"/>
  <c r="E16" i="9"/>
  <c r="E13" i="9"/>
  <c r="E12" i="9"/>
  <c r="E9" i="9"/>
  <c r="E8" i="9"/>
  <c r="M9" i="9"/>
  <c r="M8" i="9"/>
  <c r="L22" i="8" l="1"/>
  <c r="L14" i="8" l="1"/>
  <c r="E5" i="9" l="1"/>
  <c r="M29" i="9" l="1"/>
  <c r="M28" i="9"/>
  <c r="K25" i="8"/>
  <c r="F11" i="10"/>
  <c r="K24" i="8"/>
  <c r="K16" i="8"/>
  <c r="K4" i="8"/>
  <c r="K28" i="8"/>
  <c r="F14" i="10"/>
  <c r="K9" i="8"/>
  <c r="F8" i="10"/>
  <c r="F13" i="10"/>
  <c r="F5" i="10"/>
  <c r="F22" i="10"/>
  <c r="F7" i="10"/>
  <c r="F20" i="10"/>
  <c r="F6" i="10"/>
  <c r="F10" i="10"/>
  <c r="K21" i="8"/>
  <c r="F21" i="10"/>
  <c r="F12" i="10"/>
  <c r="K17" i="8"/>
  <c r="K5" i="8"/>
  <c r="K13" i="8"/>
  <c r="K12" i="8"/>
  <c r="K20" i="8"/>
  <c r="K8" i="8"/>
  <c r="F17" i="10"/>
  <c r="K29" i="8"/>
  <c r="F19" i="10"/>
  <c r="H19" i="11"/>
  <c r="H10" i="11"/>
  <c r="H12" i="11"/>
  <c r="H13" i="11"/>
  <c r="H8" i="11"/>
  <c r="H22" i="11"/>
  <c r="H6" i="11"/>
  <c r="H7" i="11"/>
  <c r="H21" i="11"/>
  <c r="H20" i="11"/>
  <c r="H5" i="11"/>
  <c r="H17" i="11"/>
  <c r="H11" i="11"/>
  <c r="H14" i="11"/>
  <c r="H9" i="11" l="1"/>
  <c r="F9" i="10"/>
  <c r="L8" i="9"/>
  <c r="L9" i="9"/>
  <c r="M5" i="9" l="1"/>
  <c r="M4" i="9"/>
  <c r="C6" i="10"/>
  <c r="C5" i="10"/>
  <c r="C10" i="10"/>
  <c r="C14" i="10"/>
  <c r="C21" i="10"/>
  <c r="C17" i="10"/>
  <c r="C11" i="10"/>
  <c r="C22" i="10"/>
  <c r="C12" i="10"/>
  <c r="C8" i="10"/>
  <c r="C13" i="10"/>
  <c r="C20" i="10"/>
  <c r="C19" i="10"/>
  <c r="C7" i="10"/>
  <c r="C5" i="11"/>
  <c r="C19" i="11"/>
  <c r="C12" i="11"/>
  <c r="C10" i="11"/>
  <c r="C8" i="11"/>
  <c r="C7" i="11"/>
  <c r="C11" i="11"/>
  <c r="C21" i="11"/>
  <c r="C17" i="11"/>
  <c r="C13" i="11"/>
  <c r="C20" i="11"/>
  <c r="C14" i="11"/>
  <c r="C6" i="11"/>
  <c r="C22" i="11"/>
  <c r="C9" i="11" l="1"/>
  <c r="C9" i="10"/>
  <c r="L4" i="9"/>
  <c r="L5" i="9"/>
  <c r="S6" i="11" l="1"/>
  <c r="S7" i="11"/>
  <c r="S8" i="11"/>
  <c r="S10" i="11"/>
  <c r="S11" i="11"/>
  <c r="S12" i="11"/>
  <c r="S13" i="11"/>
  <c r="S14" i="11"/>
  <c r="S15" i="11"/>
  <c r="S16" i="11"/>
  <c r="S17" i="11"/>
  <c r="S19" i="11"/>
  <c r="S20" i="11"/>
  <c r="S21" i="11"/>
  <c r="S22" i="11"/>
  <c r="T6" i="11"/>
  <c r="T7" i="11"/>
  <c r="T8" i="11"/>
  <c r="T10" i="11"/>
  <c r="T11" i="11"/>
  <c r="T12" i="11"/>
  <c r="T13" i="11"/>
  <c r="T14" i="11"/>
  <c r="T15" i="11"/>
  <c r="T16" i="11"/>
  <c r="T17" i="11"/>
  <c r="T19" i="11"/>
  <c r="T20" i="11"/>
  <c r="T21" i="11"/>
  <c r="T22" i="11"/>
  <c r="T5" i="11"/>
  <c r="N6" i="11"/>
  <c r="N7" i="11"/>
  <c r="N8" i="11"/>
  <c r="N10" i="11"/>
  <c r="N11" i="11"/>
  <c r="N12" i="11"/>
  <c r="N13" i="11"/>
  <c r="N14" i="11"/>
  <c r="N17" i="11"/>
  <c r="N19" i="11"/>
  <c r="N20" i="11"/>
  <c r="N21" i="11"/>
  <c r="N22" i="11"/>
  <c r="O6" i="11"/>
  <c r="O7" i="11"/>
  <c r="O8" i="11"/>
  <c r="O10" i="11"/>
  <c r="O11" i="11"/>
  <c r="O12" i="11"/>
  <c r="O13" i="11"/>
  <c r="O14" i="11"/>
  <c r="O17" i="11"/>
  <c r="O19" i="11"/>
  <c r="O20" i="11"/>
  <c r="O21" i="11"/>
  <c r="O22" i="11"/>
  <c r="O5" i="11"/>
  <c r="I6" i="11"/>
  <c r="I7" i="11"/>
  <c r="I8" i="11"/>
  <c r="I10" i="11"/>
  <c r="I11" i="11"/>
  <c r="I12" i="11"/>
  <c r="I13" i="11"/>
  <c r="I14" i="11"/>
  <c r="I17" i="11"/>
  <c r="I19" i="11"/>
  <c r="I20" i="11"/>
  <c r="I21" i="11"/>
  <c r="I22" i="11"/>
  <c r="J6" i="11"/>
  <c r="J7" i="11"/>
  <c r="J8" i="11"/>
  <c r="J10" i="11"/>
  <c r="J11" i="11"/>
  <c r="J12" i="11"/>
  <c r="J13" i="11"/>
  <c r="J14" i="11"/>
  <c r="J17" i="11"/>
  <c r="J19" i="11"/>
  <c r="J20" i="11"/>
  <c r="J21" i="11"/>
  <c r="J22" i="11"/>
  <c r="J5" i="11"/>
  <c r="E6" i="11"/>
  <c r="E7" i="11"/>
  <c r="E8" i="11"/>
  <c r="E10" i="11"/>
  <c r="E11" i="11"/>
  <c r="E12" i="11"/>
  <c r="E13" i="11"/>
  <c r="E14" i="11"/>
  <c r="E17" i="11"/>
  <c r="E19" i="11"/>
  <c r="E20" i="11"/>
  <c r="E21" i="11"/>
  <c r="E22" i="11"/>
  <c r="E5" i="11"/>
  <c r="S5" i="11"/>
  <c r="N5" i="11"/>
  <c r="I5" i="11"/>
  <c r="D6" i="11"/>
  <c r="D7" i="11"/>
  <c r="D8" i="11"/>
  <c r="D10" i="11"/>
  <c r="D11" i="11"/>
  <c r="D12" i="11"/>
  <c r="D13" i="11"/>
  <c r="D14" i="11"/>
  <c r="D17" i="11"/>
  <c r="D19" i="11"/>
  <c r="D20" i="11"/>
  <c r="D21" i="11"/>
  <c r="D22" i="11"/>
  <c r="D5" i="11"/>
  <c r="M33" i="9"/>
  <c r="T8" i="1" s="1"/>
  <c r="M32" i="9"/>
  <c r="M50" i="9"/>
  <c r="L50" i="9"/>
  <c r="N49" i="9"/>
  <c r="N48" i="9"/>
  <c r="M46" i="9"/>
  <c r="L46" i="9"/>
  <c r="N45" i="9"/>
  <c r="N44" i="9"/>
  <c r="M42" i="9"/>
  <c r="L42" i="9"/>
  <c r="N41" i="9"/>
  <c r="N40" i="9"/>
  <c r="M38" i="9"/>
  <c r="L38" i="9"/>
  <c r="N38" i="9" s="1"/>
  <c r="N37" i="9"/>
  <c r="N36" i="9"/>
  <c r="M6" i="9"/>
  <c r="L6" i="9"/>
  <c r="N5" i="9"/>
  <c r="N4" i="9"/>
  <c r="M30" i="9"/>
  <c r="M26" i="9"/>
  <c r="L26" i="9"/>
  <c r="N25" i="9"/>
  <c r="N24" i="9"/>
  <c r="M22" i="9"/>
  <c r="L22" i="9"/>
  <c r="N21" i="9"/>
  <c r="N20" i="9"/>
  <c r="M18" i="9"/>
  <c r="L18" i="9"/>
  <c r="N17" i="9"/>
  <c r="N16" i="9"/>
  <c r="M14" i="9"/>
  <c r="L14" i="9"/>
  <c r="N13" i="9"/>
  <c r="N12" i="9"/>
  <c r="M10" i="9"/>
  <c r="L10" i="9"/>
  <c r="N9" i="9"/>
  <c r="N8" i="9"/>
  <c r="C39" i="10"/>
  <c r="C35" i="10"/>
  <c r="C36" i="10"/>
  <c r="C34" i="10"/>
  <c r="C33" i="10"/>
  <c r="C27" i="10"/>
  <c r="C41" i="10"/>
  <c r="C30" i="10"/>
  <c r="C32" i="10"/>
  <c r="C28" i="10"/>
  <c r="C43" i="10"/>
  <c r="C44" i="10"/>
  <c r="C29" i="10"/>
  <c r="C42" i="10"/>
  <c r="F44" i="10"/>
  <c r="N46" i="9" l="1"/>
  <c r="N42" i="9"/>
  <c r="C31" i="10"/>
  <c r="N50" i="9"/>
  <c r="M34" i="9"/>
  <c r="T7" i="1"/>
  <c r="T9" i="1" s="1"/>
  <c r="L29" i="9"/>
  <c r="N29" i="9" s="1"/>
  <c r="L28" i="9"/>
  <c r="N26" i="9"/>
  <c r="N22" i="9"/>
  <c r="N18" i="9"/>
  <c r="N14" i="9"/>
  <c r="N10" i="9"/>
  <c r="N6" i="9"/>
  <c r="C22" i="1"/>
  <c r="F35" i="10"/>
  <c r="F34" i="10"/>
  <c r="F32" i="10"/>
  <c r="F27" i="10"/>
  <c r="F33" i="10"/>
  <c r="F39" i="10"/>
  <c r="F36" i="10"/>
  <c r="F28" i="10"/>
  <c r="F42" i="10"/>
  <c r="F30" i="10"/>
  <c r="F41" i="10"/>
  <c r="F43" i="10"/>
  <c r="G22" i="1" l="1"/>
  <c r="K22" i="1"/>
  <c r="O22" i="1"/>
  <c r="L30" i="9"/>
  <c r="N30" i="9" s="1"/>
  <c r="N28" i="9"/>
  <c r="D13" i="9"/>
  <c r="D9" i="9"/>
  <c r="D20" i="9"/>
  <c r="D16" i="9"/>
  <c r="D28" i="9"/>
  <c r="D12" i="9"/>
  <c r="D25" i="9"/>
  <c r="D29" i="9"/>
  <c r="D5" i="9"/>
  <c r="D4" i="9"/>
  <c r="D17" i="9"/>
  <c r="D8" i="9"/>
  <c r="D24" i="9"/>
  <c r="D21" i="9"/>
  <c r="L32" i="9"/>
  <c r="L33" i="9"/>
  <c r="C6" i="1"/>
  <c r="C7" i="1"/>
  <c r="C9" i="1"/>
  <c r="C11" i="1"/>
  <c r="C12" i="1"/>
  <c r="C13" i="1"/>
  <c r="C14" i="1"/>
  <c r="C15" i="1"/>
  <c r="C16" i="1"/>
  <c r="C17" i="1"/>
  <c r="C18" i="1"/>
  <c r="C19" i="1"/>
  <c r="C20" i="1"/>
  <c r="C21" i="1"/>
  <c r="F29" i="10"/>
  <c r="S123" i="8"/>
  <c r="R123" i="8"/>
  <c r="T122" i="8"/>
  <c r="T121" i="8"/>
  <c r="S119" i="8"/>
  <c r="R119" i="8"/>
  <c r="T118" i="8"/>
  <c r="T117" i="8"/>
  <c r="S115" i="8"/>
  <c r="R115" i="8"/>
  <c r="T114" i="8"/>
  <c r="T113" i="8"/>
  <c r="S111" i="8"/>
  <c r="R111" i="8"/>
  <c r="T110" i="8"/>
  <c r="T109" i="8"/>
  <c r="S107" i="8"/>
  <c r="R107" i="8"/>
  <c r="T106" i="8"/>
  <c r="T105" i="8"/>
  <c r="S103" i="8"/>
  <c r="R103" i="8"/>
  <c r="T102" i="8"/>
  <c r="T101" i="8"/>
  <c r="S99" i="8"/>
  <c r="R99" i="8"/>
  <c r="T98" i="8"/>
  <c r="T97" i="8"/>
  <c r="S92" i="8"/>
  <c r="R92" i="8"/>
  <c r="T91" i="8"/>
  <c r="T90" i="8"/>
  <c r="S88" i="8"/>
  <c r="R88" i="8"/>
  <c r="T87" i="8"/>
  <c r="T86" i="8"/>
  <c r="S84" i="8"/>
  <c r="R84" i="8"/>
  <c r="T83" i="8"/>
  <c r="T82" i="8"/>
  <c r="S80" i="8"/>
  <c r="R80" i="8"/>
  <c r="T79" i="8"/>
  <c r="T78" i="8"/>
  <c r="S76" i="8"/>
  <c r="R76" i="8"/>
  <c r="T75" i="8"/>
  <c r="T74" i="8"/>
  <c r="S72" i="8"/>
  <c r="R72" i="8"/>
  <c r="T71" i="8"/>
  <c r="T70" i="8"/>
  <c r="S68" i="8"/>
  <c r="R68" i="8"/>
  <c r="T67" i="8"/>
  <c r="T66" i="8"/>
  <c r="S30" i="8"/>
  <c r="R30" i="8"/>
  <c r="T29" i="8"/>
  <c r="T28" i="8"/>
  <c r="R26" i="8"/>
  <c r="T25" i="8"/>
  <c r="T24" i="8"/>
  <c r="R22" i="8"/>
  <c r="T21" i="8"/>
  <c r="T20" i="8"/>
  <c r="R18" i="8"/>
  <c r="T17" i="8"/>
  <c r="T16" i="8"/>
  <c r="R14" i="8"/>
  <c r="T14" i="8" s="1"/>
  <c r="T13" i="8"/>
  <c r="T12" i="8"/>
  <c r="S10" i="8"/>
  <c r="R10" i="8"/>
  <c r="T9" i="8"/>
  <c r="R6" i="8"/>
  <c r="T6" i="8" s="1"/>
  <c r="T76" i="8" l="1"/>
  <c r="T72" i="8"/>
  <c r="T88" i="8"/>
  <c r="T84" i="8"/>
  <c r="T92" i="8"/>
  <c r="T80" i="8"/>
  <c r="T68" i="8"/>
  <c r="F31" i="10"/>
  <c r="T107" i="8"/>
  <c r="T103" i="8"/>
  <c r="T123" i="8"/>
  <c r="T119" i="8"/>
  <c r="T115" i="8"/>
  <c r="T99" i="8"/>
  <c r="T111" i="8"/>
  <c r="O18" i="1"/>
  <c r="G18" i="1"/>
  <c r="K18" i="1"/>
  <c r="G8" i="1"/>
  <c r="K8" i="1"/>
  <c r="O8" i="1"/>
  <c r="G16" i="1"/>
  <c r="K16" i="1"/>
  <c r="O16" i="1"/>
  <c r="G9" i="1"/>
  <c r="K9" i="1"/>
  <c r="O9" i="1"/>
  <c r="G21" i="1"/>
  <c r="K21" i="1"/>
  <c r="O21" i="1"/>
  <c r="K7" i="1"/>
  <c r="O7" i="1"/>
  <c r="G7" i="1"/>
  <c r="G20" i="1"/>
  <c r="K20" i="1"/>
  <c r="O20" i="1"/>
  <c r="G14" i="1"/>
  <c r="K14" i="1"/>
  <c r="O14" i="1"/>
  <c r="G6" i="1"/>
  <c r="K6" i="1"/>
  <c r="O6" i="1"/>
  <c r="G15" i="1"/>
  <c r="K15" i="1"/>
  <c r="O15" i="1"/>
  <c r="K19" i="1"/>
  <c r="O19" i="1"/>
  <c r="G19" i="1"/>
  <c r="K13" i="1"/>
  <c r="O13" i="1"/>
  <c r="G13" i="1"/>
  <c r="O12" i="1"/>
  <c r="G12" i="1"/>
  <c r="K12" i="1"/>
  <c r="G17" i="1"/>
  <c r="K17" i="1"/>
  <c r="O17" i="1"/>
  <c r="G11" i="1"/>
  <c r="K11" i="1"/>
  <c r="O11" i="1"/>
  <c r="N33" i="9"/>
  <c r="S8" i="1"/>
  <c r="U8" i="1" s="1"/>
  <c r="U7" i="1"/>
  <c r="C10" i="1"/>
  <c r="T18" i="8"/>
  <c r="T30" i="8"/>
  <c r="T22" i="8"/>
  <c r="L34" i="9"/>
  <c r="N34" i="9" s="1"/>
  <c r="N32" i="9"/>
  <c r="T10" i="8"/>
  <c r="T26" i="8"/>
  <c r="L123" i="8"/>
  <c r="K123" i="8"/>
  <c r="M122" i="8"/>
  <c r="M121" i="8"/>
  <c r="L119" i="8"/>
  <c r="K119" i="8"/>
  <c r="M118" i="8"/>
  <c r="M117" i="8"/>
  <c r="M115" i="8"/>
  <c r="L115" i="8"/>
  <c r="K115" i="8"/>
  <c r="M114" i="8"/>
  <c r="M113" i="8"/>
  <c r="L111" i="8"/>
  <c r="K111" i="8"/>
  <c r="M110" i="8"/>
  <c r="M109" i="8"/>
  <c r="L107" i="8"/>
  <c r="K107" i="8"/>
  <c r="M106" i="8"/>
  <c r="M105" i="8"/>
  <c r="L103" i="8"/>
  <c r="K103" i="8"/>
  <c r="M102" i="8"/>
  <c r="M101" i="8"/>
  <c r="L99" i="8"/>
  <c r="K99" i="8"/>
  <c r="M98" i="8"/>
  <c r="M97" i="8"/>
  <c r="E123" i="8"/>
  <c r="D123" i="8"/>
  <c r="F122" i="8"/>
  <c r="F121" i="8"/>
  <c r="E119" i="8"/>
  <c r="D119" i="8"/>
  <c r="F118" i="8"/>
  <c r="F117" i="8"/>
  <c r="E115" i="8"/>
  <c r="D115" i="8"/>
  <c r="F114" i="8"/>
  <c r="F113" i="8"/>
  <c r="E111" i="8"/>
  <c r="D111" i="8"/>
  <c r="F110" i="8"/>
  <c r="F109" i="8"/>
  <c r="E107" i="8"/>
  <c r="D107" i="8"/>
  <c r="F106" i="8"/>
  <c r="F105" i="8"/>
  <c r="E103" i="8"/>
  <c r="D103" i="8"/>
  <c r="F102" i="8"/>
  <c r="F101" i="8"/>
  <c r="E99" i="8"/>
  <c r="D99" i="8"/>
  <c r="F98" i="8"/>
  <c r="F97" i="8"/>
  <c r="L30" i="8"/>
  <c r="K30" i="8"/>
  <c r="M29" i="8"/>
  <c r="M28" i="8"/>
  <c r="L26" i="8"/>
  <c r="K26" i="8"/>
  <c r="M25" i="8"/>
  <c r="M24" i="8"/>
  <c r="K22" i="8"/>
  <c r="M21" i="8"/>
  <c r="M20" i="8"/>
  <c r="L18" i="8"/>
  <c r="K18" i="8"/>
  <c r="M17" i="8"/>
  <c r="M16" i="8"/>
  <c r="K14" i="8"/>
  <c r="M13" i="8"/>
  <c r="M12" i="8"/>
  <c r="L10" i="8"/>
  <c r="K10" i="8"/>
  <c r="M9" i="8"/>
  <c r="M8" i="8"/>
  <c r="K6" i="8"/>
  <c r="M5" i="8"/>
  <c r="M4" i="8"/>
  <c r="M123" i="8" l="1"/>
  <c r="M119" i="8"/>
  <c r="M103" i="8"/>
  <c r="M99" i="8"/>
  <c r="M107" i="8"/>
  <c r="F115" i="8"/>
  <c r="F119" i="8"/>
  <c r="F107" i="8"/>
  <c r="F123" i="8"/>
  <c r="F99" i="8"/>
  <c r="G10" i="1"/>
  <c r="K10" i="1"/>
  <c r="O10" i="1"/>
  <c r="S9" i="1"/>
  <c r="U9" i="1" s="1"/>
  <c r="M14" i="8"/>
  <c r="M26" i="8"/>
  <c r="F111" i="8"/>
  <c r="F103" i="8"/>
  <c r="M111" i="8"/>
  <c r="M6" i="8"/>
  <c r="M30" i="8"/>
  <c r="M22" i="8"/>
  <c r="M18" i="8"/>
  <c r="M10" i="8"/>
  <c r="F13" i="9" l="1"/>
  <c r="F25" i="9"/>
  <c r="D10" i="9"/>
  <c r="F16" i="9"/>
  <c r="F28" i="9"/>
  <c r="F21" i="9"/>
  <c r="F5" i="9"/>
  <c r="F29" i="9"/>
  <c r="F24" i="9"/>
  <c r="E30" i="9"/>
  <c r="E18" i="9"/>
  <c r="F9" i="9"/>
  <c r="E10" i="9"/>
  <c r="F8" i="9"/>
  <c r="E6" i="9"/>
  <c r="F4" i="9"/>
  <c r="E14" i="9"/>
  <c r="E22" i="9"/>
  <c r="E26" i="9"/>
  <c r="D26" i="9" l="1"/>
  <c r="F26" i="9" s="1"/>
  <c r="D18" i="9"/>
  <c r="F18" i="9" s="1"/>
  <c r="D22" i="9"/>
  <c r="F22" i="9" s="1"/>
  <c r="D6" i="9"/>
  <c r="F6" i="9" s="1"/>
  <c r="D30" i="9"/>
  <c r="F30" i="9" s="1"/>
  <c r="F12" i="9"/>
  <c r="F17" i="9"/>
  <c r="D14" i="9"/>
  <c r="F14" i="9" s="1"/>
  <c r="F20" i="9"/>
  <c r="F10" i="9"/>
</calcChain>
</file>

<file path=xl/sharedStrings.xml><?xml version="1.0" encoding="utf-8"?>
<sst xmlns="http://schemas.openxmlformats.org/spreadsheetml/2006/main" count="1723" uniqueCount="118">
  <si>
    <t>Yearly Total</t>
  </si>
  <si>
    <t>AM Field</t>
  </si>
  <si>
    <t>PM Field</t>
  </si>
  <si>
    <t>Total Field</t>
  </si>
  <si>
    <t>Member Play</t>
  </si>
  <si>
    <t>Member Intro</t>
  </si>
  <si>
    <t>Corporate</t>
  </si>
  <si>
    <t>Reciprocal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</si>
  <si>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</si>
  <si>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</si>
  <si>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</si>
  <si>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</si>
  <si>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</si>
  <si>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</si>
  <si>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</si>
  <si>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</si>
  <si>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</si>
  <si>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December</t>
  </si>
  <si>
    <t>Bookings</t>
  </si>
  <si>
    <t>Spots Available</t>
  </si>
  <si>
    <t>Occupancy</t>
  </si>
  <si>
    <t>Notes</t>
  </si>
  <si>
    <t>Feburary</t>
  </si>
  <si>
    <t>Monday</t>
  </si>
  <si>
    <t>AM</t>
  </si>
  <si>
    <t>PM</t>
  </si>
  <si>
    <t>Total Occupancy</t>
  </si>
  <si>
    <t>Total Monday Occupancy</t>
  </si>
  <si>
    <t>Tuesday</t>
  </si>
  <si>
    <t xml:space="preserve">AM </t>
  </si>
  <si>
    <t>Total Tuesday Occupancy</t>
  </si>
  <si>
    <t>Wednesday</t>
  </si>
  <si>
    <t>Total Wednesday Occupancy</t>
  </si>
  <si>
    <t>Thursday</t>
  </si>
  <si>
    <t>Total Thursday Occupancy</t>
  </si>
  <si>
    <t>Friday</t>
  </si>
  <si>
    <t>Total Friday Occupancy</t>
  </si>
  <si>
    <t>Saturday</t>
  </si>
  <si>
    <t>Total Saturday Occupancy</t>
  </si>
  <si>
    <t>Sunday</t>
  </si>
  <si>
    <t>Total Sunday Occupancy</t>
  </si>
  <si>
    <t>Day by Totals</t>
  </si>
  <si>
    <t>JANUARY</t>
  </si>
  <si>
    <t>Row Labels</t>
  </si>
  <si>
    <t>Sum of AM FIELD</t>
  </si>
  <si>
    <t>Sum of PM FIELD</t>
  </si>
  <si>
    <t>Sum of TOTAL FIELD</t>
  </si>
  <si>
    <t>Sum of No. GUESTS</t>
  </si>
  <si>
    <t>Sum of MEMBER</t>
  </si>
  <si>
    <t>Sum of MANAGER INTRO</t>
  </si>
  <si>
    <t>Sum of CORPORATE</t>
  </si>
  <si>
    <t>Sum of VOUCHER</t>
  </si>
  <si>
    <t>Sum of RECIP</t>
  </si>
  <si>
    <t>Sum of COMP</t>
  </si>
  <si>
    <t>Mon</t>
  </si>
  <si>
    <t>Tue</t>
  </si>
  <si>
    <t>Wed</t>
  </si>
  <si>
    <t>Thu</t>
  </si>
  <si>
    <t>Fri</t>
  </si>
  <si>
    <t>Sat</t>
  </si>
  <si>
    <t>Sun</t>
  </si>
  <si>
    <t>Grand Total</t>
  </si>
  <si>
    <t>MARCH</t>
  </si>
  <si>
    <t>APRIL</t>
  </si>
  <si>
    <t>MAY</t>
  </si>
  <si>
    <t>JUNE</t>
  </si>
  <si>
    <t>Sum of MEMB GUEST MICLUB</t>
  </si>
  <si>
    <t>JULY</t>
  </si>
  <si>
    <t>November</t>
  </si>
  <si>
    <t>Sum of INTERSTATE</t>
  </si>
  <si>
    <t>Sum of INTERNATIONAL</t>
  </si>
  <si>
    <t>Sum of INDUSTRY GUEST</t>
  </si>
  <si>
    <t>Sum of MEMB GUEST UNACCOMPANIED</t>
  </si>
  <si>
    <t>Sum of NON-PLAYING</t>
  </si>
  <si>
    <t>FEBRUARY</t>
  </si>
  <si>
    <t>AUGUST</t>
  </si>
  <si>
    <t>Member / Guest Ratio</t>
  </si>
  <si>
    <t>Interstate</t>
  </si>
  <si>
    <t>International</t>
  </si>
  <si>
    <t>Industry Guest</t>
  </si>
  <si>
    <t>Member Guest Unaccompanied</t>
  </si>
  <si>
    <t>Voucher</t>
  </si>
  <si>
    <t>Competition</t>
  </si>
  <si>
    <t>February</t>
  </si>
  <si>
    <t>Guests</t>
  </si>
  <si>
    <t>Manger Intro</t>
  </si>
  <si>
    <t>Non Playing</t>
  </si>
  <si>
    <t>Total Average (Month)</t>
  </si>
  <si>
    <t>Total Average (Week)</t>
  </si>
  <si>
    <t>Total February Occupancy</t>
  </si>
  <si>
    <t>Total March Occupancy</t>
  </si>
  <si>
    <t xml:space="preserve">Occupancy </t>
  </si>
  <si>
    <t>Total April Occupancy</t>
  </si>
  <si>
    <t>Total May Occupancy</t>
  </si>
  <si>
    <t>Total June Occupancy</t>
  </si>
  <si>
    <t>Total July Occupancy</t>
  </si>
  <si>
    <t>Total August Occupancy</t>
  </si>
  <si>
    <t>Total September Occupancy</t>
  </si>
  <si>
    <t>Total October Occupancy</t>
  </si>
  <si>
    <t>Total November Occupancy</t>
  </si>
  <si>
    <t>Total December Occupancy</t>
  </si>
  <si>
    <t>Daily</t>
  </si>
  <si>
    <t>Weekly</t>
  </si>
  <si>
    <t>Averages (Day)</t>
  </si>
  <si>
    <t>Total Average (Day)</t>
  </si>
  <si>
    <t>Total January Occupancy</t>
  </si>
  <si>
    <t>SEPTEMBER</t>
  </si>
  <si>
    <t>OCTOBER</t>
  </si>
  <si>
    <t>NOVEMBER</t>
  </si>
  <si>
    <t>DECEMBER</t>
  </si>
  <si>
    <t>Time</t>
  </si>
  <si>
    <t>Total</t>
  </si>
  <si>
    <t>2023 Totals (By Month)</t>
  </si>
  <si>
    <t>2023 Totals (By Day)</t>
  </si>
  <si>
    <t>Twlights</t>
  </si>
  <si>
    <t>2023 Occupancy Totals</t>
  </si>
  <si>
    <t>Event</t>
  </si>
  <si>
    <t>Sum of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</si>
</sst>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%"/>
    <numFmt numFmtId="165" formatCode="0.0"/>
    <numFmt numFmtId="166" formatCode="_-* #,##0_-;\-* #,##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Open Sans"/>
      <family val="2"/>
    </font>
    <font>
      <b/>
      <sz val="14"/>
      <color theme="1"/>
      <name val="Open Sans"/>
      <family val="2"/>
    </font>
    <font>
      <sz val="11"/>
      <color theme="1"/>
      <name val="Open Sans"/>
      <family val="2"/>
    </font>
    <font>
      <b/>
      <sz val="11"/>
      <color theme="1"/>
      <name val="Open Sans"/>
      <family val="2"/>
    </font>
    <font>
      <sz val="14"/>
      <color theme="1"/>
      <name val="Open Sans"/>
      <family val="2"/>
    </font>
    <font>
      <sz val="12"/>
      <color theme="1"/>
      <name val="Open Sans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9" fontId="4" fillId="0" borderId="5" xfId="1" applyFont="1" applyBorder="1" applyAlignment="1">
      <alignment horizontal="center" wrapText="1"/>
    </xf>
    <xf numFmtId="0" fontId="4" fillId="0" borderId="6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49" fontId="4" fillId="0" borderId="13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 wrapText="1"/>
    </xf>
    <xf numFmtId="9" fontId="4" fillId="0" borderId="13" xfId="1" applyFont="1" applyBorder="1" applyAlignment="1">
      <alignment horizontal="center" wrapText="1"/>
    </xf>
    <xf numFmtId="0" fontId="4" fillId="0" borderId="14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49" fontId="4" fillId="0" borderId="10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 wrapText="1"/>
    </xf>
    <xf numFmtId="9" fontId="5" fillId="0" borderId="10" xfId="1" applyFont="1" applyBorder="1" applyAlignment="1">
      <alignment horizontal="center" wrapText="1"/>
    </xf>
    <xf numFmtId="0" fontId="4" fillId="0" borderId="11" xfId="0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9" fontId="4" fillId="0" borderId="0" xfId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 wrapText="1"/>
    </xf>
    <xf numFmtId="9" fontId="5" fillId="0" borderId="7" xfId="1" applyFont="1" applyBorder="1" applyAlignment="1">
      <alignment horizontal="center" wrapText="1"/>
    </xf>
    <xf numFmtId="0" fontId="4" fillId="0" borderId="8" xfId="0" applyFont="1" applyBorder="1" applyAlignment="1">
      <alignment horizontal="center"/>
    </xf>
    <xf numFmtId="9" fontId="4" fillId="0" borderId="0" xfId="1" applyFont="1" applyBorder="1" applyAlignment="1">
      <alignment horizontal="center" wrapText="1"/>
    </xf>
    <xf numFmtId="0" fontId="4" fillId="0" borderId="0" xfId="0" applyFont="1"/>
    <xf numFmtId="0" fontId="2" fillId="2" borderId="15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9" fontId="5" fillId="0" borderId="0" xfId="1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 wrapText="1"/>
    </xf>
    <xf numFmtId="164" fontId="4" fillId="0" borderId="5" xfId="1" applyNumberFormat="1" applyFont="1" applyBorder="1" applyAlignment="1">
      <alignment horizontal="center" wrapText="1"/>
    </xf>
    <xf numFmtId="164" fontId="4" fillId="0" borderId="1" xfId="1" applyNumberFormat="1" applyFont="1" applyBorder="1" applyAlignment="1">
      <alignment horizontal="center"/>
    </xf>
    <xf numFmtId="164" fontId="5" fillId="0" borderId="7" xfId="1" applyNumberFormat="1" applyFont="1" applyBorder="1" applyAlignment="1">
      <alignment horizontal="center" wrapText="1"/>
    </xf>
    <xf numFmtId="164" fontId="4" fillId="0" borderId="0" xfId="0" applyNumberFormat="1" applyFont="1"/>
    <xf numFmtId="164" fontId="4" fillId="0" borderId="0" xfId="1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 vertical="center"/>
    </xf>
    <xf numFmtId="9" fontId="4" fillId="0" borderId="1" xfId="1" applyFont="1" applyBorder="1" applyAlignment="1">
      <alignment horizontal="center" vertical="center" wrapText="1"/>
    </xf>
    <xf numFmtId="9" fontId="4" fillId="0" borderId="0" xfId="1" applyFont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/>
    </xf>
    <xf numFmtId="0" fontId="4" fillId="0" borderId="5" xfId="0" applyFont="1" applyBorder="1" applyAlignment="1">
      <alignment horizontal="center"/>
    </xf>
    <xf numFmtId="164" fontId="4" fillId="0" borderId="1" xfId="1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4" fontId="4" fillId="0" borderId="0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/>
    </xf>
    <xf numFmtId="9" fontId="4" fillId="0" borderId="0" xfId="1" applyFont="1" applyBorder="1" applyAlignment="1">
      <alignment horizontal="center" vertical="center" wrapText="1"/>
    </xf>
    <xf numFmtId="9" fontId="5" fillId="0" borderId="0" xfId="1" applyFont="1" applyBorder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9" fontId="4" fillId="0" borderId="0" xfId="1" applyFont="1" applyFill="1" applyBorder="1" applyAlignment="1">
      <alignment horizontal="center" vertical="center" wrapText="1"/>
    </xf>
    <xf numFmtId="9" fontId="5" fillId="0" borderId="0" xfId="1" applyFont="1" applyFill="1" applyBorder="1" applyAlignment="1">
      <alignment horizontal="center" vertical="center"/>
    </xf>
    <xf numFmtId="9" fontId="4" fillId="0" borderId="0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6" fontId="5" fillId="0" borderId="1" xfId="3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9" fontId="6" fillId="0" borderId="0" xfId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65" fontId="3" fillId="0" borderId="0" xfId="2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</cellXfs>
  <cellStyles count="4">
    <cellStyle name="Comma" xfId="3" builtinId="3"/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pivotCacheDefinition" Target="pivotCache/pivotCacheDefinition1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pivotCacheDefinition" Target="pivotCache/pivotCacheDefinition10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9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23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19" Type="http://schemas.openxmlformats.org/officeDocument/2006/relationships/pivotCacheDefinition" Target="pivotCache/pivotCacheDefinition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3%20Round%20Tracking/2023%20June%20Round%20Tracking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3%20Round%20Tracking/2023%20May%20Round%20Tracking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3%20Round%20Tracking/2023%20April%20Round%20Tracking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3%20Round%20Tracking/2023%20March%20Round%20Tracking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3%20Round%20Tracking/2023%20January%20Round%20Tracking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3%20Round%20Tracking/2023%20December%20Round%20Tracking.xlsx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3%20Round%20Tracking/2023%20February%20Round%20Tracking.xlsx" TargetMode="External"/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3%20Round%20Tracking/2023%20August%20Round%20Tracking.xlsx" TargetMode="External"/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3%20Round%20Tracking/2023%20July%20Round%20Tracking.xlsx" TargetMode="External"/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3%20Round%20Tracking/2023%20September%20Round%20Tracking.xlsx" TargetMode="External"/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3%20Round%20Tracking/2023%20October%20Round%20Tracking.xlsx" TargetMode="External"/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3%20Round%20Tracking/2023%20November%20Round%20Tracking.xlsx" TargetMode="External"/><Relationship Id="rId1" Type="http://schemas.openxmlformats.org/officeDocument/2006/relationships/pivotCacheRecords" Target="pivotCacheRecords1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shop" refreshedDate="45586.474446875" createdVersion="8" refreshedVersion="8" minRefreshableVersion="3" recordCount="30" xr:uid="{85B004FA-019B-4A9C-BB76-8AAE046C6667}">
  <cacheSource type="worksheet">
    <worksheetSource ref="A1:T31" sheet="Daily Numbers" r:id="rId2"/>
  </cacheSource>
  <cacheFields count="19">
    <cacheField name="DATE" numFmtId="14">
      <sharedItems containsSemiMixedTypes="0" containsNonDate="0" containsDate="1" containsString="0" minDate="2023-06-01T00:00:00" maxDate="2023-07-01T00:00:00"/>
    </cacheField>
    <cacheField name="DAY" numFmtId="0">
      <sharedItems count="7">
        <s v="Thu"/>
        <s v="Fri"/>
        <s v="Sat"/>
        <s v="Sun"/>
        <s v="Mon"/>
        <s v="Tue"/>
        <s v="Wed"/>
      </sharedItems>
    </cacheField>
    <cacheField name="AM FIELD" numFmtId="0">
      <sharedItems containsSemiMixedTypes="0" containsString="0" containsNumber="1" containsInteger="1" minValue="0" maxValue="89"/>
    </cacheField>
    <cacheField name="PM FIELD" numFmtId="0">
      <sharedItems containsSemiMixedTypes="0" containsString="0" containsNumber="1" containsInteger="1" minValue="29" maxValue="108"/>
    </cacheField>
    <cacheField name="TOTAL FIELD" numFmtId="0">
      <sharedItems containsSemiMixedTypes="0" containsString="0" containsNumber="1" containsInteger="1" minValue="53" maxValue="175"/>
    </cacheField>
    <cacheField name="No. GUESTS" numFmtId="0">
      <sharedItems containsSemiMixedTypes="0" containsString="0" containsNumber="1" containsInteger="1" minValue="0" maxValue="110"/>
    </cacheField>
    <cacheField name="MEMBER" numFmtId="0">
      <sharedItems containsSemiMixedTypes="0" containsString="0" containsNumber="1" containsInteger="1" minValue="24" maxValue="162"/>
    </cacheField>
    <cacheField name="MEMBER / GUEST RATIO" numFmtId="9">
      <sharedItems containsSemiMixedTypes="0" containsString="0" containsNumber="1" minValue="0" maxValue="0.82089552238805974"/>
    </cacheField>
    <cacheField name="MANAGER INTRO" numFmtId="0">
      <sharedItems containsSemiMixedTypes="0" containsString="0" containsNumber="1" containsInteger="1" minValue="0" maxValue="4"/>
    </cacheField>
    <cacheField name="INTERSTATE" numFmtId="0">
      <sharedItems containsSemiMixedTypes="0" containsString="0" containsNumber="1" containsInteger="1" minValue="0" maxValue="3"/>
    </cacheField>
    <cacheField name="INTERNATIONAL" numFmtId="0">
      <sharedItems containsSemiMixedTypes="0" containsString="0" containsNumber="1" containsInteger="1" minValue="0" maxValue="4"/>
    </cacheField>
    <cacheField name="INDUSTRY GUEST" numFmtId="0">
      <sharedItems containsSemiMixedTypes="0" containsString="0" containsNumber="1" containsInteger="1" minValue="0" maxValue="0"/>
    </cacheField>
    <cacheField name="MEMB GUEST MICLUB" numFmtId="0">
      <sharedItems containsSemiMixedTypes="0" containsString="0" containsNumber="1" containsInteger="1" minValue="0" maxValue="51"/>
    </cacheField>
    <cacheField name="MEMB GUEST UNACCOMPANIED" numFmtId="0">
      <sharedItems containsSemiMixedTypes="0" containsString="0" containsNumber="1" containsInteger="1" minValue="0" maxValue="0"/>
    </cacheField>
    <cacheField name="CORPORATE" numFmtId="0">
      <sharedItems containsSemiMixedTypes="0" containsString="0" containsNumber="1" containsInteger="1" minValue="0" maxValue="108"/>
    </cacheField>
    <cacheField name="NON-PLAYING" numFmtId="0">
      <sharedItems containsSemiMixedTypes="0" containsString="0" containsNumber="1" containsInteger="1" minValue="0" maxValue="5"/>
    </cacheField>
    <cacheField name="VOUCHER" numFmtId="0">
      <sharedItems containsSemiMixedTypes="0" containsString="0" containsNumber="1" containsInteger="1" minValue="0" maxValue="84"/>
    </cacheField>
    <cacheField name="RECIP" numFmtId="0">
      <sharedItems containsSemiMixedTypes="0" containsString="0" containsNumber="1" containsInteger="1" minValue="0" maxValue="6"/>
    </cacheField>
    <cacheField name="COMP" numFmtId="0">
      <sharedItems containsSemiMixedTypes="0" containsString="0" containsNumber="1" containsInteger="1" minValue="0" maxValue="1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shop" refreshedDate="45680.523247800927" createdVersion="8" refreshedVersion="8" minRefreshableVersion="3" recordCount="31" xr:uid="{99744091-7814-45FE-9E74-17A0F315E33C}">
  <cacheSource type="worksheet">
    <worksheetSource ref="A1:T32" sheet="Daily Numbers" r:id="rId2"/>
  </cacheSource>
  <cacheFields count="20">
    <cacheField name="DATE" numFmtId="14">
      <sharedItems containsSemiMixedTypes="0" containsNonDate="0" containsDate="1" containsString="0" minDate="2023-05-01T00:00:00" maxDate="2023-06-01T00:00:00"/>
    </cacheField>
    <cacheField name="DAY" numFmtId="0">
      <sharedItems count="7">
        <s v="Mon"/>
        <s v="Tue"/>
        <s v="Wed"/>
        <s v="Thu"/>
        <s v="Fri"/>
        <s v="Sat"/>
        <s v="Sun"/>
      </sharedItems>
    </cacheField>
    <cacheField name="AM FIELD" numFmtId="0">
      <sharedItems containsSemiMixedTypes="0" containsString="0" containsNumber="1" containsInteger="1" minValue="0" maxValue="120"/>
    </cacheField>
    <cacheField name="PM FIELD" numFmtId="0">
      <sharedItems containsSemiMixedTypes="0" containsString="0" containsNumber="1" containsInteger="1" minValue="0" maxValue="89"/>
    </cacheField>
    <cacheField name="TOTAL FIELD" numFmtId="0">
      <sharedItems containsSemiMixedTypes="0" containsString="0" containsNumber="1" containsInteger="1" minValue="78" maxValue="182"/>
    </cacheField>
    <cacheField name="No. GUESTS" numFmtId="0">
      <sharedItems containsSemiMixedTypes="0" containsString="0" containsNumber="1" containsInteger="1" minValue="0" maxValue="176"/>
    </cacheField>
    <cacheField name="MEMBER" numFmtId="0">
      <sharedItems containsSemiMixedTypes="0" containsString="0" containsNumber="1" containsInteger="1" minValue="0" maxValue="177"/>
    </cacheField>
    <cacheField name="MEMBER / GUEST RATIO" numFmtId="9">
      <sharedItems containsSemiMixedTypes="0" containsString="0" containsNumber="1" minValue="0" maxValue="1"/>
    </cacheField>
    <cacheField name="MANAGER INTRO" numFmtId="0">
      <sharedItems containsSemiMixedTypes="0" containsString="0" containsNumber="1" containsInteger="1" minValue="0" maxValue="1"/>
    </cacheField>
    <cacheField name="INTERSTATE" numFmtId="0">
      <sharedItems containsSemiMixedTypes="0" containsString="0" containsNumber="1" containsInteger="1" minValue="0" maxValue="16"/>
    </cacheField>
    <cacheField name="INTERNATIONAL" numFmtId="0">
      <sharedItems containsSemiMixedTypes="0" containsString="0" containsNumber="1" containsInteger="1" minValue="0" maxValue="8"/>
    </cacheField>
    <cacheField name="INDUSTRY GUEST" numFmtId="0">
      <sharedItems containsSemiMixedTypes="0" containsString="0" containsNumber="1" containsInteger="1" minValue="0" maxValue="1"/>
    </cacheField>
    <cacheField name="MEMB GUEST MICLUB" numFmtId="0">
      <sharedItems containsSemiMixedTypes="0" containsString="0" containsNumber="1" containsInteger="1" minValue="0" maxValue="29"/>
    </cacheField>
    <cacheField name="MEMB GUEST UNACCOMPANIED" numFmtId="0">
      <sharedItems containsSemiMixedTypes="0" containsString="0" containsNumber="1" containsInteger="1" minValue="0" maxValue="2"/>
    </cacheField>
    <cacheField name="CORPORATE" numFmtId="0">
      <sharedItems containsSemiMixedTypes="0" containsString="0" containsNumber="1" containsInteger="1" minValue="0" maxValue="120"/>
    </cacheField>
    <cacheField name="EVENT" numFmtId="0">
      <sharedItems containsSemiMixedTypes="0" containsString="0" containsNumber="1" containsInteger="1" minValue="0" maxValue="176"/>
    </cacheField>
    <cacheField name="NON-PLAYING" numFmtId="0">
      <sharedItems containsSemiMixedTypes="0" containsString="0" containsNumber="1" containsInteger="1" minValue="0" maxValue="4"/>
    </cacheField>
    <cacheField name="VOUCHER" numFmtId="0">
      <sharedItems containsSemiMixedTypes="0" containsString="0" containsNumber="1" containsInteger="1" minValue="0" maxValue="4"/>
    </cacheField>
    <cacheField name="RECIP" numFmtId="0">
      <sharedItems containsSemiMixedTypes="0" containsString="0" containsNumber="1" containsInteger="1" minValue="0" maxValue="12"/>
    </cacheField>
    <cacheField name="COMP" numFmtId="0">
      <sharedItems containsSemiMixedTypes="0" containsString="0" containsNumber="1" containsInteger="1" minValue="0" maxValue="1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shop" refreshedDate="45680.58673703704" createdVersion="8" refreshedVersion="8" minRefreshableVersion="3" recordCount="30" xr:uid="{FF2F3A36-D9C4-41B0-B0CE-4A4283E5ABB9}">
  <cacheSource type="worksheet">
    <worksheetSource ref="A1:T31" sheet="Daily Numbers" r:id="rId2"/>
  </cacheSource>
  <cacheFields count="20">
    <cacheField name="DATE" numFmtId="14">
      <sharedItems containsSemiMixedTypes="0" containsNonDate="0" containsDate="1" containsString="0" minDate="2023-04-01T00:00:00" maxDate="2023-05-01T00:00:00"/>
    </cacheField>
    <cacheField name="DAY" numFmtId="0">
      <sharedItems count="7">
        <s v="Sat"/>
        <s v="Sun"/>
        <s v="Mon"/>
        <s v="Tue"/>
        <s v="Wed"/>
        <s v="Thu"/>
        <s v="Fri"/>
      </sharedItems>
    </cacheField>
    <cacheField name="AM FIELD" numFmtId="0">
      <sharedItems containsSemiMixedTypes="0" containsString="0" containsNumber="1" containsInteger="1" minValue="0" maxValue="103"/>
    </cacheField>
    <cacheField name="PM FIELD" numFmtId="0">
      <sharedItems containsSemiMixedTypes="0" containsString="0" containsNumber="1" containsInteger="1" minValue="31" maxValue="99"/>
    </cacheField>
    <cacheField name="TOTAL FIELD" numFmtId="0">
      <sharedItems containsSemiMixedTypes="0" containsString="0" containsNumber="1" containsInteger="1" minValue="78" maxValue="190"/>
    </cacheField>
    <cacheField name="No. GUESTS" numFmtId="0">
      <sharedItems containsSemiMixedTypes="0" containsString="0" containsNumber="1" containsInteger="1" minValue="0" maxValue="190"/>
    </cacheField>
    <cacheField name="MEMBER" numFmtId="0">
      <sharedItems containsSemiMixedTypes="0" containsString="0" containsNumber="1" containsInteger="1" minValue="0" maxValue="170"/>
    </cacheField>
    <cacheField name="MEMBER / GUEST RATIO" numFmtId="9">
      <sharedItems containsSemiMixedTypes="0" containsString="0" containsNumber="1" minValue="0" maxValue="1"/>
    </cacheField>
    <cacheField name="MANAGER INTRO" numFmtId="0">
      <sharedItems containsSemiMixedTypes="0" containsString="0" containsNumber="1" containsInteger="1" minValue="0" maxValue="1"/>
    </cacheField>
    <cacheField name="INTERSTATE" numFmtId="0">
      <sharedItems containsSemiMixedTypes="0" containsString="0" containsNumber="1" containsInteger="1" minValue="0" maxValue="10"/>
    </cacheField>
    <cacheField name="INTERNATIONAL" numFmtId="0">
      <sharedItems containsSemiMixedTypes="0" containsString="0" containsNumber="1" containsInteger="1" minValue="0" maxValue="4"/>
    </cacheField>
    <cacheField name="INDUSTRY GUEST" numFmtId="0">
      <sharedItems containsSemiMixedTypes="0" containsString="0" containsNumber="1" containsInteger="1" minValue="0" maxValue="2"/>
    </cacheField>
    <cacheField name="MEMB GUEST MICLUB" numFmtId="0">
      <sharedItems containsSemiMixedTypes="0" containsString="0" containsNumber="1" containsInteger="1" minValue="0" maxValue="33"/>
    </cacheField>
    <cacheField name="MEMB GUEST UNACCOMPANIED" numFmtId="0">
      <sharedItems containsSemiMixedTypes="0" containsString="0" containsNumber="1" containsInteger="1" minValue="0" maxValue="0"/>
    </cacheField>
    <cacheField name="CORPORATE" numFmtId="0">
      <sharedItems containsSemiMixedTypes="0" containsString="0" containsNumber="1" containsInteger="1" minValue="0" maxValue="190"/>
    </cacheField>
    <cacheField name="EVENT" numFmtId="0">
      <sharedItems containsSemiMixedTypes="0" containsString="0" containsNumber="1" containsInteger="1" minValue="0" maxValue="96"/>
    </cacheField>
    <cacheField name="NON-PLAYING" numFmtId="0">
      <sharedItems containsSemiMixedTypes="0" containsString="0" containsNumber="1" containsInteger="1" minValue="0" maxValue="7"/>
    </cacheField>
    <cacheField name="VOUCHER" numFmtId="0">
      <sharedItems containsSemiMixedTypes="0" containsString="0" containsNumber="1" containsInteger="1" minValue="0" maxValue="8"/>
    </cacheField>
    <cacheField name="RECIP" numFmtId="0">
      <sharedItems containsSemiMixedTypes="0" containsString="0" containsNumber="1" containsInteger="1" minValue="0" maxValue="14"/>
    </cacheField>
    <cacheField name="COMP" numFmtId="0">
      <sharedItems containsSemiMixedTypes="0" containsString="0" containsNumber="1" containsInteger="1" minValue="0" maxValue="1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shop" refreshedDate="45680.594664814816" createdVersion="8" refreshedVersion="8" minRefreshableVersion="3" recordCount="31" xr:uid="{76F293D8-B194-459B-8925-64A008DA22C2}">
  <cacheSource type="worksheet">
    <worksheetSource ref="A1:T32" sheet="Daily Numbers" r:id="rId2"/>
  </cacheSource>
  <cacheFields count="20">
    <cacheField name="DATE" numFmtId="14">
      <sharedItems containsSemiMixedTypes="0" containsNonDate="0" containsDate="1" containsString="0" minDate="2023-03-01T00:00:00" maxDate="2023-04-01T00:00:00"/>
    </cacheField>
    <cacheField name="DAY" numFmtId="0">
      <sharedItems count="7">
        <s v="Wed"/>
        <s v="Thu"/>
        <s v="Fri"/>
        <s v="Sat"/>
        <s v="Sun"/>
        <s v="Mon"/>
        <s v="Tue"/>
      </sharedItems>
    </cacheField>
    <cacheField name="AM FIELD" numFmtId="0">
      <sharedItems containsSemiMixedTypes="0" containsString="0" containsNumber="1" containsInteger="1" minValue="0" maxValue="104"/>
    </cacheField>
    <cacheField name="PM FIELD" numFmtId="0">
      <sharedItems containsSemiMixedTypes="0" containsString="0" containsNumber="1" containsInteger="1" minValue="17" maxValue="144"/>
    </cacheField>
    <cacheField name="TOTAL FIELD" numFmtId="0">
      <sharedItems containsSemiMixedTypes="0" containsString="0" containsNumber="1" containsInteger="1" minValue="81" maxValue="211"/>
    </cacheField>
    <cacheField name="No. GUESTS" numFmtId="0">
      <sharedItems containsSemiMixedTypes="0" containsString="0" containsNumber="1" containsInteger="1" minValue="0" maxValue="110"/>
    </cacheField>
    <cacheField name="MEMBER" numFmtId="0">
      <sharedItems containsSemiMixedTypes="0" containsString="0" containsNumber="1" containsInteger="1" minValue="28" maxValue="174"/>
    </cacheField>
    <cacheField name="GUEST:MEMBER RATIO" numFmtId="9">
      <sharedItems containsSemiMixedTypes="0" containsString="0" containsNumber="1" minValue="0" maxValue="0.77611940298507465"/>
    </cacheField>
    <cacheField name="MANAGER INTRO" numFmtId="0">
      <sharedItems containsSemiMixedTypes="0" containsString="0" containsNumber="1" containsInteger="1" minValue="0" maxValue="1"/>
    </cacheField>
    <cacheField name="INTERSTATE" numFmtId="0">
      <sharedItems containsSemiMixedTypes="0" containsString="0" containsNumber="1" containsInteger="1" minValue="0" maxValue="16"/>
    </cacheField>
    <cacheField name="INTERNATIONAL" numFmtId="0">
      <sharedItems containsSemiMixedTypes="0" containsString="0" containsNumber="1" containsInteger="1" minValue="0" maxValue="30"/>
    </cacheField>
    <cacheField name="INDUSTRY GUEST" numFmtId="0">
      <sharedItems containsSemiMixedTypes="0" containsString="0" containsNumber="1" containsInteger="1" minValue="0" maxValue="0"/>
    </cacheField>
    <cacheField name="MEMB GUEST MICLUB" numFmtId="0">
      <sharedItems containsSemiMixedTypes="0" containsString="0" containsNumber="1" containsInteger="1" minValue="0" maxValue="63"/>
    </cacheField>
    <cacheField name="MEMB GUEST UNACCOMPANIED" numFmtId="0">
      <sharedItems containsSemiMixedTypes="0" containsString="0" containsNumber="1" containsInteger="1" minValue="0" maxValue="10"/>
    </cacheField>
    <cacheField name="CORPORATE" numFmtId="0">
      <sharedItems containsSemiMixedTypes="0" containsString="0" containsNumber="1" containsInteger="1" minValue="0" maxValue="88"/>
    </cacheField>
    <cacheField name="EVENT" numFmtId="0">
      <sharedItems containsSemiMixedTypes="0" containsString="0" containsNumber="1" containsInteger="1" minValue="0" maxValue="56"/>
    </cacheField>
    <cacheField name="NON-PLAYING" numFmtId="0">
      <sharedItems containsSemiMixedTypes="0" containsString="0" containsNumber="1" containsInteger="1" minValue="0" maxValue="6"/>
    </cacheField>
    <cacheField name="VOUCHER" numFmtId="0">
      <sharedItems containsSemiMixedTypes="0" containsString="0" containsNumber="1" containsInteger="1" minValue="0" maxValue="4"/>
    </cacheField>
    <cacheField name="RECIP" numFmtId="0">
      <sharedItems containsSemiMixedTypes="0" containsString="0" containsNumber="1" containsInteger="1" minValue="0" maxValue="16"/>
    </cacheField>
    <cacheField name="COMP" numFmtId="0">
      <sharedItems containsSemiMixedTypes="0" containsString="0" containsNumber="1" containsInteger="1" minValue="0" maxValue="1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shop" refreshedDate="45680.645046527781" createdVersion="8" refreshedVersion="8" minRefreshableVersion="3" recordCount="31" xr:uid="{6E3186E5-1CAB-45D0-ACCA-962DDD675289}">
  <cacheSource type="worksheet">
    <worksheetSource ref="A1:T32" sheet="Daily Numbers" r:id="rId2"/>
  </cacheSource>
  <cacheFields count="20">
    <cacheField name="DATE" numFmtId="14">
      <sharedItems containsSemiMixedTypes="0" containsNonDate="0" containsDate="1" containsString="0" minDate="2023-01-01T00:00:00" maxDate="2023-02-01T00:00:00"/>
    </cacheField>
    <cacheField name="DAY" numFmtId="0">
      <sharedItems count="7">
        <s v="Sun"/>
        <s v="Mon"/>
        <s v="Tue"/>
        <s v="Wed"/>
        <s v="Thu"/>
        <s v="Fri"/>
        <s v="Sat"/>
      </sharedItems>
    </cacheField>
    <cacheField name="AM FIELD" numFmtId="0">
      <sharedItems containsSemiMixedTypes="0" containsString="0" containsNumber="1" containsInteger="1" minValue="42" maxValue="108"/>
    </cacheField>
    <cacheField name="PM FIELD" numFmtId="0">
      <sharedItems containsSemiMixedTypes="0" containsString="0" containsNumber="1" containsInteger="1" minValue="0" maxValue="142"/>
    </cacheField>
    <cacheField name="TOTAL FIELD" numFmtId="0">
      <sharedItems containsSemiMixedTypes="0" containsString="0" containsNumber="1" containsInteger="1" minValue="68" maxValue="194"/>
    </cacheField>
    <cacheField name="No. GUESTS" numFmtId="0">
      <sharedItems containsSemiMixedTypes="0" containsString="0" containsNumber="1" containsInteger="1" minValue="0" maxValue="84"/>
    </cacheField>
    <cacheField name="MEMBER" numFmtId="0">
      <sharedItems containsSemiMixedTypes="0" containsString="0" containsNumber="1" containsInteger="1" minValue="59" maxValue="182"/>
    </cacheField>
    <cacheField name="MEMBER / GUEST RATIO" numFmtId="164">
      <sharedItems containsSemiMixedTypes="0" containsString="0" containsNumber="1" minValue="0" maxValue="0.50909090909090904"/>
    </cacheField>
    <cacheField name="MANAGER INTRO" numFmtId="0">
      <sharedItems containsSemiMixedTypes="0" containsString="0" containsNumber="1" containsInteger="1" minValue="0" maxValue="2"/>
    </cacheField>
    <cacheField name="INTERSTATE" numFmtId="0">
      <sharedItems containsSemiMixedTypes="0" containsString="0" containsNumber="1" containsInteger="1" minValue="0" maxValue="3"/>
    </cacheField>
    <cacheField name="INTERNATIONAL" numFmtId="0">
      <sharedItems containsSemiMixedTypes="0" containsString="0" containsNumber="1" containsInteger="1" minValue="0" maxValue="20"/>
    </cacheField>
    <cacheField name="INDUSTRY GUEST" numFmtId="0">
      <sharedItems containsSemiMixedTypes="0" containsString="0" containsNumber="1" containsInteger="1" minValue="0" maxValue="8"/>
    </cacheField>
    <cacheField name="MEMB GUEST MICLUB" numFmtId="0">
      <sharedItems containsSemiMixedTypes="0" containsString="0" containsNumber="1" containsInteger="1" minValue="0" maxValue="49"/>
    </cacheField>
    <cacheField name="MEMB GUEST UNACCOMPANIED" numFmtId="0">
      <sharedItems containsSemiMixedTypes="0" containsString="0" containsNumber="1" containsInteger="1" minValue="0" maxValue="2"/>
    </cacheField>
    <cacheField name="CORPORATE" numFmtId="0">
      <sharedItems containsSemiMixedTypes="0" containsString="0" containsNumber="1" containsInteger="1" minValue="0" maxValue="0"/>
    </cacheField>
    <cacheField name="EVENT" numFmtId="0">
      <sharedItems containsSemiMixedTypes="0" containsString="0" containsNumber="1" containsInteger="1" minValue="0" maxValue="0"/>
    </cacheField>
    <cacheField name="NON-PLAYING" numFmtId="0">
      <sharedItems containsSemiMixedTypes="0" containsString="0" containsNumber="1" containsInteger="1" minValue="0" maxValue="8"/>
    </cacheField>
    <cacheField name="VOUCHER" numFmtId="0">
      <sharedItems containsSemiMixedTypes="0" containsString="0" containsNumber="1" containsInteger="1" minValue="0" maxValue="13"/>
    </cacheField>
    <cacheField name="RECIP" numFmtId="0">
      <sharedItems containsSemiMixedTypes="0" containsString="0" containsNumber="1" containsInteger="1" minValue="0" maxValue="19"/>
    </cacheField>
    <cacheField name="COMP" numFmtId="0">
      <sharedItems containsSemiMixedTypes="0" containsString="0" containsNumber="1" containsInteger="1" minValue="0" maxValue="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shop" refreshedDate="45680.659324652777" createdVersion="8" refreshedVersion="8" minRefreshableVersion="3" recordCount="31" xr:uid="{22E89EB4-60AE-48E7-BF02-35D541101E03}">
  <cacheSource type="worksheet">
    <worksheetSource ref="A1:T32" sheet="Daily Numbers" r:id="rId2"/>
  </cacheSource>
  <cacheFields count="20">
    <cacheField name="DATE" numFmtId="14">
      <sharedItems containsSemiMixedTypes="0" containsNonDate="0" containsDate="1" containsString="0" minDate="2023-12-01T00:00:00" maxDate="2024-01-01T00:00:00"/>
    </cacheField>
    <cacheField name="DAY" numFmtId="0">
      <sharedItems count="7">
        <s v="Fri"/>
        <s v="Sat"/>
        <s v="Sun"/>
        <s v="Mon"/>
        <s v="Tue"/>
        <s v="Wed"/>
        <s v="Thu"/>
      </sharedItems>
    </cacheField>
    <cacheField name="AM FIELD" numFmtId="0">
      <sharedItems containsSemiMixedTypes="0" containsString="0" containsNumber="1" containsInteger="1" minValue="0" maxValue="144"/>
    </cacheField>
    <cacheField name="PM FIELD" numFmtId="0">
      <sharedItems containsSemiMixedTypes="0" containsString="0" containsNumber="1" containsInteger="1" minValue="0" maxValue="141"/>
    </cacheField>
    <cacheField name="TOTAL FIELD" numFmtId="0">
      <sharedItems containsSemiMixedTypes="0" containsString="0" containsNumber="1" containsInteger="1" minValue="0" maxValue="205"/>
    </cacheField>
    <cacheField name="No. GUESTS" numFmtId="0">
      <sharedItems containsSemiMixedTypes="0" containsString="0" containsNumber="1" containsInteger="1" minValue="0" maxValue="155"/>
    </cacheField>
    <cacheField name="MEMBER" numFmtId="0">
      <sharedItems containsSemiMixedTypes="0" containsString="0" containsNumber="1" containsInteger="1" minValue="0" maxValue="178"/>
    </cacheField>
    <cacheField name="MEMBER / GUEST RATIO" numFmtId="9">
      <sharedItems containsSemiMixedTypes="0" containsString="0" containsNumber="1" minValue="0" maxValue="0.75609756097560976"/>
    </cacheField>
    <cacheField name="MANAGER INTRO" numFmtId="0">
      <sharedItems containsSemiMixedTypes="0" containsString="0" containsNumber="1" containsInteger="1" minValue="0" maxValue="2"/>
    </cacheField>
    <cacheField name="INTERSTATE" numFmtId="0">
      <sharedItems containsSemiMixedTypes="0" containsString="0" containsNumber="1" containsInteger="1" minValue="0" maxValue="0"/>
    </cacheField>
    <cacheField name="INTERNATIONAL" numFmtId="0">
      <sharedItems containsSemiMixedTypes="0" containsString="0" containsNumber="1" containsInteger="1" minValue="0" maxValue="20"/>
    </cacheField>
    <cacheField name="INDUSTRY GUEST" numFmtId="0">
      <sharedItems containsSemiMixedTypes="0" containsString="0" containsNumber="1" containsInteger="1" minValue="0" maxValue="2"/>
    </cacheField>
    <cacheField name="MEMB GUEST MICLUB" numFmtId="0">
      <sharedItems containsSemiMixedTypes="0" containsString="0" containsNumber="1" containsInteger="1" minValue="0" maxValue="50"/>
    </cacheField>
    <cacheField name="MEMB GUEST UNACCOMPANIED" numFmtId="0">
      <sharedItems containsSemiMixedTypes="0" containsString="0" containsNumber="1" containsInteger="1" minValue="0" maxValue="0"/>
    </cacheField>
    <cacheField name="CORPORATE" numFmtId="0">
      <sharedItems containsSemiMixedTypes="0" containsString="0" containsNumber="1" containsInteger="1" minValue="0" maxValue="144"/>
    </cacheField>
    <cacheField name="EVENT" numFmtId="0">
      <sharedItems containsSemiMixedTypes="0" containsString="0" containsNumber="1" containsInteger="1" minValue="0" maxValue="0"/>
    </cacheField>
    <cacheField name="NON-PLAYING" numFmtId="0">
      <sharedItems containsSemiMixedTypes="0" containsString="0" containsNumber="1" containsInteger="1" minValue="0" maxValue="5"/>
    </cacheField>
    <cacheField name="VOUCHER" numFmtId="0">
      <sharedItems containsSemiMixedTypes="0" containsString="0" containsNumber="1" containsInteger="1" minValue="0" maxValue="8"/>
    </cacheField>
    <cacheField name="RECIP" numFmtId="0">
      <sharedItems containsSemiMixedTypes="0" containsString="0" containsNumber="1" containsInteger="1" minValue="0" maxValue="8"/>
    </cacheField>
    <cacheField name="COMP" numFmtId="0">
      <sharedItems containsSemiMixedTypes="0" containsString="0" containsNumber="1" containsInteger="1" minValue="0" maxValue="1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shop" refreshedDate="45680.715114930557" createdVersion="8" refreshedVersion="8" minRefreshableVersion="3" recordCount="28" xr:uid="{2C6F099C-7B2B-45F1-9E4B-F03FF7BC963F}">
  <cacheSource type="worksheet">
    <worksheetSource ref="A1:T29" sheet="Daily Numbers" r:id="rId2"/>
  </cacheSource>
  <cacheFields count="20">
    <cacheField name="DATE" numFmtId="14">
      <sharedItems containsSemiMixedTypes="0" containsNonDate="0" containsDate="1" containsString="0" minDate="2023-02-01T00:00:00" maxDate="2023-03-01T00:00:00"/>
    </cacheField>
    <cacheField name="DAY" numFmtId="0">
      <sharedItems count="7">
        <s v="Wed"/>
        <s v="Thu"/>
        <s v="Fri"/>
        <s v="Sat"/>
        <s v="Sun"/>
        <s v="Mon"/>
        <s v="Tue"/>
      </sharedItems>
    </cacheField>
    <cacheField name="AM FIELD" numFmtId="0">
      <sharedItems containsSemiMixedTypes="0" containsString="0" containsNumber="1" containsInteger="1" minValue="0" maxValue="139"/>
    </cacheField>
    <cacheField name="PM FIELD" numFmtId="0">
      <sharedItems containsSemiMixedTypes="0" containsString="0" containsNumber="1" containsInteger="1" minValue="0" maxValue="151"/>
    </cacheField>
    <cacheField name="TOTAL FIELD" numFmtId="0">
      <sharedItems containsSemiMixedTypes="0" containsString="0" containsNumber="1" containsInteger="1" minValue="75" maxValue="233"/>
    </cacheField>
    <cacheField name="No. GUESTS" numFmtId="0">
      <sharedItems containsSemiMixedTypes="0" containsString="0" containsNumber="1" containsInteger="1" minValue="0" maxValue="140"/>
    </cacheField>
    <cacheField name="MEMBER" numFmtId="0">
      <sharedItems containsSemiMixedTypes="0" containsString="0" containsNumber="1" containsInteger="1" minValue="25" maxValue="194"/>
    </cacheField>
    <cacheField name="MEMBER / GUEST RATIO" numFmtId="164">
      <sharedItems containsSemiMixedTypes="0" containsString="0" containsNumber="1" minValue="0" maxValue="0.77310924369747902"/>
    </cacheField>
    <cacheField name="MANAGER INTRO" numFmtId="0">
      <sharedItems containsSemiMixedTypes="0" containsString="0" containsNumber="1" containsInteger="1" minValue="0" maxValue="1"/>
    </cacheField>
    <cacheField name="INTERSTATE" numFmtId="0">
      <sharedItems containsSemiMixedTypes="0" containsString="0" containsNumber="1" containsInteger="1" minValue="0" maxValue="10"/>
    </cacheField>
    <cacheField name="INTERNATIONAL" numFmtId="0">
      <sharedItems containsSemiMixedTypes="0" containsString="0" containsNumber="1" containsInteger="1" minValue="0" maxValue="28"/>
    </cacheField>
    <cacheField name="INDUSTRY GUEST" numFmtId="0">
      <sharedItems containsSemiMixedTypes="0" containsString="0" containsNumber="1" containsInteger="1" minValue="0" maxValue="6"/>
    </cacheField>
    <cacheField name="MEMB GUEST MICLUB" numFmtId="0">
      <sharedItems containsSemiMixedTypes="0" containsString="0" containsNumber="1" containsInteger="1" minValue="0" maxValue="33"/>
    </cacheField>
    <cacheField name="MEMB GUEST UNACCOMPANIED" numFmtId="0">
      <sharedItems containsSemiMixedTypes="0" containsString="0" containsNumber="1" containsInteger="1" minValue="0" maxValue="8"/>
    </cacheField>
    <cacheField name="CORPORATE" numFmtId="0">
      <sharedItems containsSemiMixedTypes="0" containsString="0" containsNumber="1" containsInteger="1" minValue="0" maxValue="104"/>
    </cacheField>
    <cacheField name="EVENT" numFmtId="0">
      <sharedItems containsSemiMixedTypes="0" containsString="0" containsNumber="1" containsInteger="1" minValue="0" maxValue="32"/>
    </cacheField>
    <cacheField name="NON-PLAYING" numFmtId="0">
      <sharedItems containsSemiMixedTypes="0" containsString="0" containsNumber="1" containsInteger="1" minValue="0" maxValue="7"/>
    </cacheField>
    <cacheField name="VOUCHER" numFmtId="0">
      <sharedItems containsSemiMixedTypes="0" containsString="0" containsNumber="1" containsInteger="1" minValue="0" maxValue="4"/>
    </cacheField>
    <cacheField name="RECIP" numFmtId="0">
      <sharedItems containsSemiMixedTypes="0" containsString="0" containsNumber="1" containsInteger="1" minValue="0" maxValue="16"/>
    </cacheField>
    <cacheField name="COMP" numFmtId="0">
      <sharedItems containsSemiMixedTypes="0" containsString="0" containsNumber="1" containsInteger="1" minValue="0" maxValue="1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shop" refreshedDate="45680.716381828701" createdVersion="8" refreshedVersion="8" minRefreshableVersion="3" recordCount="31" xr:uid="{3719D864-F04A-4D54-B3E5-6BF18AF4433E}">
  <cacheSource type="worksheet">
    <worksheetSource ref="A1:T32" sheet="Daily Numbers" r:id="rId2"/>
  </cacheSource>
  <cacheFields count="20">
    <cacheField name="DATE" numFmtId="14">
      <sharedItems containsSemiMixedTypes="0" containsNonDate="0" containsDate="1" containsString="0" minDate="2023-08-01T00:00:00" maxDate="2023-09-01T00:00:00"/>
    </cacheField>
    <cacheField name="DAY" numFmtId="0">
      <sharedItems count="7">
        <s v="Tue"/>
        <s v="Wed"/>
        <s v="Thu"/>
        <s v="Fri"/>
        <s v="Sat"/>
        <s v="Sun"/>
        <s v="Mon"/>
      </sharedItems>
    </cacheField>
    <cacheField name="AM FIELD" numFmtId="0">
      <sharedItems containsSemiMixedTypes="0" containsString="0" containsNumber="1" containsInteger="1" minValue="0" maxValue="100"/>
    </cacheField>
    <cacheField name="PM FIELD" numFmtId="0">
      <sharedItems containsSemiMixedTypes="0" containsString="0" containsNumber="1" containsInteger="1" minValue="10" maxValue="95"/>
    </cacheField>
    <cacheField name="TOTAL FIELD" numFmtId="0">
      <sharedItems containsSemiMixedTypes="0" containsString="0" containsNumber="1" containsInteger="1" minValue="62" maxValue="195"/>
    </cacheField>
    <cacheField name="No. GUESTS" numFmtId="0">
      <sharedItems containsSemiMixedTypes="0" containsString="0" containsNumber="1" containsInteger="1" minValue="0" maxValue="99"/>
    </cacheField>
    <cacheField name="MEMBER" numFmtId="0">
      <sharedItems containsSemiMixedTypes="0" containsString="0" containsNumber="1" containsInteger="1" minValue="43" maxValue="149"/>
    </cacheField>
    <cacheField name="MEMBER / GUEST RATIO" numFmtId="9">
      <sharedItems containsSemiMixedTypes="0" containsString="0" containsNumber="1" minValue="0" maxValue="0.67910447761194026"/>
    </cacheField>
    <cacheField name="MANAGER INTRO" numFmtId="0">
      <sharedItems containsSemiMixedTypes="0" containsString="0" containsNumber="1" containsInteger="1" minValue="0" maxValue="4"/>
    </cacheField>
    <cacheField name="INTERSTATE" numFmtId="0">
      <sharedItems containsSemiMixedTypes="0" containsString="0" containsNumber="1" containsInteger="1" minValue="0" maxValue="1"/>
    </cacheField>
    <cacheField name="INTERNATIONAL" numFmtId="0">
      <sharedItems containsSemiMixedTypes="0" containsString="0" containsNumber="1" containsInteger="1" minValue="0" maxValue="5"/>
    </cacheField>
    <cacheField name="INDUSTRY GUEST" numFmtId="0">
      <sharedItems containsSemiMixedTypes="0" containsString="0" containsNumber="1" containsInteger="1" minValue="0" maxValue="3"/>
    </cacheField>
    <cacheField name="MEMB GUEST MICLUB" numFmtId="0">
      <sharedItems containsSemiMixedTypes="0" containsString="0" containsNumber="1" containsInteger="1" minValue="0" maxValue="32"/>
    </cacheField>
    <cacheField name="MEMB GUEST UNACCOMPANIED" numFmtId="0">
      <sharedItems containsSemiMixedTypes="0" containsString="0" containsNumber="1" containsInteger="1" minValue="0" maxValue="0"/>
    </cacheField>
    <cacheField name="CORPORATE" numFmtId="0">
      <sharedItems containsSemiMixedTypes="0" containsString="0" containsNumber="1" containsInteger="1" minValue="0" maxValue="92"/>
    </cacheField>
    <cacheField name="EVENT" numFmtId="0">
      <sharedItems containsSemiMixedTypes="0" containsString="0" containsNumber="1" containsInteger="1" minValue="0" maxValue="0"/>
    </cacheField>
    <cacheField name="NON-PLAYING" numFmtId="0">
      <sharedItems containsSemiMixedTypes="0" containsString="0" containsNumber="1" containsInteger="1" minValue="0" maxValue="4"/>
    </cacheField>
    <cacheField name="VOUCHER" numFmtId="0">
      <sharedItems containsSemiMixedTypes="0" containsString="0" containsNumber="1" containsInteger="1" minValue="0" maxValue="62"/>
    </cacheField>
    <cacheField name="RECIP" numFmtId="0">
      <sharedItems containsSemiMixedTypes="0" containsString="0" containsNumber="1" containsInteger="1" minValue="0" maxValue="11"/>
    </cacheField>
    <cacheField name="COMP" numFmtId="0">
      <sharedItems containsSemiMixedTypes="0" containsString="0" containsNumber="1" containsInteger="1" minValue="0" maxValue="1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shop" refreshedDate="45680.718145949075" createdVersion="8" refreshedVersion="8" minRefreshableVersion="3" recordCount="31" xr:uid="{BA2B2721-ACA4-45C9-9E13-EEFDE9DF2409}">
  <cacheSource type="worksheet">
    <worksheetSource ref="A1:T32" sheet="Daily Numbers" r:id="rId2"/>
  </cacheSource>
  <cacheFields count="20">
    <cacheField name="DATE" numFmtId="14">
      <sharedItems containsSemiMixedTypes="0" containsNonDate="0" containsDate="1" containsString="0" minDate="2023-07-01T00:00:00" maxDate="2023-08-01T00:00:00"/>
    </cacheField>
    <cacheField name="DAY" numFmtId="0">
      <sharedItems count="7">
        <s v="Sat"/>
        <s v="Sun"/>
        <s v="Mon"/>
        <s v="Tue"/>
        <s v="Wed"/>
        <s v="Thu"/>
        <s v="Fri"/>
      </sharedItems>
    </cacheField>
    <cacheField name="AM FIELD" numFmtId="0">
      <sharedItems containsSemiMixedTypes="0" containsString="0" containsNumber="1" containsInteger="1" minValue="0" maxValue="95"/>
    </cacheField>
    <cacheField name="PM FIELD" numFmtId="0">
      <sharedItems containsSemiMixedTypes="0" containsString="0" containsNumber="1" containsInteger="1" minValue="0" maxValue="85"/>
    </cacheField>
    <cacheField name="TOTAL FIELD" numFmtId="0">
      <sharedItems containsSemiMixedTypes="0" containsString="0" containsNumber="1" containsInteger="1" minValue="68" maxValue="176"/>
    </cacheField>
    <cacheField name="No. GUESTS" numFmtId="0">
      <sharedItems containsSemiMixedTypes="0" containsString="0" containsNumber="1" containsInteger="1" minValue="0" maxValue="123"/>
    </cacheField>
    <cacheField name="MEMBER" numFmtId="0">
      <sharedItems containsSemiMixedTypes="0" containsString="0" containsNumber="1" containsInteger="1" minValue="0" maxValue="162"/>
    </cacheField>
    <cacheField name="MEMBER / GUEST RATIO" numFmtId="9">
      <sharedItems containsSemiMixedTypes="0" containsString="0" containsNumber="1" minValue="0" maxValue="1"/>
    </cacheField>
    <cacheField name="MANAGER INTRO" numFmtId="0">
      <sharedItems containsSemiMixedTypes="0" containsString="0" containsNumber="1" containsInteger="1" minValue="0" maxValue="2"/>
    </cacheField>
    <cacheField name="INTERSTATE" numFmtId="0">
      <sharedItems containsSemiMixedTypes="0" containsString="0" containsNumber="1" containsInteger="1" minValue="0" maxValue="4"/>
    </cacheField>
    <cacheField name="INTERNATIONAL" numFmtId="0">
      <sharedItems containsSemiMixedTypes="0" containsString="0" containsNumber="1" containsInteger="1" minValue="0" maxValue="4"/>
    </cacheField>
    <cacheField name="INDUSTRY GUEST" numFmtId="0">
      <sharedItems containsSemiMixedTypes="0" containsString="0" containsNumber="1" containsInteger="1" minValue="0" maxValue="1"/>
    </cacheField>
    <cacheField name="MEMB GUEST MICLUB" numFmtId="0">
      <sharedItems containsSemiMixedTypes="0" containsString="0" containsNumber="1" containsInteger="1" minValue="0" maxValue="23"/>
    </cacheField>
    <cacheField name="MEMB GUEST UNACCOMPANIED" numFmtId="0">
      <sharedItems containsSemiMixedTypes="0" containsString="0" containsNumber="1" containsInteger="1" minValue="0" maxValue="0"/>
    </cacheField>
    <cacheField name="CORPORATE" numFmtId="0">
      <sharedItems containsSemiMixedTypes="0" containsString="0" containsNumber="1" containsInteger="1" minValue="0" maxValue="123"/>
    </cacheField>
    <cacheField name="EVENT" numFmtId="0">
      <sharedItems containsSemiMixedTypes="0" containsString="0" containsNumber="1" containsInteger="1" minValue="0" maxValue="0"/>
    </cacheField>
    <cacheField name="NON-PLAYING" numFmtId="0">
      <sharedItems containsSemiMixedTypes="0" containsString="0" containsNumber="1" containsInteger="1" minValue="0" maxValue="6"/>
    </cacheField>
    <cacheField name="VOUCHER" numFmtId="0">
      <sharedItems containsSemiMixedTypes="0" containsString="0" containsNumber="1" containsInteger="1" minValue="0" maxValue="6"/>
    </cacheField>
    <cacheField name="RECIP" numFmtId="0">
      <sharedItems containsSemiMixedTypes="0" containsString="0" containsNumber="1" containsInteger="1" minValue="0" maxValue="8"/>
    </cacheField>
    <cacheField name="COMP" numFmtId="0">
      <sharedItems containsSemiMixedTypes="0" containsString="0" containsNumber="1" containsInteger="1" minValue="0" maxValue="1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shop" refreshedDate="45867.502823263887" createdVersion="8" refreshedVersion="8" minRefreshableVersion="3" recordCount="30" xr:uid="{6724F4FB-C06B-4B7A-A35D-B624D8B7BD50}">
  <cacheSource type="worksheet">
    <worksheetSource ref="A1:T31" sheet="Sheet1" r:id="rId2"/>
  </cacheSource>
  <cacheFields count="20">
    <cacheField name="DATE" numFmtId="14">
      <sharedItems containsSemiMixedTypes="0" containsNonDate="0" containsDate="1" containsString="0" minDate="2023-09-01T00:00:00" maxDate="2023-10-01T00:00:00"/>
    </cacheField>
    <cacheField name="DAY" numFmtId="0">
      <sharedItems count="7">
        <s v="Fri"/>
        <s v="Sat"/>
        <s v="Sun"/>
        <s v="Mon"/>
        <s v="Tue"/>
        <s v="Wed"/>
        <s v="Thu"/>
      </sharedItems>
    </cacheField>
    <cacheField name="AM FIELD" numFmtId="0">
      <sharedItems containsSemiMixedTypes="0" containsString="0" containsNumber="1" containsInteger="1" minValue="0" maxValue="103"/>
    </cacheField>
    <cacheField name="PM FIELD" numFmtId="0">
      <sharedItems containsSemiMixedTypes="0" containsString="0" containsNumber="1" containsInteger="1" minValue="0" maxValue="87"/>
    </cacheField>
    <cacheField name="TOTAL FIELD" numFmtId="0">
      <sharedItems containsSemiMixedTypes="0" containsString="0" containsNumber="1" containsInteger="1" minValue="38" maxValue="190"/>
    </cacheField>
    <cacheField name="No. GUESTS" numFmtId="0">
      <sharedItems containsSemiMixedTypes="0" containsString="0" containsNumber="1" containsInteger="1" minValue="0" maxValue="97"/>
    </cacheField>
    <cacheField name="MEMBER" numFmtId="0">
      <sharedItems containsSemiMixedTypes="0" containsString="0" containsNumber="1" containsInteger="1" minValue="8" maxValue="169"/>
    </cacheField>
    <cacheField name="MEMBER / GUEST RATIO" numFmtId="9">
      <sharedItems containsSemiMixedTypes="0" containsString="0" containsNumber="1" minValue="0" maxValue="0.78947368421052633"/>
    </cacheField>
    <cacheField name="MANAGER INTRO" numFmtId="0">
      <sharedItems containsSemiMixedTypes="0" containsString="0" containsNumber="1" containsInteger="1" minValue="0" maxValue="4"/>
    </cacheField>
    <cacheField name="INTERSTATE" numFmtId="0">
      <sharedItems containsSemiMixedTypes="0" containsString="0" containsNumber="1" containsInteger="1" minValue="0" maxValue="3"/>
    </cacheField>
    <cacheField name="INTERNATIONAL" numFmtId="0">
      <sharedItems containsSemiMixedTypes="0" containsString="0" containsNumber="1" containsInteger="1" minValue="0" maxValue="2"/>
    </cacheField>
    <cacheField name="INDUSTRY GUEST" numFmtId="0">
      <sharedItems containsSemiMixedTypes="0" containsString="0" containsNumber="1" containsInteger="1" minValue="0" maxValue="0"/>
    </cacheField>
    <cacheField name="MEMB GUEST MICLUB" numFmtId="0">
      <sharedItems containsSemiMixedTypes="0" containsString="0" containsNumber="1" containsInteger="1" minValue="0" maxValue="36"/>
    </cacheField>
    <cacheField name="MEMB GUEST UNACCOMPANIED" numFmtId="0">
      <sharedItems containsSemiMixedTypes="0" containsString="0" containsNumber="1" containsInteger="1" minValue="0" maxValue="0"/>
    </cacheField>
    <cacheField name="CORPORATE" numFmtId="0">
      <sharedItems containsSemiMixedTypes="0" containsString="0" containsNumber="1" containsInteger="1" minValue="0" maxValue="92"/>
    </cacheField>
    <cacheField name="EVENT" numFmtId="0">
      <sharedItems containsSemiMixedTypes="0" containsString="0" containsNumber="1" containsInteger="1" minValue="0" maxValue="56"/>
    </cacheField>
    <cacheField name="NON-PLAYING" numFmtId="0">
      <sharedItems containsSemiMixedTypes="0" containsString="0" containsNumber="1" containsInteger="1" minValue="0" maxValue="0"/>
    </cacheField>
    <cacheField name="VOUCHER" numFmtId="0">
      <sharedItems containsSemiMixedTypes="0" containsString="0" containsNumber="1" containsInteger="1" minValue="0" maxValue="6"/>
    </cacheField>
    <cacheField name="RECIP" numFmtId="0">
      <sharedItems containsSemiMixedTypes="0" containsString="0" containsNumber="1" containsInteger="1" minValue="0" maxValue="16"/>
    </cacheField>
    <cacheField name="COMP" numFmtId="0">
      <sharedItems containsSemiMixedTypes="0" containsString="0" containsNumber="1" containsInteger="1" minValue="0" maxValue="1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 Shop" refreshedDate="45874.506328587966" createdVersion="8" refreshedVersion="8" minRefreshableVersion="3" recordCount="31" xr:uid="{25FA223F-56C9-4AD1-B8D2-C23EC3FA2666}">
  <cacheSource type="worksheet">
    <worksheetSource ref="A1:T32" sheet="Sheet1" r:id="rId2"/>
  </cacheSource>
  <cacheFields count="20">
    <cacheField name="DATE" numFmtId="14">
      <sharedItems containsSemiMixedTypes="0" containsNonDate="0" containsDate="1" containsString="0" minDate="2023-10-01T00:00:00" maxDate="2023-11-01T00:00:00"/>
    </cacheField>
    <cacheField name="DAY" numFmtId="0">
      <sharedItems count="7">
        <s v="Sun"/>
        <s v="Mon"/>
        <s v="Tue"/>
        <s v="Wed"/>
        <s v="Thu"/>
        <s v="Fri"/>
        <s v="Sat"/>
      </sharedItems>
    </cacheField>
    <cacheField name="AM FIELD" numFmtId="0">
      <sharedItems containsSemiMixedTypes="0" containsString="0" containsNumber="1" containsInteger="1" minValue="0" maxValue="104"/>
    </cacheField>
    <cacheField name="PM FIELD" numFmtId="0">
      <sharedItems containsSemiMixedTypes="0" containsString="0" containsNumber="1" containsInteger="1" minValue="0" maxValue="108"/>
    </cacheField>
    <cacheField name="TOTAL FIELD" numFmtId="0">
      <sharedItems containsSemiMixedTypes="0" containsString="0" containsNumber="1" containsInteger="1" minValue="8" maxValue="199"/>
    </cacheField>
    <cacheField name="No. GUESTS" numFmtId="0">
      <sharedItems containsSemiMixedTypes="0" containsString="0" containsNumber="1" containsInteger="1" minValue="0" maxValue="100"/>
    </cacheField>
    <cacheField name="MEMBER" numFmtId="0">
      <sharedItems containsSemiMixedTypes="0" containsString="0" containsNumber="1" containsInteger="1" minValue="8" maxValue="176"/>
    </cacheField>
    <cacheField name="MEMBER / GUEST RATIO" numFmtId="9">
      <sharedItems containsSemiMixedTypes="0" containsString="0" containsNumber="1" minValue="0" maxValue="0.71014492753623193"/>
    </cacheField>
    <cacheField name="MANAGER INTRO" numFmtId="0">
      <sharedItems containsSemiMixedTypes="0" containsString="0" containsNumber="1" containsInteger="1" minValue="0" maxValue="4"/>
    </cacheField>
    <cacheField name="INTERSTATE" numFmtId="0">
      <sharedItems containsSemiMixedTypes="0" containsString="0" containsNumber="1" containsInteger="1" minValue="0" maxValue="4"/>
    </cacheField>
    <cacheField name="INTERNATIONAL" numFmtId="0">
      <sharedItems containsSemiMixedTypes="0" containsString="0" containsNumber="1" containsInteger="1" minValue="0" maxValue="13"/>
    </cacheField>
    <cacheField name="INDUSTRY GUEST" numFmtId="0">
      <sharedItems containsSemiMixedTypes="0" containsString="0" containsNumber="1" containsInteger="1" minValue="0" maxValue="0"/>
    </cacheField>
    <cacheField name="MEMB GUEST MICLUB" numFmtId="0">
      <sharedItems containsSemiMixedTypes="0" containsString="0" containsNumber="1" containsInteger="1" minValue="0" maxValue="55"/>
    </cacheField>
    <cacheField name="MEMB GUEST UNACCOMPANIED" numFmtId="0">
      <sharedItems containsSemiMixedTypes="0" containsString="0" containsNumber="1" containsInteger="1" minValue="0" maxValue="2"/>
    </cacheField>
    <cacheField name="CORPORATE" numFmtId="0">
      <sharedItems containsSemiMixedTypes="0" containsString="0" containsNumber="1" containsInteger="1" minValue="0" maxValue="90"/>
    </cacheField>
    <cacheField name="EVENT" numFmtId="0">
      <sharedItems containsSemiMixedTypes="0" containsString="0" containsNumber="1" containsInteger="1" minValue="0" maxValue="90"/>
    </cacheField>
    <cacheField name="NON-PLAYING" numFmtId="0">
      <sharedItems containsSemiMixedTypes="0" containsString="0" containsNumber="1" containsInteger="1" minValue="0" maxValue="0"/>
    </cacheField>
    <cacheField name="VOUCHER" numFmtId="0">
      <sharedItems containsSemiMixedTypes="0" containsString="0" containsNumber="1" containsInteger="1" minValue="0" maxValue="8"/>
    </cacheField>
    <cacheField name="RECIP" numFmtId="0">
      <sharedItems containsSemiMixedTypes="0" containsString="0" containsNumber="1" containsInteger="1" minValue="0" maxValue="10"/>
    </cacheField>
    <cacheField name="COMP" numFmtId="0">
      <sharedItems containsSemiMixedTypes="0" containsString="0" containsNumber="1" containsInteger="1" minValue="0" maxValue="1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 Shop" refreshedDate="45874.691632638889" createdVersion="8" refreshedVersion="8" minRefreshableVersion="3" recordCount="30" xr:uid="{182D27BF-158F-450E-8FA3-1ED5BF33DAA7}">
  <cacheSource type="worksheet">
    <worksheetSource ref="A1:T31" sheet="Sheet1" r:id="rId2"/>
  </cacheSource>
  <cacheFields count="20">
    <cacheField name="DATE" numFmtId="14">
      <sharedItems containsSemiMixedTypes="0" containsNonDate="0" containsDate="1" containsString="0" minDate="2023-11-01T00:00:00" maxDate="2023-12-01T00:00:00"/>
    </cacheField>
    <cacheField name="DAY" numFmtId="0">
      <sharedItems count="7">
        <s v="Wed"/>
        <s v="Thu"/>
        <s v="Fri"/>
        <s v="Sat"/>
        <s v="Sun"/>
        <s v="Mon"/>
        <s v="Tue"/>
      </sharedItems>
    </cacheField>
    <cacheField name="AM FIELD" numFmtId="0">
      <sharedItems containsSemiMixedTypes="0" containsString="0" containsNumber="1" containsInteger="1" minValue="0" maxValue="152"/>
    </cacheField>
    <cacheField name="PM FIELD" numFmtId="0">
      <sharedItems containsSemiMixedTypes="0" containsString="0" containsNumber="1" containsInteger="1" minValue="0" maxValue="135"/>
    </cacheField>
    <cacheField name="TOTAL FIELD" numFmtId="0">
      <sharedItems containsSemiMixedTypes="0" containsString="0" containsNumber="1" containsInteger="1" minValue="50" maxValue="219"/>
    </cacheField>
    <cacheField name="No. GUESTS" numFmtId="0">
      <sharedItems containsSemiMixedTypes="0" containsString="0" containsNumber="1" containsInteger="1" minValue="0" maxValue="108"/>
    </cacheField>
    <cacheField name="MEMBER" numFmtId="0">
      <sharedItems containsSemiMixedTypes="0" containsString="0" containsNumber="1" containsInteger="1" minValue="22" maxValue="164"/>
    </cacheField>
    <cacheField name="MEMBER / GUEST RATIO" numFmtId="9">
      <sharedItems containsSemiMixedTypes="0" containsString="0" containsNumber="1" minValue="0" maxValue="0.63529411764705879"/>
    </cacheField>
    <cacheField name="MANAGER INTRO" numFmtId="0">
      <sharedItems containsSemiMixedTypes="0" containsString="0" containsNumber="1" containsInteger="1" minValue="0" maxValue="2"/>
    </cacheField>
    <cacheField name="INTERSTATE" numFmtId="0">
      <sharedItems containsSemiMixedTypes="0" containsString="0" containsNumber="1" containsInteger="1" minValue="0" maxValue="4"/>
    </cacheField>
    <cacheField name="INTERNATIONAL" numFmtId="0">
      <sharedItems containsSemiMixedTypes="0" containsString="0" containsNumber="1" containsInteger="1" minValue="0" maxValue="18"/>
    </cacheField>
    <cacheField name="INDUSTRY GUEST" numFmtId="0">
      <sharedItems containsSemiMixedTypes="0" containsString="0" containsNumber="1" containsInteger="1" minValue="0" maxValue="1"/>
    </cacheField>
    <cacheField name="MEMB GUEST MICLUB" numFmtId="0">
      <sharedItems containsSemiMixedTypes="0" containsString="0" containsNumber="1" containsInteger="1" minValue="0" maxValue="41"/>
    </cacheField>
    <cacheField name="MEMB GUEST UNACCOMPANIED" numFmtId="0">
      <sharedItems containsSemiMixedTypes="0" containsString="0" containsNumber="1" containsInteger="1" minValue="0" maxValue="3"/>
    </cacheField>
    <cacheField name="CORPORATE" numFmtId="0">
      <sharedItems containsSemiMixedTypes="0" containsString="0" containsNumber="1" containsInteger="1" minValue="0" maxValue="92"/>
    </cacheField>
    <cacheField name="EVENT" numFmtId="0">
      <sharedItems containsSemiMixedTypes="0" containsString="0" containsNumber="1" containsInteger="1" minValue="0" maxValue="32"/>
    </cacheField>
    <cacheField name="NON-PLAYING" numFmtId="0">
      <sharedItems containsSemiMixedTypes="0" containsString="0" containsNumber="1" containsInteger="1" minValue="0" maxValue="0"/>
    </cacheField>
    <cacheField name="VOUCHER" numFmtId="0">
      <sharedItems containsSemiMixedTypes="0" containsString="0" containsNumber="1" containsInteger="1" minValue="0" maxValue="8"/>
    </cacheField>
    <cacheField name="RECIP" numFmtId="0">
      <sharedItems containsSemiMixedTypes="0" containsString="0" containsNumber="1" containsInteger="1" minValue="0" maxValue="11"/>
    </cacheField>
    <cacheField name="COMP" numFmtId="0">
      <sharedItems containsSemiMixedTypes="0" containsString="0" containsNumber="1" containsInteger="1" minValue="0" maxValue="1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3-06-01T00:00:00"/>
    <x v="0"/>
    <n v="73"/>
    <n v="84"/>
    <n v="157"/>
    <n v="0"/>
    <n v="154"/>
    <n v="0"/>
    <n v="0"/>
    <n v="0"/>
    <n v="0"/>
    <n v="0"/>
    <n v="0"/>
    <n v="0"/>
    <n v="0"/>
    <n v="3"/>
    <n v="0"/>
    <n v="0"/>
    <n v="156"/>
  </r>
  <r>
    <d v="2023-06-02T00:00:00"/>
    <x v="1"/>
    <n v="79"/>
    <n v="86"/>
    <n v="165"/>
    <n v="105"/>
    <n v="58"/>
    <n v="0.63636363636363635"/>
    <n v="0"/>
    <n v="0"/>
    <n v="1"/>
    <n v="0"/>
    <n v="17"/>
    <n v="0"/>
    <n v="0"/>
    <n v="2"/>
    <n v="84"/>
    <n v="3"/>
    <n v="105"/>
  </r>
  <r>
    <d v="2023-06-03T00:00:00"/>
    <x v="2"/>
    <n v="75"/>
    <n v="63"/>
    <n v="138"/>
    <n v="1"/>
    <n v="136"/>
    <n v="7.246376811594203E-3"/>
    <n v="0"/>
    <n v="0"/>
    <n v="0"/>
    <n v="0"/>
    <n v="0"/>
    <n v="0"/>
    <n v="0"/>
    <n v="1"/>
    <n v="0"/>
    <n v="1"/>
    <n v="123"/>
  </r>
  <r>
    <d v="2023-06-04T00:00:00"/>
    <x v="3"/>
    <n v="86"/>
    <n v="89"/>
    <n v="175"/>
    <n v="10"/>
    <n v="162"/>
    <n v="5.7142857142857141E-2"/>
    <n v="0"/>
    <n v="0"/>
    <n v="0"/>
    <n v="0"/>
    <n v="10"/>
    <n v="0"/>
    <n v="0"/>
    <n v="3"/>
    <n v="0"/>
    <n v="0"/>
    <n v="139"/>
  </r>
  <r>
    <d v="2023-06-05T00:00:00"/>
    <x v="4"/>
    <n v="0"/>
    <n v="89"/>
    <n v="89"/>
    <n v="2"/>
    <n v="85"/>
    <n v="2.247191011235955E-2"/>
    <n v="0"/>
    <n v="0"/>
    <n v="0"/>
    <n v="0"/>
    <n v="1"/>
    <n v="0"/>
    <n v="0"/>
    <n v="2"/>
    <n v="1"/>
    <n v="0"/>
    <n v="59"/>
  </r>
  <r>
    <d v="2023-06-06T00:00:00"/>
    <x v="5"/>
    <n v="83"/>
    <n v="36"/>
    <n v="119"/>
    <n v="0"/>
    <n v="119"/>
    <n v="0"/>
    <n v="0"/>
    <n v="0"/>
    <n v="0"/>
    <n v="0"/>
    <n v="0"/>
    <n v="0"/>
    <n v="0"/>
    <n v="0"/>
    <n v="0"/>
    <n v="0"/>
    <n v="0"/>
  </r>
  <r>
    <d v="2023-06-07T00:00:00"/>
    <x v="6"/>
    <n v="26"/>
    <n v="108"/>
    <n v="134"/>
    <n v="110"/>
    <n v="24"/>
    <n v="0.82089552238805974"/>
    <n v="0"/>
    <n v="0"/>
    <n v="0"/>
    <n v="0"/>
    <n v="2"/>
    <n v="0"/>
    <n v="108"/>
    <n v="0"/>
    <n v="0"/>
    <n v="0"/>
    <n v="0"/>
  </r>
  <r>
    <d v="2023-06-08T00:00:00"/>
    <x v="0"/>
    <n v="68"/>
    <n v="75"/>
    <n v="143"/>
    <n v="1"/>
    <n v="140"/>
    <n v="6.993006993006993E-3"/>
    <n v="0"/>
    <n v="0"/>
    <n v="0"/>
    <n v="0"/>
    <n v="0"/>
    <n v="0"/>
    <n v="0"/>
    <n v="2"/>
    <n v="0"/>
    <n v="1"/>
    <n v="131"/>
  </r>
  <r>
    <d v="2023-06-09T00:00:00"/>
    <x v="1"/>
    <n v="85"/>
    <n v="62"/>
    <n v="147"/>
    <n v="39"/>
    <n v="106"/>
    <n v="0.26530612244897961"/>
    <n v="0"/>
    <n v="0"/>
    <n v="0"/>
    <n v="0"/>
    <n v="27"/>
    <n v="0"/>
    <n v="0"/>
    <n v="2"/>
    <n v="12"/>
    <n v="0"/>
    <n v="60"/>
  </r>
  <r>
    <d v="2023-06-10T00:00:00"/>
    <x v="2"/>
    <n v="68"/>
    <n v="59"/>
    <n v="127"/>
    <n v="54"/>
    <n v="71"/>
    <n v="0.42519685039370081"/>
    <n v="0"/>
    <n v="0"/>
    <n v="0"/>
    <n v="0"/>
    <n v="51"/>
    <n v="0"/>
    <n v="0"/>
    <n v="2"/>
    <n v="0"/>
    <n v="3"/>
    <n v="97"/>
  </r>
  <r>
    <d v="2023-06-11T00:00:00"/>
    <x v="3"/>
    <n v="76"/>
    <n v="78"/>
    <n v="154"/>
    <n v="15"/>
    <n v="134"/>
    <n v="9.7402597402597407E-2"/>
    <n v="0"/>
    <n v="0"/>
    <n v="0"/>
    <n v="0"/>
    <n v="15"/>
    <n v="0"/>
    <n v="0"/>
    <n v="5"/>
    <n v="0"/>
    <n v="0"/>
    <n v="128"/>
  </r>
  <r>
    <d v="2023-06-12T00:00:00"/>
    <x v="4"/>
    <n v="89"/>
    <n v="75"/>
    <n v="164"/>
    <n v="35"/>
    <n v="129"/>
    <n v="0.21341463414634146"/>
    <n v="0"/>
    <n v="3"/>
    <n v="0"/>
    <n v="0"/>
    <n v="30"/>
    <n v="0"/>
    <n v="0"/>
    <n v="0"/>
    <n v="2"/>
    <n v="0"/>
    <n v="128"/>
  </r>
  <r>
    <d v="2023-06-13T00:00:00"/>
    <x v="5"/>
    <n v="73"/>
    <n v="29"/>
    <n v="102"/>
    <n v="0"/>
    <n v="102"/>
    <n v="0"/>
    <n v="0"/>
    <n v="0"/>
    <n v="0"/>
    <n v="0"/>
    <n v="0"/>
    <n v="0"/>
    <n v="0"/>
    <n v="0"/>
    <n v="0"/>
    <n v="0"/>
    <n v="0"/>
  </r>
  <r>
    <d v="2023-06-14T00:00:00"/>
    <x v="6"/>
    <n v="36"/>
    <n v="33"/>
    <n v="69"/>
    <n v="7"/>
    <n v="62"/>
    <n v="0.10144927536231885"/>
    <n v="0"/>
    <n v="0"/>
    <n v="0"/>
    <n v="0"/>
    <n v="5"/>
    <n v="0"/>
    <n v="0"/>
    <n v="0"/>
    <n v="0"/>
    <n v="2"/>
    <n v="13"/>
  </r>
  <r>
    <d v="2023-06-15T00:00:00"/>
    <x v="0"/>
    <n v="70"/>
    <n v="79"/>
    <n v="149"/>
    <n v="3"/>
    <n v="144"/>
    <n v="2.0134228187919462E-2"/>
    <n v="2"/>
    <n v="0"/>
    <n v="0"/>
    <n v="0"/>
    <n v="0"/>
    <n v="0"/>
    <n v="0"/>
    <n v="2"/>
    <n v="0"/>
    <n v="1"/>
    <n v="148"/>
  </r>
  <r>
    <d v="2023-06-16T00:00:00"/>
    <x v="1"/>
    <n v="58"/>
    <n v="74"/>
    <n v="132"/>
    <n v="22"/>
    <n v="110"/>
    <n v="0.16666666666666666"/>
    <n v="0"/>
    <n v="2"/>
    <n v="0"/>
    <n v="0"/>
    <n v="16"/>
    <n v="0"/>
    <n v="0"/>
    <n v="0"/>
    <n v="0"/>
    <n v="4"/>
    <n v="55"/>
  </r>
  <r>
    <d v="2023-06-17T00:00:00"/>
    <x v="2"/>
    <n v="82"/>
    <n v="48"/>
    <n v="130"/>
    <n v="1"/>
    <n v="128"/>
    <n v="7.6923076923076927E-3"/>
    <n v="0"/>
    <n v="0"/>
    <n v="0"/>
    <n v="0"/>
    <n v="0"/>
    <n v="0"/>
    <n v="0"/>
    <n v="1"/>
    <n v="0"/>
    <n v="1"/>
    <n v="120"/>
  </r>
  <r>
    <d v="2023-06-18T00:00:00"/>
    <x v="3"/>
    <n v="85"/>
    <n v="79"/>
    <n v="164"/>
    <n v="14"/>
    <n v="146"/>
    <n v="8.5365853658536592E-2"/>
    <n v="0"/>
    <n v="0"/>
    <n v="0"/>
    <n v="0"/>
    <n v="12"/>
    <n v="0"/>
    <n v="0"/>
    <n v="4"/>
    <n v="0"/>
    <n v="2"/>
    <n v="133"/>
  </r>
  <r>
    <d v="2023-06-19T00:00:00"/>
    <x v="4"/>
    <n v="18"/>
    <n v="35"/>
    <n v="53"/>
    <n v="5"/>
    <n v="47"/>
    <n v="9.4339622641509441E-2"/>
    <n v="0"/>
    <n v="2"/>
    <n v="0"/>
    <n v="0"/>
    <n v="2"/>
    <n v="0"/>
    <n v="0"/>
    <n v="1"/>
    <n v="0"/>
    <n v="1"/>
    <n v="24"/>
  </r>
  <r>
    <d v="2023-06-20T00:00:00"/>
    <x v="5"/>
    <n v="56"/>
    <n v="34"/>
    <n v="90"/>
    <n v="0"/>
    <n v="89"/>
    <n v="0"/>
    <n v="0"/>
    <n v="0"/>
    <n v="0"/>
    <n v="0"/>
    <n v="0"/>
    <n v="0"/>
    <n v="0"/>
    <n v="1"/>
    <n v="0"/>
    <n v="0"/>
    <n v="0"/>
  </r>
  <r>
    <d v="2023-06-21T00:00:00"/>
    <x v="6"/>
    <n v="14"/>
    <n v="61"/>
    <n v="75"/>
    <n v="10"/>
    <n v="64"/>
    <n v="0.13333333333333333"/>
    <n v="4"/>
    <n v="0"/>
    <n v="4"/>
    <n v="0"/>
    <n v="0"/>
    <n v="0"/>
    <n v="2"/>
    <n v="1"/>
    <n v="0"/>
    <n v="0"/>
    <n v="8"/>
  </r>
  <r>
    <d v="2023-06-22T00:00:00"/>
    <x v="0"/>
    <n v="69"/>
    <n v="80"/>
    <n v="149"/>
    <n v="0"/>
    <n v="148"/>
    <n v="0"/>
    <n v="0"/>
    <n v="0"/>
    <n v="0"/>
    <n v="0"/>
    <n v="0"/>
    <n v="0"/>
    <n v="0"/>
    <n v="1"/>
    <n v="0"/>
    <n v="0"/>
    <n v="144"/>
  </r>
  <r>
    <d v="2023-06-23T00:00:00"/>
    <x v="1"/>
    <n v="73"/>
    <n v="48"/>
    <n v="121"/>
    <n v="32"/>
    <n v="84"/>
    <n v="0.26446280991735538"/>
    <n v="0"/>
    <n v="0"/>
    <n v="0"/>
    <n v="0"/>
    <n v="18"/>
    <n v="0"/>
    <n v="0"/>
    <n v="5"/>
    <n v="8"/>
    <n v="6"/>
    <n v="64"/>
  </r>
  <r>
    <d v="2023-06-24T00:00:00"/>
    <x v="2"/>
    <n v="79"/>
    <n v="50"/>
    <n v="129"/>
    <n v="0"/>
    <n v="128"/>
    <n v="0"/>
    <n v="0"/>
    <n v="0"/>
    <n v="0"/>
    <n v="0"/>
    <n v="0"/>
    <n v="0"/>
    <n v="0"/>
    <n v="1"/>
    <n v="0"/>
    <n v="0"/>
    <n v="108"/>
  </r>
  <r>
    <d v="2023-06-25T00:00:00"/>
    <x v="3"/>
    <n v="84"/>
    <n v="78"/>
    <n v="162"/>
    <n v="70"/>
    <n v="91"/>
    <n v="0.43209876543209874"/>
    <n v="0"/>
    <n v="0"/>
    <n v="0"/>
    <n v="0"/>
    <n v="0"/>
    <n v="0"/>
    <n v="0"/>
    <n v="1"/>
    <n v="70"/>
    <n v="0"/>
    <n v="120"/>
  </r>
  <r>
    <d v="2023-06-26T00:00:00"/>
    <x v="4"/>
    <n v="45"/>
    <n v="44"/>
    <n v="89"/>
    <n v="8"/>
    <n v="80"/>
    <n v="8.98876404494382E-2"/>
    <n v="0"/>
    <n v="0"/>
    <n v="0"/>
    <n v="0"/>
    <n v="6"/>
    <n v="0"/>
    <n v="0"/>
    <n v="1"/>
    <n v="0"/>
    <n v="2"/>
    <n v="50"/>
  </r>
  <r>
    <d v="2023-06-27T00:00:00"/>
    <x v="5"/>
    <n v="65"/>
    <n v="33"/>
    <n v="98"/>
    <n v="28"/>
    <n v="70"/>
    <n v="0.2857142857142857"/>
    <n v="0"/>
    <n v="0"/>
    <n v="0"/>
    <n v="0"/>
    <n v="28"/>
    <n v="0"/>
    <n v="0"/>
    <n v="0"/>
    <n v="0"/>
    <n v="0"/>
    <n v="0"/>
  </r>
  <r>
    <d v="2023-06-28T00:00:00"/>
    <x v="6"/>
    <n v="58"/>
    <n v="42"/>
    <n v="100"/>
    <n v="19"/>
    <n v="78"/>
    <n v="0.19"/>
    <n v="0"/>
    <n v="0"/>
    <n v="0"/>
    <n v="0"/>
    <n v="15"/>
    <n v="0"/>
    <n v="0"/>
    <n v="3"/>
    <n v="4"/>
    <n v="0"/>
    <n v="32"/>
  </r>
  <r>
    <d v="2023-06-29T00:00:00"/>
    <x v="0"/>
    <n v="61"/>
    <n v="81"/>
    <n v="142"/>
    <n v="0"/>
    <n v="142"/>
    <n v="0"/>
    <n v="0"/>
    <n v="0"/>
    <n v="0"/>
    <n v="0"/>
    <n v="0"/>
    <n v="0"/>
    <n v="0"/>
    <n v="0"/>
    <n v="0"/>
    <n v="0"/>
    <n v="136"/>
  </r>
  <r>
    <d v="2023-06-30T00:00:00"/>
    <x v="1"/>
    <n v="77"/>
    <n v="58"/>
    <n v="135"/>
    <n v="25"/>
    <n v="108"/>
    <n v="0.18518518518518517"/>
    <n v="0"/>
    <n v="0"/>
    <n v="1"/>
    <n v="0"/>
    <n v="22"/>
    <n v="0"/>
    <n v="0"/>
    <n v="2"/>
    <n v="2"/>
    <n v="0"/>
    <n v="4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3-05-01T00:00:00"/>
    <x v="0"/>
    <n v="88"/>
    <n v="88"/>
    <n v="176"/>
    <n v="176"/>
    <n v="0"/>
    <n v="1"/>
    <n v="0"/>
    <n v="0"/>
    <n v="0"/>
    <n v="0"/>
    <n v="0"/>
    <n v="0"/>
    <n v="0"/>
    <n v="176"/>
    <n v="0"/>
    <n v="0"/>
    <n v="0"/>
    <n v="0"/>
  </r>
  <r>
    <d v="2023-05-02T00:00:00"/>
    <x v="1"/>
    <n v="90"/>
    <n v="30"/>
    <n v="120"/>
    <n v="0"/>
    <n v="120"/>
    <n v="0"/>
    <n v="0"/>
    <n v="0"/>
    <n v="0"/>
    <n v="0"/>
    <n v="0"/>
    <n v="0"/>
    <n v="0"/>
    <n v="0"/>
    <n v="0"/>
    <n v="0"/>
    <n v="0"/>
    <n v="0"/>
  </r>
  <r>
    <d v="2023-05-03T00:00:00"/>
    <x v="2"/>
    <n v="96"/>
    <n v="61"/>
    <n v="157"/>
    <n v="106"/>
    <n v="51"/>
    <n v="0.67515923566878977"/>
    <n v="0"/>
    <n v="0"/>
    <n v="8"/>
    <n v="0"/>
    <n v="2"/>
    <n v="0"/>
    <n v="96"/>
    <n v="0"/>
    <n v="0"/>
    <n v="0"/>
    <n v="0"/>
    <n v="0"/>
  </r>
  <r>
    <d v="2023-05-04T00:00:00"/>
    <x v="3"/>
    <n v="80"/>
    <n v="73"/>
    <n v="153"/>
    <n v="0"/>
    <n v="151"/>
    <n v="0"/>
    <n v="0"/>
    <n v="0"/>
    <n v="0"/>
    <n v="0"/>
    <n v="0"/>
    <n v="0"/>
    <n v="0"/>
    <n v="0"/>
    <n v="2"/>
    <n v="0"/>
    <n v="0"/>
    <n v="147"/>
  </r>
  <r>
    <d v="2023-05-05T00:00:00"/>
    <x v="4"/>
    <n v="99"/>
    <n v="55"/>
    <n v="154"/>
    <n v="22"/>
    <n v="132"/>
    <n v="0.14285714285714285"/>
    <n v="0"/>
    <n v="3"/>
    <n v="2"/>
    <n v="0"/>
    <n v="5"/>
    <n v="2"/>
    <n v="0"/>
    <n v="0"/>
    <n v="0"/>
    <n v="4"/>
    <n v="6"/>
    <n v="64"/>
  </r>
  <r>
    <d v="2023-05-06T00:00:00"/>
    <x v="5"/>
    <n v="65"/>
    <n v="44"/>
    <n v="109"/>
    <n v="4"/>
    <n v="105"/>
    <n v="3.669724770642202E-2"/>
    <n v="0"/>
    <n v="0"/>
    <n v="0"/>
    <n v="0"/>
    <n v="0"/>
    <n v="0"/>
    <n v="0"/>
    <n v="0"/>
    <n v="0"/>
    <n v="0"/>
    <n v="4"/>
    <n v="94"/>
  </r>
  <r>
    <d v="2023-05-07T00:00:00"/>
    <x v="6"/>
    <n v="93"/>
    <n v="89"/>
    <n v="182"/>
    <n v="6"/>
    <n v="172"/>
    <n v="3.2967032967032968E-2"/>
    <n v="0"/>
    <n v="0"/>
    <n v="0"/>
    <n v="0"/>
    <n v="4"/>
    <n v="0"/>
    <n v="0"/>
    <n v="0"/>
    <n v="4"/>
    <n v="0"/>
    <n v="2"/>
    <n v="66"/>
  </r>
  <r>
    <d v="2023-05-08T00:00:00"/>
    <x v="0"/>
    <n v="38"/>
    <n v="55"/>
    <n v="93"/>
    <n v="16"/>
    <n v="77"/>
    <n v="0.17204301075268819"/>
    <n v="0"/>
    <n v="14"/>
    <n v="0"/>
    <n v="0"/>
    <n v="0"/>
    <n v="0"/>
    <n v="0"/>
    <n v="0"/>
    <n v="0"/>
    <n v="0"/>
    <n v="2"/>
    <n v="43"/>
  </r>
  <r>
    <d v="2023-05-09T00:00:00"/>
    <x v="1"/>
    <n v="70"/>
    <n v="25"/>
    <n v="95"/>
    <n v="0"/>
    <n v="94"/>
    <n v="0"/>
    <n v="0"/>
    <n v="0"/>
    <n v="0"/>
    <n v="0"/>
    <n v="0"/>
    <n v="0"/>
    <n v="0"/>
    <n v="0"/>
    <n v="1"/>
    <n v="0"/>
    <n v="0"/>
    <n v="0"/>
  </r>
  <r>
    <d v="2023-05-10T00:00:00"/>
    <x v="2"/>
    <n v="75"/>
    <n v="56"/>
    <n v="131"/>
    <n v="43"/>
    <n v="88"/>
    <n v="0.3282442748091603"/>
    <n v="0"/>
    <n v="10"/>
    <n v="2"/>
    <n v="0"/>
    <n v="27"/>
    <n v="0"/>
    <n v="0"/>
    <n v="0"/>
    <n v="0"/>
    <n v="0"/>
    <n v="4"/>
    <n v="31"/>
  </r>
  <r>
    <d v="2023-05-11T00:00:00"/>
    <x v="3"/>
    <n v="71"/>
    <n v="79"/>
    <n v="150"/>
    <n v="0"/>
    <n v="146"/>
    <n v="0"/>
    <n v="0"/>
    <n v="0"/>
    <n v="0"/>
    <n v="0"/>
    <n v="0"/>
    <n v="0"/>
    <n v="0"/>
    <n v="0"/>
    <n v="4"/>
    <n v="0"/>
    <n v="0"/>
    <n v="150"/>
  </r>
  <r>
    <d v="2023-05-12T00:00:00"/>
    <x v="4"/>
    <n v="120"/>
    <n v="0"/>
    <n v="120"/>
    <n v="120"/>
    <n v="0"/>
    <n v="1"/>
    <n v="0"/>
    <n v="0"/>
    <n v="0"/>
    <n v="0"/>
    <n v="0"/>
    <n v="0"/>
    <n v="120"/>
    <n v="0"/>
    <n v="0"/>
    <n v="0"/>
    <n v="0"/>
    <n v="0"/>
  </r>
  <r>
    <d v="2023-05-13T00:00:00"/>
    <x v="5"/>
    <n v="93"/>
    <n v="84"/>
    <n v="177"/>
    <n v="0"/>
    <n v="177"/>
    <n v="0"/>
    <n v="0"/>
    <n v="0"/>
    <n v="0"/>
    <n v="0"/>
    <n v="0"/>
    <n v="0"/>
    <n v="0"/>
    <n v="0"/>
    <n v="0"/>
    <n v="0"/>
    <n v="0"/>
    <n v="0"/>
  </r>
  <r>
    <d v="2023-05-14T00:00:00"/>
    <x v="6"/>
    <n v="84"/>
    <n v="67"/>
    <n v="151"/>
    <n v="29"/>
    <n v="120"/>
    <n v="0.19205298013245034"/>
    <n v="0"/>
    <n v="0"/>
    <n v="0"/>
    <n v="0"/>
    <n v="29"/>
    <n v="0"/>
    <n v="0"/>
    <n v="0"/>
    <n v="2"/>
    <n v="0"/>
    <n v="0"/>
    <n v="112"/>
  </r>
  <r>
    <d v="2023-05-15T00:00:00"/>
    <x v="0"/>
    <n v="66"/>
    <n v="70"/>
    <n v="136"/>
    <n v="22"/>
    <n v="114"/>
    <n v="0.16176470588235295"/>
    <n v="0"/>
    <n v="0"/>
    <n v="2"/>
    <n v="0"/>
    <n v="18"/>
    <n v="0"/>
    <n v="0"/>
    <n v="0"/>
    <n v="0"/>
    <n v="0"/>
    <n v="2"/>
    <n v="69"/>
  </r>
  <r>
    <d v="2023-05-16T00:00:00"/>
    <x v="1"/>
    <n v="98"/>
    <n v="0"/>
    <n v="98"/>
    <n v="0"/>
    <n v="98"/>
    <n v="0"/>
    <n v="0"/>
    <n v="0"/>
    <n v="0"/>
    <n v="0"/>
    <n v="0"/>
    <n v="0"/>
    <n v="0"/>
    <n v="0"/>
    <n v="0"/>
    <n v="0"/>
    <n v="0"/>
    <n v="0"/>
  </r>
  <r>
    <d v="2023-05-17T00:00:00"/>
    <x v="2"/>
    <n v="84"/>
    <n v="55"/>
    <n v="139"/>
    <n v="85"/>
    <n v="54"/>
    <n v="0.61151079136690645"/>
    <n v="0"/>
    <n v="0"/>
    <n v="0"/>
    <n v="0"/>
    <n v="1"/>
    <n v="0"/>
    <n v="84"/>
    <n v="0"/>
    <n v="0"/>
    <n v="0"/>
    <n v="0"/>
    <n v="0"/>
  </r>
  <r>
    <d v="2023-05-18T00:00:00"/>
    <x v="3"/>
    <n v="64"/>
    <n v="85"/>
    <n v="149"/>
    <n v="1"/>
    <n v="145"/>
    <n v="6.7114093959731542E-3"/>
    <n v="1"/>
    <n v="0"/>
    <n v="0"/>
    <n v="0"/>
    <n v="0"/>
    <n v="0"/>
    <n v="0"/>
    <n v="0"/>
    <n v="3"/>
    <n v="0"/>
    <n v="0"/>
    <n v="141"/>
  </r>
  <r>
    <d v="2023-05-19T00:00:00"/>
    <x v="4"/>
    <n v="76"/>
    <n v="76"/>
    <n v="152"/>
    <n v="48"/>
    <n v="104"/>
    <n v="0.31578947368421051"/>
    <n v="0"/>
    <n v="16"/>
    <n v="2"/>
    <n v="0"/>
    <n v="18"/>
    <n v="0"/>
    <n v="0"/>
    <n v="0"/>
    <n v="0"/>
    <n v="0"/>
    <n v="12"/>
    <n v="45"/>
  </r>
  <r>
    <d v="2023-05-20T00:00:00"/>
    <x v="5"/>
    <n v="70"/>
    <n v="53"/>
    <n v="123"/>
    <n v="3"/>
    <n v="120"/>
    <n v="2.4390243902439025E-2"/>
    <n v="0"/>
    <n v="0"/>
    <n v="0"/>
    <n v="0"/>
    <n v="0"/>
    <n v="0"/>
    <n v="0"/>
    <n v="0"/>
    <n v="0"/>
    <n v="0"/>
    <n v="3"/>
    <n v="107"/>
  </r>
  <r>
    <d v="2023-05-21T00:00:00"/>
    <x v="6"/>
    <n v="84"/>
    <n v="84"/>
    <n v="168"/>
    <n v="28"/>
    <n v="140"/>
    <n v="0.16666666666666666"/>
    <n v="0"/>
    <n v="0"/>
    <n v="6"/>
    <n v="0"/>
    <n v="16"/>
    <n v="0"/>
    <n v="0"/>
    <n v="0"/>
    <n v="0"/>
    <n v="0"/>
    <n v="6"/>
    <n v="115"/>
  </r>
  <r>
    <d v="2023-05-22T00:00:00"/>
    <x v="0"/>
    <n v="0"/>
    <n v="78"/>
    <n v="78"/>
    <n v="3"/>
    <n v="75"/>
    <n v="3.8461538461538464E-2"/>
    <n v="0"/>
    <n v="0"/>
    <n v="0"/>
    <n v="0"/>
    <n v="3"/>
    <n v="0"/>
    <n v="0"/>
    <n v="0"/>
    <n v="0"/>
    <n v="0"/>
    <n v="0"/>
    <n v="39"/>
  </r>
  <r>
    <d v="2023-05-23T00:00:00"/>
    <x v="1"/>
    <n v="91"/>
    <n v="44"/>
    <n v="135"/>
    <n v="0"/>
    <n v="134"/>
    <n v="0"/>
    <n v="0"/>
    <n v="0"/>
    <n v="0"/>
    <n v="0"/>
    <n v="0"/>
    <n v="0"/>
    <n v="0"/>
    <n v="0"/>
    <n v="1"/>
    <n v="0"/>
    <n v="0"/>
    <n v="0"/>
  </r>
  <r>
    <d v="2023-05-24T00:00:00"/>
    <x v="2"/>
    <n v="50"/>
    <n v="58"/>
    <n v="108"/>
    <n v="21"/>
    <n v="87"/>
    <n v="0.19444444444444445"/>
    <n v="0"/>
    <n v="6"/>
    <n v="3"/>
    <n v="0"/>
    <n v="12"/>
    <n v="0"/>
    <n v="0"/>
    <n v="0"/>
    <n v="0"/>
    <n v="0"/>
    <n v="0"/>
    <n v="42"/>
  </r>
  <r>
    <d v="2023-05-25T00:00:00"/>
    <x v="3"/>
    <n v="69"/>
    <n v="31"/>
    <n v="100"/>
    <n v="1"/>
    <n v="97"/>
    <n v="0.01"/>
    <n v="1"/>
    <n v="0"/>
    <n v="0"/>
    <n v="0"/>
    <n v="0"/>
    <n v="0"/>
    <n v="0"/>
    <n v="0"/>
    <n v="2"/>
    <n v="0"/>
    <n v="0"/>
    <n v="86"/>
  </r>
  <r>
    <d v="2023-05-26T00:00:00"/>
    <x v="4"/>
    <n v="61"/>
    <n v="67"/>
    <n v="128"/>
    <n v="20"/>
    <n v="108"/>
    <n v="0.15625"/>
    <n v="0"/>
    <n v="0"/>
    <n v="0"/>
    <n v="0"/>
    <n v="20"/>
    <n v="0"/>
    <n v="0"/>
    <n v="0"/>
    <n v="0"/>
    <n v="0"/>
    <n v="0"/>
    <n v="65"/>
  </r>
  <r>
    <d v="2023-05-27T00:00:00"/>
    <x v="5"/>
    <n v="84"/>
    <n v="52"/>
    <n v="136"/>
    <n v="0"/>
    <n v="134"/>
    <n v="0"/>
    <n v="0"/>
    <n v="0"/>
    <n v="0"/>
    <n v="0"/>
    <n v="0"/>
    <n v="0"/>
    <n v="0"/>
    <n v="0"/>
    <n v="2"/>
    <n v="0"/>
    <n v="0"/>
    <n v="106"/>
  </r>
  <r>
    <d v="2023-05-28T00:00:00"/>
    <x v="6"/>
    <n v="41"/>
    <n v="70"/>
    <n v="111"/>
    <n v="12"/>
    <n v="99"/>
    <n v="0.10810810810810811"/>
    <n v="0"/>
    <n v="0"/>
    <n v="0"/>
    <n v="0"/>
    <n v="12"/>
    <n v="0"/>
    <n v="0"/>
    <n v="0"/>
    <n v="0"/>
    <n v="0"/>
    <n v="0"/>
    <n v="62"/>
  </r>
  <r>
    <d v="2023-05-29T00:00:00"/>
    <x v="0"/>
    <n v="61"/>
    <n v="36"/>
    <n v="97"/>
    <n v="10"/>
    <n v="87"/>
    <n v="0.10309278350515463"/>
    <n v="0"/>
    <n v="0"/>
    <n v="0"/>
    <n v="1"/>
    <n v="5"/>
    <n v="1"/>
    <n v="0"/>
    <n v="0"/>
    <n v="0"/>
    <n v="0"/>
    <n v="3"/>
    <n v="58"/>
  </r>
  <r>
    <d v="2023-05-30T00:00:00"/>
    <x v="1"/>
    <n v="83"/>
    <n v="44"/>
    <n v="127"/>
    <n v="0"/>
    <n v="127"/>
    <n v="0"/>
    <n v="0"/>
    <n v="0"/>
    <n v="0"/>
    <n v="0"/>
    <n v="0"/>
    <n v="0"/>
    <n v="0"/>
    <n v="0"/>
    <n v="0"/>
    <n v="0"/>
    <n v="0"/>
    <n v="0"/>
  </r>
  <r>
    <d v="2023-05-31T00:00:00"/>
    <x v="2"/>
    <n v="64"/>
    <n v="39"/>
    <n v="103"/>
    <n v="15"/>
    <n v="88"/>
    <n v="0.14563106796116504"/>
    <n v="0"/>
    <n v="0"/>
    <n v="4"/>
    <n v="0"/>
    <n v="11"/>
    <n v="0"/>
    <n v="0"/>
    <n v="0"/>
    <n v="0"/>
    <n v="0"/>
    <n v="0"/>
    <n v="2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3-04-01T00:00:00"/>
    <x v="0"/>
    <n v="85"/>
    <n v="49"/>
    <n v="134"/>
    <n v="0"/>
    <n v="134"/>
    <n v="0"/>
    <n v="0"/>
    <n v="0"/>
    <n v="0"/>
    <n v="0"/>
    <n v="0"/>
    <n v="0"/>
    <n v="0"/>
    <n v="0"/>
    <n v="0"/>
    <n v="0"/>
    <n v="0"/>
    <n v="122"/>
  </r>
  <r>
    <d v="2023-04-02T00:00:00"/>
    <x v="1"/>
    <n v="93"/>
    <n v="90"/>
    <n v="183"/>
    <n v="25"/>
    <n v="158"/>
    <n v="0.13661202185792351"/>
    <n v="0"/>
    <n v="0"/>
    <n v="0"/>
    <n v="0"/>
    <n v="20"/>
    <n v="0"/>
    <n v="0"/>
    <n v="0"/>
    <n v="0"/>
    <n v="0"/>
    <n v="5"/>
    <n v="136"/>
  </r>
  <r>
    <d v="2023-04-03T00:00:00"/>
    <x v="2"/>
    <n v="66"/>
    <n v="66"/>
    <n v="132"/>
    <n v="27"/>
    <n v="102"/>
    <n v="0.20454545454545456"/>
    <n v="0"/>
    <n v="2"/>
    <n v="0"/>
    <n v="2"/>
    <n v="15"/>
    <n v="0"/>
    <n v="0"/>
    <n v="0"/>
    <n v="3"/>
    <n v="8"/>
    <n v="0"/>
    <n v="56"/>
  </r>
  <r>
    <d v="2023-04-04T00:00:00"/>
    <x v="3"/>
    <n v="98"/>
    <n v="35"/>
    <n v="133"/>
    <n v="0"/>
    <n v="131"/>
    <n v="0"/>
    <n v="0"/>
    <n v="0"/>
    <n v="0"/>
    <n v="0"/>
    <n v="0"/>
    <n v="0"/>
    <n v="0"/>
    <n v="0"/>
    <n v="2"/>
    <n v="0"/>
    <n v="0"/>
    <n v="0"/>
  </r>
  <r>
    <d v="2023-04-05T00:00:00"/>
    <x v="4"/>
    <n v="95"/>
    <n v="95"/>
    <n v="190"/>
    <n v="190"/>
    <n v="0"/>
    <n v="1"/>
    <n v="0"/>
    <n v="0"/>
    <n v="0"/>
    <n v="0"/>
    <n v="0"/>
    <n v="0"/>
    <n v="190"/>
    <n v="0"/>
    <n v="0"/>
    <n v="0"/>
    <n v="0"/>
    <n v="0"/>
  </r>
  <r>
    <d v="2023-04-06T00:00:00"/>
    <x v="5"/>
    <n v="84"/>
    <n v="70"/>
    <n v="154"/>
    <n v="2"/>
    <n v="151"/>
    <n v="1.2987012987012988E-2"/>
    <n v="0"/>
    <n v="0"/>
    <n v="0"/>
    <n v="2"/>
    <n v="0"/>
    <n v="0"/>
    <n v="0"/>
    <n v="0"/>
    <n v="1"/>
    <n v="0"/>
    <n v="0"/>
    <n v="148"/>
  </r>
  <r>
    <d v="2023-04-07T00:00:00"/>
    <x v="6"/>
    <n v="84"/>
    <n v="56"/>
    <n v="140"/>
    <n v="40"/>
    <n v="95"/>
    <n v="0.2857142857142857"/>
    <n v="0"/>
    <n v="0"/>
    <n v="3"/>
    <n v="0"/>
    <n v="30"/>
    <n v="0"/>
    <n v="0"/>
    <n v="0"/>
    <n v="5"/>
    <n v="0"/>
    <n v="7"/>
    <n v="88"/>
  </r>
  <r>
    <d v="2023-04-08T00:00:00"/>
    <x v="0"/>
    <n v="78"/>
    <n v="31"/>
    <n v="109"/>
    <n v="1"/>
    <n v="106"/>
    <n v="9.1743119266055051E-3"/>
    <n v="0"/>
    <n v="0"/>
    <n v="0"/>
    <n v="0"/>
    <n v="1"/>
    <n v="0"/>
    <n v="0"/>
    <n v="0"/>
    <n v="2"/>
    <n v="0"/>
    <n v="0"/>
    <n v="103"/>
  </r>
  <r>
    <d v="2023-04-09T00:00:00"/>
    <x v="1"/>
    <n v="36"/>
    <n v="46"/>
    <n v="82"/>
    <n v="14"/>
    <n v="68"/>
    <n v="0.17073170731707318"/>
    <n v="0"/>
    <n v="0"/>
    <n v="0"/>
    <n v="0"/>
    <n v="10"/>
    <n v="0"/>
    <n v="0"/>
    <n v="0"/>
    <n v="0"/>
    <n v="0"/>
    <n v="4"/>
    <n v="44"/>
  </r>
  <r>
    <d v="2023-04-10T00:00:00"/>
    <x v="2"/>
    <n v="93"/>
    <n v="72"/>
    <n v="165"/>
    <n v="31"/>
    <n v="127"/>
    <n v="0.18787878787878787"/>
    <n v="0"/>
    <n v="0"/>
    <n v="0"/>
    <n v="0"/>
    <n v="31"/>
    <n v="0"/>
    <n v="0"/>
    <n v="0"/>
    <n v="7"/>
    <n v="0"/>
    <n v="0"/>
    <n v="130"/>
  </r>
  <r>
    <d v="2023-04-11T00:00:00"/>
    <x v="3"/>
    <n v="76"/>
    <n v="44"/>
    <n v="120"/>
    <n v="1"/>
    <n v="117"/>
    <n v="8.3333333333333332E-3"/>
    <n v="0"/>
    <n v="0"/>
    <n v="1"/>
    <n v="0"/>
    <n v="0"/>
    <n v="0"/>
    <n v="0"/>
    <n v="0"/>
    <n v="2"/>
    <n v="0"/>
    <n v="0"/>
    <n v="0"/>
  </r>
  <r>
    <d v="2023-04-12T00:00:00"/>
    <x v="4"/>
    <n v="45"/>
    <n v="38"/>
    <n v="83"/>
    <n v="19"/>
    <n v="64"/>
    <n v="0.2289156626506024"/>
    <n v="0"/>
    <n v="0"/>
    <n v="0"/>
    <n v="0"/>
    <n v="9"/>
    <n v="0"/>
    <n v="0"/>
    <n v="0"/>
    <n v="0"/>
    <n v="4"/>
    <n v="6"/>
    <n v="24"/>
  </r>
  <r>
    <d v="2023-04-13T00:00:00"/>
    <x v="5"/>
    <n v="83"/>
    <n v="90"/>
    <n v="173"/>
    <n v="0"/>
    <n v="170"/>
    <n v="0"/>
    <n v="0"/>
    <n v="0"/>
    <n v="0"/>
    <n v="0"/>
    <n v="0"/>
    <n v="0"/>
    <n v="0"/>
    <n v="0"/>
    <n v="3"/>
    <n v="0"/>
    <n v="0"/>
    <n v="158"/>
  </r>
  <r>
    <d v="2023-04-14T00:00:00"/>
    <x v="6"/>
    <n v="103"/>
    <n v="85"/>
    <n v="188"/>
    <n v="60"/>
    <n v="124"/>
    <n v="0.31914893617021278"/>
    <n v="0"/>
    <n v="1"/>
    <n v="0"/>
    <n v="1"/>
    <n v="33"/>
    <n v="0"/>
    <n v="20"/>
    <n v="0"/>
    <n v="4"/>
    <n v="3"/>
    <n v="2"/>
    <n v="59"/>
  </r>
  <r>
    <d v="2023-04-15T00:00:00"/>
    <x v="0"/>
    <n v="98"/>
    <n v="49"/>
    <n v="147"/>
    <n v="0"/>
    <n v="144"/>
    <n v="0"/>
    <n v="0"/>
    <n v="0"/>
    <n v="0"/>
    <n v="0"/>
    <n v="0"/>
    <n v="0"/>
    <n v="0"/>
    <n v="0"/>
    <n v="3"/>
    <n v="0"/>
    <n v="0"/>
    <n v="118"/>
  </r>
  <r>
    <d v="2023-04-16T00:00:00"/>
    <x v="1"/>
    <n v="40"/>
    <n v="56"/>
    <n v="96"/>
    <n v="0"/>
    <n v="0"/>
    <n v="0"/>
    <n v="0"/>
    <n v="0"/>
    <n v="0"/>
    <n v="0"/>
    <n v="0"/>
    <n v="0"/>
    <n v="0"/>
    <n v="96"/>
    <n v="0"/>
    <n v="0"/>
    <n v="0"/>
    <n v="0"/>
  </r>
  <r>
    <d v="2023-04-17T00:00:00"/>
    <x v="2"/>
    <n v="0"/>
    <n v="78"/>
    <n v="78"/>
    <n v="16"/>
    <n v="60"/>
    <n v="0.20512820512820512"/>
    <n v="0"/>
    <n v="1"/>
    <n v="0"/>
    <n v="0"/>
    <n v="1"/>
    <n v="0"/>
    <n v="0"/>
    <n v="0"/>
    <n v="2"/>
    <n v="4"/>
    <n v="10"/>
    <n v="49"/>
  </r>
  <r>
    <d v="2023-04-18T00:00:00"/>
    <x v="3"/>
    <n v="81"/>
    <n v="34"/>
    <n v="115"/>
    <n v="0"/>
    <n v="114"/>
    <n v="0"/>
    <n v="0"/>
    <n v="0"/>
    <n v="0"/>
    <n v="0"/>
    <n v="0"/>
    <n v="0"/>
    <n v="0"/>
    <n v="0"/>
    <n v="1"/>
    <n v="0"/>
    <n v="0"/>
    <n v="0"/>
  </r>
  <r>
    <d v="2023-04-19T00:00:00"/>
    <x v="4"/>
    <n v="50"/>
    <n v="80"/>
    <n v="130"/>
    <n v="71"/>
    <n v="59"/>
    <n v="0.5461538461538461"/>
    <n v="0"/>
    <n v="1"/>
    <n v="0"/>
    <n v="0"/>
    <n v="5"/>
    <n v="0"/>
    <n v="54"/>
    <n v="0"/>
    <n v="0"/>
    <n v="0"/>
    <n v="11"/>
    <n v="24"/>
  </r>
  <r>
    <d v="2023-04-20T00:00:00"/>
    <x v="5"/>
    <n v="72"/>
    <n v="99"/>
    <n v="171"/>
    <n v="0"/>
    <n v="167"/>
    <n v="0"/>
    <n v="0"/>
    <n v="0"/>
    <n v="0"/>
    <n v="0"/>
    <n v="0"/>
    <n v="0"/>
    <n v="0"/>
    <n v="0"/>
    <n v="4"/>
    <n v="0"/>
    <n v="0"/>
    <n v="168"/>
  </r>
  <r>
    <d v="2023-04-21T00:00:00"/>
    <x v="6"/>
    <n v="70"/>
    <n v="56"/>
    <n v="126"/>
    <n v="14"/>
    <n v="56"/>
    <n v="0.1111111111111111"/>
    <n v="0"/>
    <n v="0"/>
    <n v="0"/>
    <n v="0"/>
    <n v="14"/>
    <n v="0"/>
    <n v="0"/>
    <n v="56"/>
    <n v="0"/>
    <n v="0"/>
    <n v="0"/>
    <n v="29"/>
  </r>
  <r>
    <d v="2023-04-22T00:00:00"/>
    <x v="0"/>
    <n v="101"/>
    <n v="55"/>
    <n v="156"/>
    <n v="0"/>
    <n v="154"/>
    <n v="0"/>
    <n v="0"/>
    <n v="0"/>
    <n v="0"/>
    <n v="0"/>
    <n v="0"/>
    <n v="0"/>
    <n v="0"/>
    <n v="0"/>
    <n v="2"/>
    <n v="0"/>
    <n v="0"/>
    <n v="133"/>
  </r>
  <r>
    <d v="2023-04-23T00:00:00"/>
    <x v="1"/>
    <n v="56"/>
    <n v="78"/>
    <n v="134"/>
    <n v="7"/>
    <n v="71"/>
    <n v="5.2238805970149252E-2"/>
    <n v="0"/>
    <n v="0"/>
    <n v="0"/>
    <n v="0"/>
    <n v="7"/>
    <n v="0"/>
    <n v="0"/>
    <n v="56"/>
    <n v="0"/>
    <n v="0"/>
    <n v="0"/>
    <n v="0"/>
  </r>
  <r>
    <d v="2023-04-24T00:00:00"/>
    <x v="2"/>
    <n v="81"/>
    <n v="73"/>
    <n v="154"/>
    <n v="35"/>
    <n v="117"/>
    <n v="0.22727272727272727"/>
    <n v="0"/>
    <n v="2"/>
    <n v="4"/>
    <n v="0"/>
    <n v="20"/>
    <n v="0"/>
    <n v="0"/>
    <n v="0"/>
    <n v="2"/>
    <n v="0"/>
    <n v="9"/>
    <n v="79"/>
  </r>
  <r>
    <d v="2023-04-25T00:00:00"/>
    <x v="3"/>
    <n v="102"/>
    <n v="87"/>
    <n v="189"/>
    <n v="19"/>
    <n v="163"/>
    <n v="0.10052910052910052"/>
    <n v="0"/>
    <n v="2"/>
    <n v="0"/>
    <n v="0"/>
    <n v="17"/>
    <n v="0"/>
    <n v="0"/>
    <n v="0"/>
    <n v="7"/>
    <n v="0"/>
    <n v="0"/>
    <n v="155"/>
  </r>
  <r>
    <d v="2023-04-26T00:00:00"/>
    <x v="4"/>
    <n v="59"/>
    <n v="55"/>
    <n v="114"/>
    <n v="29"/>
    <n v="85"/>
    <n v="0.25438596491228072"/>
    <n v="0"/>
    <n v="1"/>
    <n v="0"/>
    <n v="1"/>
    <n v="13"/>
    <n v="0"/>
    <n v="0"/>
    <n v="0"/>
    <n v="0"/>
    <n v="0"/>
    <n v="14"/>
    <n v="27"/>
  </r>
  <r>
    <d v="2023-04-27T00:00:00"/>
    <x v="5"/>
    <n v="70"/>
    <n v="73"/>
    <n v="143"/>
    <n v="3"/>
    <n v="135"/>
    <n v="2.097902097902098E-2"/>
    <n v="1"/>
    <n v="0"/>
    <n v="0"/>
    <n v="0"/>
    <n v="0"/>
    <n v="0"/>
    <n v="0"/>
    <n v="0"/>
    <n v="5"/>
    <n v="0"/>
    <n v="2"/>
    <n v="131"/>
  </r>
  <r>
    <d v="2023-04-28T00:00:00"/>
    <x v="6"/>
    <n v="101"/>
    <n v="60"/>
    <n v="161"/>
    <n v="44"/>
    <n v="117"/>
    <n v="0.27329192546583853"/>
    <n v="0"/>
    <n v="10"/>
    <n v="0"/>
    <n v="0"/>
    <n v="22"/>
    <n v="0"/>
    <n v="0"/>
    <n v="0"/>
    <n v="0"/>
    <n v="4"/>
    <n v="8"/>
    <n v="57"/>
  </r>
  <r>
    <d v="2023-04-29T00:00:00"/>
    <x v="0"/>
    <n v="63"/>
    <n v="38"/>
    <n v="101"/>
    <n v="0"/>
    <n v="101"/>
    <n v="0"/>
    <n v="0"/>
    <n v="0"/>
    <n v="0"/>
    <n v="0"/>
    <n v="0"/>
    <n v="0"/>
    <n v="0"/>
    <n v="0"/>
    <n v="0"/>
    <n v="0"/>
    <n v="0"/>
    <n v="101"/>
  </r>
  <r>
    <d v="2023-04-30T00:00:00"/>
    <x v="1"/>
    <n v="100"/>
    <n v="85"/>
    <n v="185"/>
    <n v="13"/>
    <n v="168"/>
    <n v="7.0270270270270274E-2"/>
    <n v="0"/>
    <n v="0"/>
    <n v="0"/>
    <n v="0"/>
    <n v="13"/>
    <n v="0"/>
    <n v="0"/>
    <n v="0"/>
    <n v="4"/>
    <n v="0"/>
    <n v="0"/>
    <n v="12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3-03-01T00:00:00"/>
    <x v="0"/>
    <n v="59"/>
    <n v="92"/>
    <n v="151"/>
    <n v="80"/>
    <n v="69"/>
    <n v="0.5298013245033113"/>
    <n v="0"/>
    <n v="0"/>
    <n v="9"/>
    <n v="0"/>
    <n v="6"/>
    <n v="4"/>
    <n v="56"/>
    <n v="0"/>
    <n v="2"/>
    <n v="4"/>
    <n v="1"/>
    <n v="13"/>
  </r>
  <r>
    <d v="2023-03-02T00:00:00"/>
    <x v="1"/>
    <n v="81"/>
    <n v="84"/>
    <n v="165"/>
    <n v="6"/>
    <n v="159"/>
    <n v="3.6363636363636362E-2"/>
    <n v="0"/>
    <n v="0"/>
    <n v="0"/>
    <n v="0"/>
    <n v="0"/>
    <n v="0"/>
    <n v="0"/>
    <n v="0"/>
    <n v="0"/>
    <n v="0"/>
    <n v="6"/>
    <n v="147"/>
  </r>
  <r>
    <d v="2023-03-03T00:00:00"/>
    <x v="2"/>
    <n v="73"/>
    <n v="133"/>
    <n v="206"/>
    <n v="55"/>
    <n v="149"/>
    <n v="0.26699029126213591"/>
    <n v="0"/>
    <n v="4"/>
    <n v="11"/>
    <n v="0"/>
    <n v="32"/>
    <n v="0"/>
    <n v="0"/>
    <n v="0"/>
    <n v="2"/>
    <n v="0"/>
    <n v="8"/>
    <n v="51"/>
  </r>
  <r>
    <d v="2023-03-04T00:00:00"/>
    <x v="3"/>
    <n v="96"/>
    <n v="45"/>
    <n v="141"/>
    <n v="0"/>
    <n v="140"/>
    <n v="0"/>
    <n v="0"/>
    <n v="0"/>
    <n v="0"/>
    <n v="0"/>
    <n v="0"/>
    <n v="0"/>
    <n v="0"/>
    <n v="0"/>
    <n v="1"/>
    <n v="0"/>
    <n v="0"/>
    <n v="126"/>
  </r>
  <r>
    <d v="2023-03-05T00:00:00"/>
    <x v="4"/>
    <n v="82"/>
    <n v="101"/>
    <n v="183"/>
    <n v="34"/>
    <n v="147"/>
    <n v="0.18579234972677597"/>
    <n v="0"/>
    <n v="0"/>
    <n v="0"/>
    <n v="0"/>
    <n v="32"/>
    <n v="0"/>
    <n v="0"/>
    <n v="0"/>
    <n v="2"/>
    <n v="0"/>
    <n v="2"/>
    <n v="140"/>
  </r>
  <r>
    <d v="2023-03-06T00:00:00"/>
    <x v="5"/>
    <n v="70"/>
    <n v="82"/>
    <n v="152"/>
    <n v="42"/>
    <n v="90"/>
    <n v="0.27631578947368424"/>
    <n v="0"/>
    <n v="0"/>
    <n v="30"/>
    <n v="0"/>
    <n v="9"/>
    <n v="0"/>
    <n v="0"/>
    <n v="16"/>
    <n v="4"/>
    <n v="0"/>
    <n v="3"/>
    <n v="49"/>
  </r>
  <r>
    <d v="2023-03-07T00:00:00"/>
    <x v="6"/>
    <n v="95"/>
    <n v="41"/>
    <n v="136"/>
    <n v="4"/>
    <n v="132"/>
    <n v="2.9411764705882353E-2"/>
    <n v="0"/>
    <n v="0"/>
    <n v="4"/>
    <n v="0"/>
    <n v="0"/>
    <n v="0"/>
    <n v="0"/>
    <n v="0"/>
    <n v="0"/>
    <n v="0"/>
    <n v="0"/>
    <n v="0"/>
  </r>
  <r>
    <d v="2023-03-08T00:00:00"/>
    <x v="0"/>
    <n v="72"/>
    <n v="58"/>
    <n v="130"/>
    <n v="36"/>
    <n v="93"/>
    <n v="0.27692307692307694"/>
    <n v="0"/>
    <n v="0"/>
    <n v="18"/>
    <n v="0"/>
    <n v="16"/>
    <n v="0"/>
    <n v="0"/>
    <n v="0"/>
    <n v="1"/>
    <n v="0"/>
    <n v="2"/>
    <n v="42"/>
  </r>
  <r>
    <d v="2023-03-09T00:00:00"/>
    <x v="1"/>
    <n v="61"/>
    <n v="76"/>
    <n v="137"/>
    <n v="3"/>
    <n v="134"/>
    <n v="2.1897810218978103E-2"/>
    <n v="0"/>
    <n v="0"/>
    <n v="0"/>
    <n v="0"/>
    <n v="0"/>
    <n v="0"/>
    <n v="0"/>
    <n v="0"/>
    <n v="0"/>
    <n v="0"/>
    <n v="3"/>
    <n v="130"/>
  </r>
  <r>
    <d v="2023-03-10T00:00:00"/>
    <x v="2"/>
    <n v="67"/>
    <n v="144"/>
    <n v="211"/>
    <n v="66"/>
    <n v="142"/>
    <n v="0.3127962085308057"/>
    <n v="0"/>
    <n v="16"/>
    <n v="13"/>
    <n v="0"/>
    <n v="37"/>
    <n v="0"/>
    <n v="0"/>
    <n v="0"/>
    <n v="3"/>
    <n v="0"/>
    <n v="0"/>
    <n v="76"/>
  </r>
  <r>
    <d v="2023-03-11T00:00:00"/>
    <x v="3"/>
    <n v="48"/>
    <n v="56"/>
    <n v="104"/>
    <n v="46"/>
    <n v="58"/>
    <n v="0.44230769230769229"/>
    <n v="0"/>
    <n v="0"/>
    <n v="0"/>
    <n v="0"/>
    <n v="46"/>
    <n v="0"/>
    <n v="0"/>
    <n v="0"/>
    <n v="0"/>
    <n v="0"/>
    <n v="0"/>
    <n v="74"/>
  </r>
  <r>
    <d v="2023-03-12T00:00:00"/>
    <x v="4"/>
    <n v="97"/>
    <n v="88"/>
    <n v="185"/>
    <n v="26"/>
    <n v="159"/>
    <n v="0.14054054054054055"/>
    <n v="0"/>
    <n v="0"/>
    <n v="2"/>
    <n v="0"/>
    <n v="22"/>
    <n v="0"/>
    <n v="0"/>
    <n v="0"/>
    <n v="0"/>
    <n v="0"/>
    <n v="2"/>
    <n v="138"/>
  </r>
  <r>
    <d v="2023-03-13T00:00:00"/>
    <x v="5"/>
    <n v="93"/>
    <n v="92"/>
    <n v="185"/>
    <n v="54"/>
    <n v="131"/>
    <n v="0.29189189189189191"/>
    <n v="0"/>
    <n v="4"/>
    <n v="2"/>
    <n v="0"/>
    <n v="24"/>
    <n v="10"/>
    <n v="0"/>
    <n v="0"/>
    <n v="0"/>
    <n v="0"/>
    <n v="14"/>
    <n v="111"/>
  </r>
  <r>
    <d v="2023-03-14T00:00:00"/>
    <x v="6"/>
    <n v="91"/>
    <n v="26"/>
    <n v="117"/>
    <n v="0"/>
    <n v="117"/>
    <n v="0"/>
    <n v="0"/>
    <n v="0"/>
    <n v="0"/>
    <n v="0"/>
    <n v="0"/>
    <n v="0"/>
    <n v="0"/>
    <n v="0"/>
    <n v="0"/>
    <n v="0"/>
    <n v="0"/>
    <n v="0"/>
  </r>
  <r>
    <d v="2023-03-15T00:00:00"/>
    <x v="0"/>
    <n v="67"/>
    <n v="57"/>
    <n v="124"/>
    <n v="31"/>
    <n v="93"/>
    <n v="0.25"/>
    <n v="0"/>
    <n v="3"/>
    <n v="7"/>
    <n v="0"/>
    <n v="19"/>
    <n v="0"/>
    <n v="0"/>
    <n v="0"/>
    <n v="0"/>
    <n v="0"/>
    <n v="2"/>
    <n v="30"/>
  </r>
  <r>
    <d v="2023-03-16T00:00:00"/>
    <x v="1"/>
    <n v="83"/>
    <n v="81"/>
    <n v="164"/>
    <n v="1"/>
    <n v="163"/>
    <n v="6.0975609756097563E-3"/>
    <n v="0"/>
    <n v="0"/>
    <n v="0"/>
    <n v="0"/>
    <n v="0"/>
    <n v="0"/>
    <n v="0"/>
    <n v="0"/>
    <n v="0"/>
    <n v="0"/>
    <n v="1"/>
    <n v="157"/>
  </r>
  <r>
    <d v="2023-03-17T00:00:00"/>
    <x v="2"/>
    <n v="56"/>
    <n v="70"/>
    <n v="126"/>
    <n v="6"/>
    <n v="63"/>
    <n v="4.7619047619047616E-2"/>
    <n v="0"/>
    <n v="0"/>
    <n v="0"/>
    <n v="0"/>
    <n v="5"/>
    <n v="0"/>
    <n v="0"/>
    <n v="56"/>
    <n v="1"/>
    <n v="0"/>
    <n v="1"/>
    <n v="0"/>
  </r>
  <r>
    <d v="2023-03-18T00:00:00"/>
    <x v="3"/>
    <n v="90"/>
    <n v="17"/>
    <n v="107"/>
    <n v="1"/>
    <n v="104"/>
    <n v="9.3457943925233638E-3"/>
    <n v="0"/>
    <n v="0"/>
    <n v="1"/>
    <n v="0"/>
    <n v="0"/>
    <n v="0"/>
    <n v="0"/>
    <n v="0"/>
    <n v="2"/>
    <n v="0"/>
    <n v="0"/>
    <n v="79"/>
  </r>
  <r>
    <d v="2023-03-19T00:00:00"/>
    <x v="4"/>
    <n v="98"/>
    <n v="84"/>
    <n v="182"/>
    <n v="15"/>
    <n v="165"/>
    <n v="8.2417582417582416E-2"/>
    <n v="0"/>
    <n v="0"/>
    <n v="0"/>
    <n v="0"/>
    <n v="12"/>
    <n v="0"/>
    <n v="0"/>
    <n v="0"/>
    <n v="2"/>
    <n v="0"/>
    <n v="3"/>
    <n v="134"/>
  </r>
  <r>
    <d v="2023-03-20T00:00:00"/>
    <x v="5"/>
    <n v="78"/>
    <n v="73"/>
    <n v="151"/>
    <n v="57"/>
    <n v="91"/>
    <n v="0.37748344370860926"/>
    <n v="0"/>
    <n v="0"/>
    <n v="1"/>
    <n v="0"/>
    <n v="13"/>
    <n v="0"/>
    <n v="40"/>
    <n v="0"/>
    <n v="3"/>
    <n v="0"/>
    <n v="3"/>
    <n v="52"/>
  </r>
  <r>
    <d v="2023-03-21T00:00:00"/>
    <x v="6"/>
    <n v="89"/>
    <n v="21"/>
    <n v="110"/>
    <n v="0"/>
    <n v="109"/>
    <n v="0"/>
    <n v="0"/>
    <n v="0"/>
    <n v="0"/>
    <n v="0"/>
    <n v="0"/>
    <n v="0"/>
    <n v="0"/>
    <n v="0"/>
    <n v="1"/>
    <n v="0"/>
    <n v="0"/>
    <n v="0"/>
  </r>
  <r>
    <d v="2023-03-22T00:00:00"/>
    <x v="0"/>
    <n v="46"/>
    <n v="88"/>
    <n v="134"/>
    <n v="104"/>
    <n v="28"/>
    <n v="0.77611940298507465"/>
    <n v="0"/>
    <n v="0"/>
    <n v="0"/>
    <n v="0"/>
    <n v="2"/>
    <n v="0"/>
    <n v="88"/>
    <n v="0"/>
    <n v="2"/>
    <n v="2"/>
    <n v="12"/>
    <n v="0"/>
  </r>
  <r>
    <d v="2023-03-23T00:00:00"/>
    <x v="1"/>
    <n v="10"/>
    <n v="87"/>
    <n v="97"/>
    <n v="0"/>
    <n v="97"/>
    <n v="0"/>
    <n v="0"/>
    <n v="0"/>
    <n v="0"/>
    <n v="0"/>
    <n v="0"/>
    <n v="0"/>
    <n v="0"/>
    <n v="0"/>
    <n v="0"/>
    <n v="0"/>
    <n v="0"/>
    <n v="91"/>
  </r>
  <r>
    <d v="2023-03-24T00:00:00"/>
    <x v="2"/>
    <n v="101"/>
    <n v="73"/>
    <n v="174"/>
    <n v="43"/>
    <n v="125"/>
    <n v="0.2471264367816092"/>
    <n v="1"/>
    <n v="7"/>
    <n v="8"/>
    <n v="0"/>
    <n v="20"/>
    <n v="0"/>
    <n v="0"/>
    <n v="0"/>
    <n v="6"/>
    <n v="4"/>
    <n v="3"/>
    <n v="65"/>
  </r>
  <r>
    <d v="2023-03-25T00:00:00"/>
    <x v="3"/>
    <n v="91"/>
    <n v="72"/>
    <n v="163"/>
    <n v="0"/>
    <n v="163"/>
    <n v="0"/>
    <n v="0"/>
    <n v="0"/>
    <n v="0"/>
    <n v="0"/>
    <n v="0"/>
    <n v="0"/>
    <n v="0"/>
    <n v="0"/>
    <n v="0"/>
    <n v="0"/>
    <n v="0"/>
    <n v="96"/>
  </r>
  <r>
    <d v="2023-03-26T00:00:00"/>
    <x v="4"/>
    <n v="93"/>
    <n v="101"/>
    <n v="194"/>
    <n v="19"/>
    <n v="174"/>
    <n v="9.7938144329896906E-2"/>
    <n v="0"/>
    <n v="0"/>
    <n v="2"/>
    <n v="0"/>
    <n v="13"/>
    <n v="0"/>
    <n v="0"/>
    <n v="0"/>
    <n v="1"/>
    <n v="0"/>
    <n v="4"/>
    <n v="79"/>
  </r>
  <r>
    <d v="2023-03-27T00:00:00"/>
    <x v="5"/>
    <n v="0"/>
    <n v="81"/>
    <n v="81"/>
    <n v="21"/>
    <n v="60"/>
    <n v="0.25925925925925924"/>
    <n v="0"/>
    <n v="0"/>
    <n v="9"/>
    <n v="0"/>
    <n v="3"/>
    <n v="0"/>
    <n v="0"/>
    <n v="0"/>
    <n v="0"/>
    <n v="0"/>
    <n v="9"/>
    <n v="27"/>
  </r>
  <r>
    <d v="2023-03-28T00:00:00"/>
    <x v="6"/>
    <n v="94"/>
    <n v="41"/>
    <n v="135"/>
    <n v="63"/>
    <n v="72"/>
    <n v="0.46666666666666667"/>
    <n v="0"/>
    <n v="0"/>
    <n v="0"/>
    <n v="0"/>
    <n v="63"/>
    <n v="0"/>
    <n v="0"/>
    <n v="0"/>
    <n v="0"/>
    <n v="0"/>
    <n v="0"/>
    <n v="0"/>
  </r>
  <r>
    <d v="2023-03-29T00:00:00"/>
    <x v="0"/>
    <n v="66"/>
    <n v="82"/>
    <n v="148"/>
    <n v="110"/>
    <n v="37"/>
    <n v="0.7432432432432432"/>
    <n v="0"/>
    <n v="0"/>
    <n v="6"/>
    <n v="0"/>
    <n v="6"/>
    <n v="0"/>
    <n v="82"/>
    <n v="0"/>
    <n v="1"/>
    <n v="0"/>
    <n v="16"/>
    <n v="0"/>
  </r>
  <r>
    <d v="2023-03-30T00:00:00"/>
    <x v="1"/>
    <n v="82"/>
    <n v="77"/>
    <n v="159"/>
    <n v="0"/>
    <n v="159"/>
    <n v="0"/>
    <n v="0"/>
    <n v="0"/>
    <n v="0"/>
    <n v="0"/>
    <n v="0"/>
    <n v="0"/>
    <n v="0"/>
    <n v="0"/>
    <n v="0"/>
    <n v="0"/>
    <n v="0"/>
    <n v="144"/>
  </r>
  <r>
    <d v="2023-03-31T00:00:00"/>
    <x v="2"/>
    <n v="104"/>
    <n v="79"/>
    <n v="183"/>
    <n v="53"/>
    <n v="130"/>
    <n v="0.2896174863387978"/>
    <n v="0"/>
    <n v="0"/>
    <n v="11"/>
    <n v="0"/>
    <n v="32"/>
    <n v="0"/>
    <n v="0"/>
    <n v="0"/>
    <n v="0"/>
    <n v="0"/>
    <n v="10"/>
    <n v="36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3-01-01T00:00:00"/>
    <x v="0"/>
    <n v="61"/>
    <n v="7"/>
    <n v="68"/>
    <n v="8"/>
    <n v="59"/>
    <n v="0.11764705882352941"/>
    <n v="0"/>
    <n v="0"/>
    <n v="0"/>
    <n v="0"/>
    <n v="5"/>
    <n v="0"/>
    <n v="0"/>
    <n v="0"/>
    <n v="1"/>
    <n v="0"/>
    <n v="3"/>
    <n v="58"/>
  </r>
  <r>
    <d v="2023-01-02T00:00:00"/>
    <x v="1"/>
    <n v="96"/>
    <n v="48"/>
    <n v="144"/>
    <n v="39"/>
    <n v="101"/>
    <n v="0.27083333333333331"/>
    <n v="0"/>
    <n v="3"/>
    <n v="6"/>
    <n v="1"/>
    <n v="26"/>
    <n v="0"/>
    <n v="0"/>
    <n v="0"/>
    <n v="4"/>
    <n v="0"/>
    <n v="3"/>
    <n v="93"/>
  </r>
  <r>
    <d v="2023-01-03T00:00:00"/>
    <x v="2"/>
    <n v="65"/>
    <n v="19"/>
    <n v="84"/>
    <n v="0"/>
    <n v="83"/>
    <n v="0"/>
    <n v="0"/>
    <n v="0"/>
    <n v="0"/>
    <n v="0"/>
    <n v="0"/>
    <n v="0"/>
    <n v="0"/>
    <n v="0"/>
    <n v="1"/>
    <n v="0"/>
    <n v="0"/>
    <n v="0"/>
  </r>
  <r>
    <d v="2023-01-04T00:00:00"/>
    <x v="3"/>
    <n v="102"/>
    <n v="64"/>
    <n v="166"/>
    <n v="53"/>
    <n v="113"/>
    <n v="0.31927710843373491"/>
    <n v="0"/>
    <n v="0"/>
    <n v="0"/>
    <n v="8"/>
    <n v="44"/>
    <n v="0"/>
    <n v="0"/>
    <n v="0"/>
    <n v="0"/>
    <n v="1"/>
    <n v="0"/>
    <n v="67"/>
  </r>
  <r>
    <d v="2023-01-05T00:00:00"/>
    <x v="4"/>
    <n v="80"/>
    <n v="76"/>
    <n v="156"/>
    <n v="0"/>
    <n v="153"/>
    <n v="0"/>
    <n v="0"/>
    <n v="0"/>
    <n v="0"/>
    <n v="0"/>
    <n v="0"/>
    <n v="0"/>
    <n v="0"/>
    <n v="0"/>
    <n v="3"/>
    <n v="0"/>
    <n v="0"/>
    <n v="154"/>
  </r>
  <r>
    <d v="2023-01-06T00:00:00"/>
    <x v="5"/>
    <n v="106"/>
    <n v="82"/>
    <n v="188"/>
    <n v="46"/>
    <n v="138"/>
    <n v="0.24468085106382978"/>
    <n v="0"/>
    <n v="0"/>
    <n v="5"/>
    <n v="0"/>
    <n v="33"/>
    <n v="0"/>
    <n v="0"/>
    <n v="0"/>
    <n v="4"/>
    <n v="3"/>
    <n v="5"/>
    <n v="80"/>
  </r>
  <r>
    <d v="2023-01-07T00:00:00"/>
    <x v="6"/>
    <n v="73"/>
    <n v="47"/>
    <n v="120"/>
    <n v="0"/>
    <n v="120"/>
    <n v="0"/>
    <n v="0"/>
    <n v="0"/>
    <n v="0"/>
    <n v="0"/>
    <n v="0"/>
    <n v="0"/>
    <n v="0"/>
    <n v="0"/>
    <n v="0"/>
    <n v="0"/>
    <n v="0"/>
    <n v="118"/>
  </r>
  <r>
    <d v="2023-01-08T00:00:00"/>
    <x v="0"/>
    <n v="99"/>
    <n v="42"/>
    <n v="141"/>
    <n v="18"/>
    <n v="122"/>
    <n v="0.1276595744680851"/>
    <n v="0"/>
    <n v="0"/>
    <n v="0"/>
    <n v="0"/>
    <n v="15"/>
    <n v="0"/>
    <n v="0"/>
    <n v="0"/>
    <n v="1"/>
    <n v="0"/>
    <n v="3"/>
    <n v="120"/>
  </r>
  <r>
    <d v="2023-01-09T00:00:00"/>
    <x v="1"/>
    <n v="84"/>
    <n v="28"/>
    <n v="112"/>
    <n v="15"/>
    <n v="93"/>
    <n v="0.13392857142857142"/>
    <n v="0"/>
    <n v="0"/>
    <n v="2"/>
    <n v="0"/>
    <n v="7"/>
    <n v="0"/>
    <n v="0"/>
    <n v="0"/>
    <n v="4"/>
    <n v="0"/>
    <n v="6"/>
    <n v="67"/>
  </r>
  <r>
    <d v="2023-01-10T00:00:00"/>
    <x v="2"/>
    <n v="66"/>
    <n v="34"/>
    <n v="100"/>
    <n v="0"/>
    <n v="100"/>
    <n v="0"/>
    <n v="0"/>
    <n v="0"/>
    <n v="0"/>
    <n v="0"/>
    <n v="0"/>
    <n v="0"/>
    <n v="0"/>
    <n v="0"/>
    <n v="0"/>
    <n v="0"/>
    <n v="0"/>
    <n v="0"/>
  </r>
  <r>
    <d v="2023-01-11T00:00:00"/>
    <x v="3"/>
    <n v="100"/>
    <n v="65"/>
    <n v="165"/>
    <n v="84"/>
    <n v="78"/>
    <n v="0.50909090909090904"/>
    <n v="0"/>
    <n v="0"/>
    <n v="20"/>
    <n v="2"/>
    <n v="46"/>
    <n v="0"/>
    <n v="0"/>
    <n v="0"/>
    <n v="3"/>
    <n v="4"/>
    <n v="12"/>
    <n v="44"/>
  </r>
  <r>
    <d v="2023-01-12T00:00:00"/>
    <x v="4"/>
    <n v="74"/>
    <n v="89"/>
    <n v="163"/>
    <n v="0"/>
    <n v="159"/>
    <n v="0"/>
    <n v="0"/>
    <n v="0"/>
    <n v="0"/>
    <n v="0"/>
    <n v="0"/>
    <n v="0"/>
    <n v="0"/>
    <n v="0"/>
    <n v="4"/>
    <n v="0"/>
    <n v="0"/>
    <n v="161"/>
  </r>
  <r>
    <d v="2023-01-13T00:00:00"/>
    <x v="5"/>
    <n v="107"/>
    <n v="84"/>
    <n v="191"/>
    <n v="72"/>
    <n v="117"/>
    <n v="0.37696335078534032"/>
    <n v="0"/>
    <n v="0"/>
    <n v="2"/>
    <n v="0"/>
    <n v="49"/>
    <n v="2"/>
    <n v="0"/>
    <n v="0"/>
    <n v="2"/>
    <n v="0"/>
    <n v="19"/>
    <n v="80"/>
  </r>
  <r>
    <d v="2023-01-14T00:00:00"/>
    <x v="6"/>
    <n v="95"/>
    <n v="0"/>
    <n v="95"/>
    <n v="0"/>
    <n v="95"/>
    <n v="0"/>
    <n v="0"/>
    <n v="0"/>
    <n v="0"/>
    <n v="0"/>
    <n v="0"/>
    <n v="0"/>
    <n v="0"/>
    <n v="0"/>
    <n v="0"/>
    <n v="0"/>
    <n v="0"/>
    <n v="95"/>
  </r>
  <r>
    <d v="2023-01-15T00:00:00"/>
    <x v="0"/>
    <n v="102"/>
    <n v="85"/>
    <n v="187"/>
    <n v="31"/>
    <n v="152"/>
    <n v="0.16577540106951871"/>
    <n v="0"/>
    <n v="0"/>
    <n v="0"/>
    <n v="1"/>
    <n v="24"/>
    <n v="0"/>
    <n v="0"/>
    <n v="0"/>
    <n v="4"/>
    <n v="0"/>
    <n v="6"/>
    <n v="162"/>
  </r>
  <r>
    <d v="2023-01-16T00:00:00"/>
    <x v="1"/>
    <n v="59"/>
    <n v="74"/>
    <n v="133"/>
    <n v="39"/>
    <n v="87"/>
    <n v="0.2932330827067669"/>
    <n v="0"/>
    <n v="0"/>
    <n v="15"/>
    <n v="0"/>
    <n v="22"/>
    <n v="0"/>
    <n v="0"/>
    <n v="0"/>
    <n v="7"/>
    <n v="0"/>
    <n v="2"/>
    <n v="74"/>
  </r>
  <r>
    <d v="2023-01-17T00:00:00"/>
    <x v="2"/>
    <n v="69"/>
    <n v="2"/>
    <n v="71"/>
    <n v="0"/>
    <n v="70"/>
    <n v="0"/>
    <n v="0"/>
    <n v="0"/>
    <n v="0"/>
    <n v="0"/>
    <n v="0"/>
    <n v="0"/>
    <n v="0"/>
    <n v="0"/>
    <n v="1"/>
    <n v="0"/>
    <n v="0"/>
    <n v="0"/>
  </r>
  <r>
    <d v="2023-01-18T00:00:00"/>
    <x v="3"/>
    <n v="55"/>
    <n v="46"/>
    <n v="101"/>
    <n v="32"/>
    <n v="67"/>
    <n v="0.31683168316831684"/>
    <n v="0"/>
    <n v="0"/>
    <n v="3"/>
    <n v="0"/>
    <n v="18"/>
    <n v="0"/>
    <n v="0"/>
    <n v="0"/>
    <n v="2"/>
    <n v="7"/>
    <n v="4"/>
    <n v="34"/>
  </r>
  <r>
    <d v="2023-01-19T00:00:00"/>
    <x v="4"/>
    <n v="82"/>
    <n v="79"/>
    <n v="161"/>
    <n v="5"/>
    <n v="154"/>
    <n v="3.1055900621118012E-2"/>
    <n v="2"/>
    <n v="0"/>
    <n v="0"/>
    <n v="0"/>
    <n v="0"/>
    <n v="0"/>
    <n v="0"/>
    <n v="0"/>
    <n v="2"/>
    <n v="0"/>
    <n v="3"/>
    <n v="154"/>
  </r>
  <r>
    <d v="2023-01-20T00:00:00"/>
    <x v="5"/>
    <n v="108"/>
    <n v="71"/>
    <n v="179"/>
    <n v="53"/>
    <n v="121"/>
    <n v="0.29608938547486036"/>
    <n v="1"/>
    <n v="0"/>
    <n v="3"/>
    <n v="1"/>
    <n v="27"/>
    <n v="0"/>
    <n v="0"/>
    <n v="0"/>
    <n v="5"/>
    <n v="13"/>
    <n v="8"/>
    <n v="62"/>
  </r>
  <r>
    <d v="2023-01-21T00:00:00"/>
    <x v="6"/>
    <n v="100"/>
    <n v="58"/>
    <n v="158"/>
    <n v="1"/>
    <n v="153"/>
    <n v="6.3291139240506328E-3"/>
    <n v="0"/>
    <n v="0"/>
    <n v="0"/>
    <n v="0"/>
    <n v="0"/>
    <n v="0"/>
    <n v="0"/>
    <n v="0"/>
    <n v="4"/>
    <n v="0"/>
    <n v="1"/>
    <n v="156"/>
  </r>
  <r>
    <d v="2023-01-22T00:00:00"/>
    <x v="0"/>
    <n v="91"/>
    <n v="94"/>
    <n v="185"/>
    <n v="23"/>
    <n v="159"/>
    <n v="0.12432432432432433"/>
    <n v="0"/>
    <n v="0"/>
    <n v="2"/>
    <n v="0"/>
    <n v="14"/>
    <n v="0"/>
    <n v="0"/>
    <n v="0"/>
    <n v="3"/>
    <n v="0"/>
    <n v="7"/>
    <n v="158"/>
  </r>
  <r>
    <d v="2023-01-23T00:00:00"/>
    <x v="1"/>
    <n v="51"/>
    <n v="68"/>
    <n v="119"/>
    <n v="25"/>
    <n v="90"/>
    <n v="0.21008403361344538"/>
    <n v="0"/>
    <n v="0"/>
    <n v="4"/>
    <n v="0"/>
    <n v="17"/>
    <n v="0"/>
    <n v="0"/>
    <n v="0"/>
    <n v="4"/>
    <n v="0"/>
    <n v="4"/>
    <n v="73"/>
  </r>
  <r>
    <d v="2023-01-24T00:00:00"/>
    <x v="2"/>
    <n v="83"/>
    <n v="16"/>
    <n v="99"/>
    <n v="0"/>
    <n v="97"/>
    <n v="0"/>
    <n v="0"/>
    <n v="0"/>
    <n v="0"/>
    <n v="0"/>
    <n v="0"/>
    <n v="0"/>
    <n v="0"/>
    <n v="0"/>
    <n v="2"/>
    <n v="0"/>
    <n v="0"/>
    <n v="0"/>
  </r>
  <r>
    <d v="2023-01-25T00:00:00"/>
    <x v="3"/>
    <n v="42"/>
    <n v="142"/>
    <n v="184"/>
    <n v="48"/>
    <n v="133"/>
    <n v="0.2608695652173913"/>
    <n v="0"/>
    <n v="0"/>
    <n v="12"/>
    <n v="0"/>
    <n v="28"/>
    <n v="0"/>
    <n v="0"/>
    <n v="0"/>
    <n v="3"/>
    <n v="4"/>
    <n v="4"/>
    <n v="35"/>
  </r>
  <r>
    <d v="2023-01-26T00:00:00"/>
    <x v="4"/>
    <n v="101"/>
    <n v="93"/>
    <n v="194"/>
    <n v="9"/>
    <n v="182"/>
    <n v="4.6391752577319589E-2"/>
    <n v="0"/>
    <n v="0"/>
    <n v="0"/>
    <n v="0"/>
    <n v="9"/>
    <n v="0"/>
    <n v="0"/>
    <n v="0"/>
    <n v="3"/>
    <n v="0"/>
    <n v="0"/>
    <n v="184"/>
  </r>
  <r>
    <d v="2023-01-27T00:00:00"/>
    <x v="5"/>
    <n v="106"/>
    <n v="88"/>
    <n v="194"/>
    <n v="54"/>
    <n v="132"/>
    <n v="0.27835051546391754"/>
    <n v="0"/>
    <n v="0"/>
    <n v="10"/>
    <n v="1"/>
    <n v="35"/>
    <n v="0"/>
    <n v="0"/>
    <n v="0"/>
    <n v="8"/>
    <n v="0"/>
    <n v="8"/>
    <n v="74"/>
  </r>
  <r>
    <d v="2023-01-28T00:00:00"/>
    <x v="6"/>
    <n v="96"/>
    <n v="16"/>
    <n v="112"/>
    <n v="0"/>
    <n v="112"/>
    <n v="0"/>
    <n v="0"/>
    <n v="0"/>
    <n v="0"/>
    <n v="0"/>
    <n v="0"/>
    <n v="0"/>
    <n v="0"/>
    <n v="0"/>
    <n v="0"/>
    <n v="0"/>
    <n v="0"/>
    <n v="52"/>
  </r>
  <r>
    <d v="2023-01-29T00:00:00"/>
    <x v="0"/>
    <n v="98"/>
    <n v="86"/>
    <n v="184"/>
    <n v="13"/>
    <n v="168"/>
    <n v="7.0652173913043473E-2"/>
    <n v="0"/>
    <n v="0"/>
    <n v="0"/>
    <n v="0"/>
    <n v="11"/>
    <n v="0"/>
    <n v="0"/>
    <n v="0"/>
    <n v="3"/>
    <n v="0"/>
    <n v="2"/>
    <n v="118"/>
  </r>
  <r>
    <d v="2023-01-30T00:00:00"/>
    <x v="1"/>
    <n v="68"/>
    <n v="45"/>
    <n v="113"/>
    <n v="15"/>
    <n v="94"/>
    <n v="0.13274336283185842"/>
    <n v="0"/>
    <n v="0"/>
    <n v="0"/>
    <n v="0"/>
    <n v="7"/>
    <n v="0"/>
    <n v="0"/>
    <n v="0"/>
    <n v="4"/>
    <n v="8"/>
    <n v="0"/>
    <n v="72"/>
  </r>
  <r>
    <d v="2023-01-31T00:00:00"/>
    <x v="2"/>
    <n v="95"/>
    <n v="25"/>
    <n v="120"/>
    <n v="0"/>
    <n v="117"/>
    <n v="0"/>
    <n v="0"/>
    <n v="0"/>
    <n v="0"/>
    <n v="0"/>
    <n v="0"/>
    <n v="0"/>
    <n v="0"/>
    <n v="0"/>
    <n v="3"/>
    <n v="0"/>
    <n v="0"/>
    <n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3-12-01T00:00:00"/>
    <x v="0"/>
    <n v="52"/>
    <n v="141"/>
    <n v="193"/>
    <n v="45"/>
    <n v="145"/>
    <n v="0.23316062176165803"/>
    <n v="0"/>
    <n v="0"/>
    <n v="2"/>
    <n v="0"/>
    <n v="35"/>
    <n v="0"/>
    <n v="0"/>
    <n v="0"/>
    <n v="3"/>
    <n v="0"/>
    <n v="8"/>
    <n v="60"/>
  </r>
  <r>
    <d v="2023-12-02T00:00:00"/>
    <x v="1"/>
    <n v="76"/>
    <n v="4"/>
    <n v="80"/>
    <n v="7"/>
    <n v="73"/>
    <n v="8.7499999999999994E-2"/>
    <n v="0"/>
    <n v="0"/>
    <n v="0"/>
    <n v="0"/>
    <n v="0"/>
    <n v="0"/>
    <n v="0"/>
    <n v="0"/>
    <n v="0"/>
    <n v="0"/>
    <n v="7"/>
    <n v="0"/>
  </r>
  <r>
    <d v="2023-12-03T00:00:00"/>
    <x v="2"/>
    <n v="99"/>
    <n v="104"/>
    <n v="203"/>
    <n v="21"/>
    <n v="178"/>
    <n v="0.10344827586206896"/>
    <n v="0"/>
    <n v="0"/>
    <n v="0"/>
    <n v="0"/>
    <n v="13"/>
    <n v="0"/>
    <n v="0"/>
    <n v="0"/>
    <n v="4"/>
    <n v="0"/>
    <n v="8"/>
    <n v="155"/>
  </r>
  <r>
    <d v="2023-12-04T00:00:00"/>
    <x v="3"/>
    <n v="56"/>
    <n v="70"/>
    <n v="126"/>
    <n v="41"/>
    <n v="83"/>
    <n v="0.32539682539682541"/>
    <n v="0"/>
    <n v="0"/>
    <n v="20"/>
    <n v="0"/>
    <n v="9"/>
    <n v="0"/>
    <n v="0"/>
    <n v="0"/>
    <n v="2"/>
    <n v="8"/>
    <n v="4"/>
    <n v="54"/>
  </r>
  <r>
    <d v="2023-12-05T00:00:00"/>
    <x v="4"/>
    <n v="107"/>
    <n v="19"/>
    <n v="126"/>
    <n v="0"/>
    <n v="124"/>
    <n v="0"/>
    <n v="0"/>
    <n v="0"/>
    <n v="0"/>
    <n v="0"/>
    <n v="0"/>
    <n v="0"/>
    <n v="0"/>
    <n v="0"/>
    <n v="2"/>
    <n v="0"/>
    <n v="0"/>
    <n v="0"/>
  </r>
  <r>
    <d v="2023-12-06T00:00:00"/>
    <x v="5"/>
    <n v="40"/>
    <n v="85"/>
    <n v="125"/>
    <n v="83"/>
    <n v="42"/>
    <n v="0.66400000000000003"/>
    <n v="0"/>
    <n v="0"/>
    <n v="2"/>
    <n v="2"/>
    <n v="5"/>
    <n v="0"/>
    <n v="70"/>
    <n v="0"/>
    <n v="0"/>
    <n v="3"/>
    <n v="1"/>
    <n v="0"/>
  </r>
  <r>
    <d v="2023-12-07T00:00:00"/>
    <x v="6"/>
    <n v="89"/>
    <n v="83"/>
    <n v="172"/>
    <n v="2"/>
    <n v="170"/>
    <n v="1.1627906976744186E-2"/>
    <n v="0"/>
    <n v="0"/>
    <n v="0"/>
    <n v="0"/>
    <n v="0"/>
    <n v="0"/>
    <n v="0"/>
    <n v="0"/>
    <n v="0"/>
    <n v="0"/>
    <n v="2"/>
    <n v="159"/>
  </r>
  <r>
    <d v="2023-12-08T00:00:00"/>
    <x v="0"/>
    <n v="88"/>
    <n v="52"/>
    <n v="140"/>
    <n v="54"/>
    <n v="86"/>
    <n v="0.38571428571428573"/>
    <n v="0"/>
    <n v="0"/>
    <n v="20"/>
    <n v="0"/>
    <n v="33"/>
    <n v="0"/>
    <n v="0"/>
    <n v="0"/>
    <n v="0"/>
    <n v="0"/>
    <n v="1"/>
    <n v="25"/>
  </r>
  <r>
    <d v="2023-12-09T00:00:00"/>
    <x v="1"/>
    <n v="60"/>
    <n v="54"/>
    <n v="114"/>
    <n v="6"/>
    <n v="108"/>
    <n v="5.2631578947368418E-2"/>
    <n v="0"/>
    <n v="0"/>
    <n v="2"/>
    <n v="0"/>
    <n v="0"/>
    <n v="0"/>
    <n v="0"/>
    <n v="0"/>
    <n v="0"/>
    <n v="0"/>
    <n v="4"/>
    <n v="105"/>
  </r>
  <r>
    <d v="2023-12-10T00:00:00"/>
    <x v="2"/>
    <n v="116"/>
    <n v="34"/>
    <n v="150"/>
    <n v="14"/>
    <n v="133"/>
    <n v="9.3333333333333338E-2"/>
    <n v="0"/>
    <n v="0"/>
    <n v="0"/>
    <n v="0"/>
    <n v="10"/>
    <n v="0"/>
    <n v="0"/>
    <n v="0"/>
    <n v="3"/>
    <n v="0"/>
    <n v="4"/>
    <n v="135"/>
  </r>
  <r>
    <d v="2023-12-11T00:00:0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d v="2023-12-12T00:00:00"/>
    <x v="4"/>
    <n v="90"/>
    <n v="17"/>
    <n v="107"/>
    <n v="0"/>
    <n v="106"/>
    <n v="0"/>
    <n v="0"/>
    <n v="0"/>
    <n v="0"/>
    <n v="0"/>
    <n v="0"/>
    <n v="0"/>
    <n v="0"/>
    <n v="0"/>
    <n v="1"/>
    <n v="0"/>
    <n v="0"/>
    <n v="0"/>
  </r>
  <r>
    <d v="2023-12-13T00:00:00"/>
    <x v="5"/>
    <n v="63"/>
    <n v="24"/>
    <n v="87"/>
    <n v="35"/>
    <n v="52"/>
    <n v="0.40229885057471265"/>
    <n v="0"/>
    <n v="0"/>
    <n v="6"/>
    <n v="2"/>
    <n v="21"/>
    <n v="0"/>
    <n v="0"/>
    <n v="0"/>
    <n v="0"/>
    <n v="2"/>
    <n v="4"/>
    <n v="28"/>
  </r>
  <r>
    <d v="2023-12-14T00:00:00"/>
    <x v="6"/>
    <n v="79"/>
    <n v="76"/>
    <n v="155"/>
    <n v="0"/>
    <n v="154"/>
    <n v="0"/>
    <n v="0"/>
    <n v="0"/>
    <n v="0"/>
    <n v="0"/>
    <n v="0"/>
    <n v="0"/>
    <n v="0"/>
    <n v="0"/>
    <n v="1"/>
    <n v="0"/>
    <n v="0"/>
    <n v="152"/>
  </r>
  <r>
    <d v="2023-12-15T00:00:00"/>
    <x v="0"/>
    <n v="144"/>
    <n v="61"/>
    <n v="205"/>
    <n v="155"/>
    <n v="48"/>
    <n v="0.75609756097560976"/>
    <n v="0"/>
    <n v="0"/>
    <n v="0"/>
    <n v="0"/>
    <n v="8"/>
    <n v="0"/>
    <n v="144"/>
    <n v="0"/>
    <n v="2"/>
    <n v="0"/>
    <n v="3"/>
    <n v="0"/>
  </r>
  <r>
    <d v="2023-12-16T00:00:00"/>
    <x v="1"/>
    <n v="105"/>
    <n v="68"/>
    <n v="173"/>
    <n v="2"/>
    <n v="171"/>
    <n v="1.1560693641618497E-2"/>
    <n v="0"/>
    <n v="0"/>
    <n v="0"/>
    <n v="0"/>
    <n v="0"/>
    <n v="0"/>
    <n v="0"/>
    <n v="0"/>
    <n v="0"/>
    <n v="0"/>
    <n v="2"/>
    <n v="166"/>
  </r>
  <r>
    <d v="2023-12-17T00:00:00"/>
    <x v="2"/>
    <n v="102"/>
    <n v="90"/>
    <n v="192"/>
    <n v="32"/>
    <n v="158"/>
    <n v="0.16666666666666666"/>
    <n v="0"/>
    <n v="0"/>
    <n v="2"/>
    <n v="0"/>
    <n v="27"/>
    <n v="0"/>
    <n v="0"/>
    <n v="0"/>
    <n v="2"/>
    <n v="0"/>
    <n v="3"/>
    <n v="174"/>
  </r>
  <r>
    <d v="2023-12-18T00:00:0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d v="2023-12-19T00:00:0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d v="2023-12-20T00:00:0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d v="2023-12-21T00:00:00"/>
    <x v="6"/>
    <n v="84"/>
    <n v="68"/>
    <n v="152"/>
    <n v="0"/>
    <n v="149"/>
    <n v="0"/>
    <n v="0"/>
    <n v="0"/>
    <n v="0"/>
    <n v="0"/>
    <n v="0"/>
    <n v="0"/>
    <n v="0"/>
    <n v="0"/>
    <n v="3"/>
    <n v="0"/>
    <n v="0"/>
    <n v="149"/>
  </r>
  <r>
    <d v="2023-12-22T00:00:00"/>
    <x v="0"/>
    <n v="97"/>
    <n v="80"/>
    <n v="177"/>
    <n v="48"/>
    <n v="126"/>
    <n v="0.2711864406779661"/>
    <n v="0"/>
    <n v="0"/>
    <n v="2"/>
    <n v="0"/>
    <n v="42"/>
    <n v="0"/>
    <n v="0"/>
    <n v="0"/>
    <n v="3"/>
    <n v="4"/>
    <n v="0"/>
    <n v="78"/>
  </r>
  <r>
    <d v="2023-12-23T00:00:00"/>
    <x v="1"/>
    <n v="94"/>
    <n v="68"/>
    <n v="162"/>
    <n v="0"/>
    <n v="160"/>
    <n v="0"/>
    <n v="0"/>
    <n v="0"/>
    <n v="0"/>
    <n v="0"/>
    <n v="0"/>
    <n v="0"/>
    <n v="0"/>
    <n v="0"/>
    <n v="2"/>
    <n v="0"/>
    <n v="0"/>
    <n v="159"/>
  </r>
  <r>
    <d v="2023-12-24T00:00:00"/>
    <x v="2"/>
    <n v="94"/>
    <n v="65"/>
    <n v="159"/>
    <n v="24"/>
    <n v="135"/>
    <n v="0.15094339622641509"/>
    <n v="0"/>
    <n v="0"/>
    <n v="2"/>
    <n v="0"/>
    <n v="19"/>
    <n v="0"/>
    <n v="0"/>
    <n v="0"/>
    <n v="0"/>
    <n v="3"/>
    <n v="0"/>
    <n v="125"/>
  </r>
  <r>
    <d v="2023-12-25T00:00:0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d v="2023-12-26T00:00:00"/>
    <x v="4"/>
    <n v="73"/>
    <n v="33"/>
    <n v="106"/>
    <n v="29"/>
    <n v="77"/>
    <n v="0.27358490566037735"/>
    <n v="2"/>
    <n v="0"/>
    <n v="4"/>
    <n v="0"/>
    <n v="21"/>
    <n v="0"/>
    <n v="0"/>
    <n v="0"/>
    <n v="0"/>
    <n v="0"/>
    <n v="2"/>
    <n v="65"/>
  </r>
  <r>
    <d v="2023-12-27T00:00:00"/>
    <x v="5"/>
    <n v="93"/>
    <n v="89"/>
    <n v="182"/>
    <n v="58"/>
    <n v="122"/>
    <n v="0.31868131868131866"/>
    <n v="0"/>
    <n v="0"/>
    <n v="3"/>
    <n v="0"/>
    <n v="50"/>
    <n v="0"/>
    <n v="0"/>
    <n v="0"/>
    <n v="2"/>
    <n v="4"/>
    <n v="1"/>
    <n v="70"/>
  </r>
  <r>
    <d v="2023-12-28T00:00:00"/>
    <x v="6"/>
    <n v="83"/>
    <n v="59"/>
    <n v="142"/>
    <n v="1"/>
    <n v="139"/>
    <n v="7.0422535211267607E-3"/>
    <n v="0"/>
    <n v="0"/>
    <n v="0"/>
    <n v="0"/>
    <n v="0"/>
    <n v="0"/>
    <n v="0"/>
    <n v="0"/>
    <n v="2"/>
    <n v="0"/>
    <n v="1"/>
    <n v="138"/>
  </r>
  <r>
    <d v="2023-12-29T00:00:00"/>
    <x v="0"/>
    <n v="104"/>
    <n v="82"/>
    <n v="186"/>
    <n v="60"/>
    <n v="121"/>
    <n v="0.32258064516129031"/>
    <n v="0"/>
    <n v="0"/>
    <n v="5"/>
    <n v="1"/>
    <n v="44"/>
    <n v="0"/>
    <n v="0"/>
    <n v="0"/>
    <n v="5"/>
    <n v="4"/>
    <n v="6"/>
    <n v="98"/>
  </r>
  <r>
    <d v="2023-12-30T00:00:00"/>
    <x v="1"/>
    <n v="85"/>
    <n v="51"/>
    <n v="136"/>
    <n v="0"/>
    <n v="135"/>
    <n v="0"/>
    <n v="0"/>
    <n v="0"/>
    <n v="0"/>
    <n v="0"/>
    <n v="0"/>
    <n v="0"/>
    <n v="0"/>
    <n v="0"/>
    <n v="1"/>
    <n v="0"/>
    <n v="0"/>
    <n v="135"/>
  </r>
  <r>
    <d v="2023-12-31T00:00:00"/>
    <x v="2"/>
    <n v="97"/>
    <n v="65"/>
    <n v="162"/>
    <n v="29"/>
    <n v="129"/>
    <n v="0.17901234567901234"/>
    <n v="0"/>
    <n v="0"/>
    <n v="0"/>
    <n v="0"/>
    <n v="23"/>
    <n v="0"/>
    <n v="0"/>
    <n v="0"/>
    <n v="4"/>
    <n v="0"/>
    <n v="6"/>
    <n v="133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3-02-01T00:00:00"/>
    <x v="0"/>
    <n v="76"/>
    <n v="69"/>
    <n v="145"/>
    <n v="48"/>
    <n v="96"/>
    <n v="0.33103448275862069"/>
    <n v="0"/>
    <n v="0"/>
    <n v="4"/>
    <n v="6"/>
    <n v="28"/>
    <n v="0"/>
    <n v="0"/>
    <n v="0"/>
    <n v="1"/>
    <n v="4"/>
    <n v="6"/>
    <n v="53"/>
  </r>
  <r>
    <d v="2023-02-02T00:00:00"/>
    <x v="1"/>
    <n v="87"/>
    <n v="84"/>
    <n v="171"/>
    <n v="4"/>
    <n v="166"/>
    <n v="2.3391812865497075E-2"/>
    <n v="0"/>
    <n v="0"/>
    <n v="0"/>
    <n v="0"/>
    <n v="0"/>
    <n v="0"/>
    <n v="0"/>
    <n v="0"/>
    <n v="1"/>
    <n v="0"/>
    <n v="4"/>
    <n v="164"/>
  </r>
  <r>
    <d v="2023-02-03T00:00:00"/>
    <x v="2"/>
    <n v="53"/>
    <n v="51"/>
    <n v="104"/>
    <n v="26"/>
    <n v="73"/>
    <n v="0.25"/>
    <n v="0"/>
    <n v="4"/>
    <n v="0"/>
    <n v="0"/>
    <n v="16"/>
    <n v="2"/>
    <n v="0"/>
    <n v="0"/>
    <n v="5"/>
    <n v="0"/>
    <n v="4"/>
    <n v="33"/>
  </r>
  <r>
    <d v="2023-02-04T00:00:00"/>
    <x v="3"/>
    <n v="66"/>
    <n v="56"/>
    <n v="122"/>
    <n v="0"/>
    <n v="122"/>
    <n v="0"/>
    <n v="0"/>
    <n v="0"/>
    <n v="0"/>
    <n v="0"/>
    <n v="0"/>
    <n v="0"/>
    <n v="0"/>
    <n v="0"/>
    <n v="0"/>
    <n v="0"/>
    <n v="0"/>
    <n v="116"/>
  </r>
  <r>
    <d v="2023-02-05T00:00:00"/>
    <x v="4"/>
    <n v="104"/>
    <n v="102"/>
    <n v="206"/>
    <n v="18"/>
    <n v="185"/>
    <n v="8.7378640776699032E-2"/>
    <n v="0"/>
    <n v="0"/>
    <n v="2"/>
    <n v="0"/>
    <n v="14"/>
    <n v="0"/>
    <n v="0"/>
    <n v="0"/>
    <n v="3"/>
    <n v="0"/>
    <n v="2"/>
    <n v="153"/>
  </r>
  <r>
    <d v="2023-02-06T00:00:00"/>
    <x v="5"/>
    <n v="63"/>
    <n v="77"/>
    <n v="140"/>
    <n v="27"/>
    <n v="106"/>
    <n v="0.19285714285714287"/>
    <n v="0"/>
    <n v="0"/>
    <n v="0"/>
    <n v="0"/>
    <n v="14"/>
    <n v="0"/>
    <n v="0"/>
    <n v="0"/>
    <n v="7"/>
    <n v="4"/>
    <n v="9"/>
    <n v="84"/>
  </r>
  <r>
    <d v="2023-02-07T00:00:00"/>
    <x v="6"/>
    <n v="139"/>
    <n v="40"/>
    <n v="179"/>
    <n v="0"/>
    <n v="173"/>
    <n v="0"/>
    <n v="0"/>
    <n v="0"/>
    <n v="0"/>
    <n v="0"/>
    <n v="0"/>
    <n v="0"/>
    <n v="0"/>
    <n v="0"/>
    <n v="6"/>
    <n v="0"/>
    <n v="0"/>
    <n v="0"/>
  </r>
  <r>
    <d v="2023-02-08T00:00:00"/>
    <x v="0"/>
    <n v="77"/>
    <n v="69"/>
    <n v="146"/>
    <n v="45"/>
    <n v="101"/>
    <n v="0.30821917808219179"/>
    <n v="0"/>
    <n v="0"/>
    <n v="8"/>
    <n v="0"/>
    <n v="23"/>
    <n v="0"/>
    <n v="0"/>
    <n v="0"/>
    <n v="0"/>
    <n v="4"/>
    <n v="10"/>
    <n v="43"/>
  </r>
  <r>
    <d v="2023-02-09T00:00:00"/>
    <x v="1"/>
    <n v="80"/>
    <n v="87"/>
    <n v="167"/>
    <n v="0"/>
    <n v="165"/>
    <n v="0"/>
    <n v="0"/>
    <n v="0"/>
    <n v="0"/>
    <n v="0"/>
    <n v="0"/>
    <n v="0"/>
    <n v="0"/>
    <n v="0"/>
    <n v="2"/>
    <n v="0"/>
    <n v="0"/>
    <n v="162"/>
  </r>
  <r>
    <d v="2023-02-10T00:00:00"/>
    <x v="2"/>
    <n v="82"/>
    <n v="151"/>
    <n v="233"/>
    <n v="50"/>
    <n v="183"/>
    <n v="0.21459227467811159"/>
    <n v="0"/>
    <n v="0"/>
    <n v="13"/>
    <n v="0"/>
    <n v="26"/>
    <n v="0"/>
    <n v="0"/>
    <n v="0"/>
    <n v="0"/>
    <n v="0"/>
    <n v="11"/>
    <n v="77"/>
  </r>
  <r>
    <d v="2023-02-11T00:00:00"/>
    <x v="3"/>
    <n v="92"/>
    <n v="57"/>
    <n v="149"/>
    <n v="2"/>
    <n v="147"/>
    <n v="1.3422818791946308E-2"/>
    <n v="0"/>
    <n v="0"/>
    <n v="0"/>
    <n v="0"/>
    <n v="0"/>
    <n v="0"/>
    <n v="0"/>
    <n v="0"/>
    <n v="0"/>
    <n v="0"/>
    <n v="2"/>
    <n v="139"/>
  </r>
  <r>
    <d v="2023-02-12T00:00:00"/>
    <x v="4"/>
    <n v="101"/>
    <n v="101"/>
    <n v="202"/>
    <n v="55"/>
    <n v="144"/>
    <n v="0.2722772277227723"/>
    <n v="0"/>
    <n v="0"/>
    <n v="1"/>
    <n v="0"/>
    <n v="19"/>
    <n v="0"/>
    <n v="0"/>
    <n v="32"/>
    <n v="3"/>
    <n v="2"/>
    <n v="1"/>
    <n v="118"/>
  </r>
  <r>
    <d v="2023-02-13T00:00:00"/>
    <x v="5"/>
    <n v="0"/>
    <n v="75"/>
    <n v="75"/>
    <n v="2"/>
    <n v="70"/>
    <n v="2.6666666666666668E-2"/>
    <n v="0"/>
    <n v="0"/>
    <n v="2"/>
    <n v="0"/>
    <n v="0"/>
    <n v="0"/>
    <n v="0"/>
    <n v="0"/>
    <n v="3"/>
    <n v="0"/>
    <n v="0"/>
    <n v="56"/>
  </r>
  <r>
    <d v="2023-02-14T00:00:00"/>
    <x v="6"/>
    <n v="101"/>
    <n v="46"/>
    <n v="147"/>
    <n v="11"/>
    <n v="136"/>
    <n v="7.4829931972789115E-2"/>
    <n v="0"/>
    <n v="0"/>
    <n v="0"/>
    <n v="0"/>
    <n v="11"/>
    <n v="0"/>
    <n v="0"/>
    <n v="0"/>
    <n v="0"/>
    <n v="0"/>
    <n v="0"/>
    <n v="0"/>
  </r>
  <r>
    <d v="2023-02-15T00:00:00"/>
    <x v="0"/>
    <n v="82"/>
    <n v="35"/>
    <n v="117"/>
    <n v="32"/>
    <n v="85"/>
    <n v="0.27350427350427353"/>
    <n v="0"/>
    <n v="0"/>
    <n v="11"/>
    <n v="0"/>
    <n v="14"/>
    <n v="0"/>
    <n v="0"/>
    <n v="0"/>
    <n v="0"/>
    <n v="0"/>
    <n v="7"/>
    <n v="37"/>
  </r>
  <r>
    <d v="2023-02-16T00:00:00"/>
    <x v="1"/>
    <n v="84"/>
    <n v="0"/>
    <n v="84"/>
    <n v="3"/>
    <n v="80"/>
    <n v="3.5714285714285712E-2"/>
    <n v="0"/>
    <n v="0"/>
    <n v="0"/>
    <n v="0"/>
    <n v="0"/>
    <n v="0"/>
    <n v="0"/>
    <n v="0"/>
    <n v="1"/>
    <n v="0"/>
    <n v="3"/>
    <n v="117"/>
  </r>
  <r>
    <d v="2023-02-17T00:00:00"/>
    <x v="2"/>
    <n v="89"/>
    <n v="30"/>
    <n v="119"/>
    <n v="92"/>
    <n v="25"/>
    <n v="0.77310924369747902"/>
    <n v="0"/>
    <n v="0"/>
    <n v="0"/>
    <n v="0"/>
    <n v="3"/>
    <n v="0"/>
    <n v="89"/>
    <n v="0"/>
    <n v="2"/>
    <n v="0"/>
    <n v="0"/>
    <n v="0"/>
  </r>
  <r>
    <d v="2023-02-18T00:00:00"/>
    <x v="3"/>
    <n v="64"/>
    <n v="96"/>
    <n v="160"/>
    <n v="6"/>
    <n v="154"/>
    <n v="3.7499999999999999E-2"/>
    <n v="0"/>
    <n v="0"/>
    <n v="0"/>
    <n v="0"/>
    <n v="0"/>
    <n v="0"/>
    <n v="0"/>
    <n v="0"/>
    <n v="0"/>
    <n v="0"/>
    <n v="6"/>
    <n v="158"/>
  </r>
  <r>
    <d v="2023-02-19T00:00:00"/>
    <x v="4"/>
    <n v="98"/>
    <n v="103"/>
    <n v="201"/>
    <n v="25"/>
    <n v="172"/>
    <n v="0.12437810945273632"/>
    <n v="0"/>
    <n v="0"/>
    <n v="1"/>
    <n v="0"/>
    <n v="14"/>
    <n v="0"/>
    <n v="0"/>
    <n v="0"/>
    <n v="4"/>
    <n v="0"/>
    <n v="10"/>
    <n v="137"/>
  </r>
  <r>
    <d v="2023-02-20T00:00:00"/>
    <x v="5"/>
    <n v="66"/>
    <n v="64"/>
    <n v="130"/>
    <n v="12"/>
    <n v="114"/>
    <n v="9.2307692307692313E-2"/>
    <n v="0"/>
    <n v="0"/>
    <n v="0"/>
    <n v="0"/>
    <n v="3"/>
    <n v="8"/>
    <n v="0"/>
    <n v="0"/>
    <n v="4"/>
    <n v="0"/>
    <n v="1"/>
    <n v="63"/>
  </r>
  <r>
    <d v="2023-02-21T00:00:00"/>
    <x v="6"/>
    <n v="102"/>
    <n v="56"/>
    <n v="158"/>
    <n v="4"/>
    <n v="150"/>
    <n v="2.5316455696202531E-2"/>
    <n v="0"/>
    <n v="0"/>
    <n v="0"/>
    <n v="0"/>
    <n v="0"/>
    <n v="0"/>
    <n v="0"/>
    <n v="0"/>
    <n v="4"/>
    <n v="0"/>
    <n v="4"/>
    <n v="0"/>
  </r>
  <r>
    <d v="2023-02-22T00:00:00"/>
    <x v="0"/>
    <n v="80"/>
    <n v="104"/>
    <n v="184"/>
    <n v="140"/>
    <n v="44"/>
    <n v="0.76086956521739135"/>
    <n v="0"/>
    <n v="0"/>
    <n v="28"/>
    <n v="0"/>
    <n v="8"/>
    <n v="0"/>
    <n v="104"/>
    <n v="0"/>
    <n v="0"/>
    <n v="0"/>
    <n v="0"/>
    <n v="0"/>
  </r>
  <r>
    <d v="2023-02-23T00:00:00"/>
    <x v="1"/>
    <n v="84"/>
    <n v="68"/>
    <n v="152"/>
    <n v="5"/>
    <n v="144"/>
    <n v="3.2894736842105261E-2"/>
    <n v="0"/>
    <n v="0"/>
    <n v="0"/>
    <n v="0"/>
    <n v="0"/>
    <n v="0"/>
    <n v="0"/>
    <n v="0"/>
    <n v="3"/>
    <n v="0"/>
    <n v="5"/>
    <n v="145"/>
  </r>
  <r>
    <d v="2023-02-24T00:00:00"/>
    <x v="2"/>
    <n v="77"/>
    <n v="97"/>
    <n v="174"/>
    <n v="48"/>
    <n v="126"/>
    <n v="0.27586206896551724"/>
    <n v="1"/>
    <n v="0"/>
    <n v="1"/>
    <n v="0"/>
    <n v="33"/>
    <n v="0"/>
    <n v="0"/>
    <n v="0"/>
    <n v="0"/>
    <n v="0"/>
    <n v="13"/>
    <n v="51"/>
  </r>
  <r>
    <d v="2023-02-25T00:00:00"/>
    <x v="3"/>
    <n v="100"/>
    <n v="94"/>
    <n v="194"/>
    <n v="0"/>
    <n v="194"/>
    <n v="0"/>
    <n v="0"/>
    <n v="0"/>
    <n v="0"/>
    <n v="0"/>
    <n v="0"/>
    <n v="0"/>
    <n v="0"/>
    <n v="0"/>
    <n v="0"/>
    <n v="0"/>
    <n v="0"/>
    <n v="0"/>
  </r>
  <r>
    <d v="2023-02-26T00:00:00"/>
    <x v="4"/>
    <n v="92"/>
    <n v="80"/>
    <n v="172"/>
    <n v="34"/>
    <n v="137"/>
    <n v="0.19767441860465115"/>
    <n v="0"/>
    <n v="0"/>
    <n v="0"/>
    <n v="0"/>
    <n v="33"/>
    <n v="0"/>
    <n v="0"/>
    <n v="0"/>
    <n v="1"/>
    <n v="1"/>
    <n v="0"/>
    <n v="117"/>
  </r>
  <r>
    <d v="2023-02-27T00:00:00"/>
    <x v="5"/>
    <n v="68"/>
    <n v="80"/>
    <n v="148"/>
    <n v="48"/>
    <n v="97"/>
    <n v="0.32432432432432434"/>
    <n v="0"/>
    <n v="10"/>
    <n v="16"/>
    <n v="0"/>
    <n v="6"/>
    <n v="0"/>
    <n v="0"/>
    <n v="0"/>
    <n v="3"/>
    <n v="0"/>
    <n v="16"/>
    <n v="60"/>
  </r>
  <r>
    <d v="2023-02-28T00:00:00"/>
    <x v="6"/>
    <n v="83"/>
    <n v="26"/>
    <n v="109"/>
    <n v="0"/>
    <n v="106"/>
    <n v="0"/>
    <n v="0"/>
    <n v="0"/>
    <n v="0"/>
    <n v="0"/>
    <n v="0"/>
    <n v="0"/>
    <n v="0"/>
    <n v="0"/>
    <n v="3"/>
    <n v="0"/>
    <n v="0"/>
    <n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3-08-01T00:00:00"/>
    <x v="0"/>
    <n v="81"/>
    <n v="33"/>
    <n v="114"/>
    <n v="0"/>
    <n v="112"/>
    <n v="0"/>
    <n v="0"/>
    <n v="0"/>
    <n v="0"/>
    <n v="0"/>
    <n v="0"/>
    <n v="0"/>
    <n v="0"/>
    <n v="0"/>
    <n v="2"/>
    <n v="0"/>
    <n v="0"/>
    <n v="0"/>
  </r>
  <r>
    <d v="2023-08-02T00:00:00"/>
    <x v="1"/>
    <n v="40"/>
    <n v="32"/>
    <n v="72"/>
    <n v="9"/>
    <n v="63"/>
    <n v="0.125"/>
    <n v="0"/>
    <n v="0"/>
    <n v="0"/>
    <n v="0"/>
    <n v="9"/>
    <n v="0"/>
    <n v="0"/>
    <n v="0"/>
    <n v="0"/>
    <n v="0"/>
    <n v="0"/>
    <n v="16"/>
  </r>
  <r>
    <d v="2023-08-03T00:00:00"/>
    <x v="2"/>
    <n v="74"/>
    <n v="68"/>
    <n v="142"/>
    <n v="2"/>
    <n v="138"/>
    <n v="1.4084507042253521E-2"/>
    <n v="0"/>
    <n v="0"/>
    <n v="0"/>
    <n v="0"/>
    <n v="1"/>
    <n v="0"/>
    <n v="0"/>
    <n v="0"/>
    <n v="2"/>
    <n v="0"/>
    <n v="1"/>
    <n v="139"/>
  </r>
  <r>
    <d v="2023-08-04T00:00:00"/>
    <x v="3"/>
    <n v="65"/>
    <n v="65"/>
    <n v="130"/>
    <n v="82"/>
    <n v="48"/>
    <n v="0.63076923076923075"/>
    <n v="0"/>
    <n v="0"/>
    <n v="0"/>
    <n v="0"/>
    <n v="16"/>
    <n v="0"/>
    <n v="0"/>
    <n v="0"/>
    <n v="0"/>
    <n v="62"/>
    <n v="4"/>
    <n v="59"/>
  </r>
  <r>
    <d v="2023-08-05T00:00:00"/>
    <x v="4"/>
    <n v="76"/>
    <n v="69"/>
    <n v="145"/>
    <n v="0"/>
    <n v="145"/>
    <n v="0"/>
    <n v="0"/>
    <n v="0"/>
    <n v="0"/>
    <n v="0"/>
    <n v="0"/>
    <n v="0"/>
    <n v="0"/>
    <n v="0"/>
    <n v="0"/>
    <n v="0"/>
    <n v="0"/>
    <n v="137"/>
  </r>
  <r>
    <d v="2023-08-06T00:00:00"/>
    <x v="5"/>
    <n v="88"/>
    <n v="93"/>
    <n v="181"/>
    <n v="36"/>
    <n v="145"/>
    <n v="0.19889502762430938"/>
    <n v="0"/>
    <n v="0"/>
    <n v="0"/>
    <n v="0"/>
    <n v="31"/>
    <n v="0"/>
    <n v="0"/>
    <n v="0"/>
    <n v="0"/>
    <n v="0"/>
    <n v="5"/>
    <n v="157"/>
  </r>
  <r>
    <d v="2023-08-07T00:00:00"/>
    <x v="6"/>
    <n v="51"/>
    <n v="53"/>
    <n v="104"/>
    <n v="15"/>
    <n v="89"/>
    <n v="0.14423076923076922"/>
    <n v="0"/>
    <n v="1"/>
    <n v="0"/>
    <n v="3"/>
    <n v="11"/>
    <n v="0"/>
    <n v="0"/>
    <n v="0"/>
    <n v="0"/>
    <n v="0"/>
    <n v="0"/>
    <n v="62"/>
  </r>
  <r>
    <d v="2023-08-08T00:00:00"/>
    <x v="0"/>
    <n v="81"/>
    <n v="34"/>
    <n v="115"/>
    <n v="0"/>
    <n v="115"/>
    <n v="0"/>
    <n v="0"/>
    <n v="0"/>
    <n v="0"/>
    <n v="0"/>
    <n v="0"/>
    <n v="0"/>
    <n v="0"/>
    <n v="0"/>
    <n v="0"/>
    <n v="0"/>
    <n v="0"/>
    <n v="0"/>
  </r>
  <r>
    <d v="2023-08-09T00:00:00"/>
    <x v="1"/>
    <n v="92"/>
    <n v="57"/>
    <n v="149"/>
    <n v="99"/>
    <n v="50"/>
    <n v="0.66442953020134232"/>
    <n v="0"/>
    <n v="0"/>
    <n v="0"/>
    <n v="0"/>
    <n v="7"/>
    <n v="0"/>
    <n v="92"/>
    <n v="0"/>
    <n v="0"/>
    <n v="0"/>
    <n v="0"/>
    <n v="0"/>
  </r>
  <r>
    <d v="2023-08-10T00:00:00"/>
    <x v="2"/>
    <n v="67"/>
    <n v="82"/>
    <n v="149"/>
    <n v="0"/>
    <n v="148"/>
    <n v="0"/>
    <n v="0"/>
    <n v="0"/>
    <n v="0"/>
    <n v="0"/>
    <n v="0"/>
    <n v="0"/>
    <n v="0"/>
    <n v="0"/>
    <n v="1"/>
    <n v="0"/>
    <n v="0"/>
    <n v="146"/>
  </r>
  <r>
    <d v="2023-08-11T00:00:00"/>
    <x v="3"/>
    <n v="88"/>
    <n v="73"/>
    <n v="161"/>
    <n v="97"/>
    <n v="64"/>
    <n v="0.60248447204968947"/>
    <n v="0"/>
    <n v="0"/>
    <n v="0"/>
    <n v="0"/>
    <n v="9"/>
    <n v="0"/>
    <n v="88"/>
    <n v="0"/>
    <n v="0"/>
    <n v="0"/>
    <n v="0"/>
    <n v="110"/>
  </r>
  <r>
    <d v="2023-08-12T00:00:00"/>
    <x v="4"/>
    <n v="81"/>
    <n v="50"/>
    <n v="131"/>
    <n v="0"/>
    <n v="130"/>
    <n v="0"/>
    <n v="0"/>
    <n v="0"/>
    <n v="0"/>
    <n v="0"/>
    <n v="0"/>
    <n v="0"/>
    <n v="0"/>
    <n v="0"/>
    <n v="1"/>
    <n v="0"/>
    <n v="0"/>
    <n v="111"/>
  </r>
  <r>
    <d v="2023-08-13T00:00:00"/>
    <x v="5"/>
    <n v="88"/>
    <n v="83"/>
    <n v="171"/>
    <n v="29"/>
    <n v="141"/>
    <n v="0.16959064327485379"/>
    <n v="0"/>
    <n v="0"/>
    <n v="0"/>
    <n v="0"/>
    <n v="26"/>
    <n v="0"/>
    <n v="0"/>
    <n v="0"/>
    <n v="1"/>
    <n v="1"/>
    <n v="2"/>
    <n v="142"/>
  </r>
  <r>
    <d v="2023-08-14T00:00:00"/>
    <x v="6"/>
    <n v="57"/>
    <n v="45"/>
    <n v="102"/>
    <n v="20"/>
    <n v="81"/>
    <n v="0.19607843137254902"/>
    <n v="0"/>
    <n v="0"/>
    <n v="0"/>
    <n v="0"/>
    <n v="13"/>
    <n v="0"/>
    <n v="0"/>
    <n v="0"/>
    <n v="1"/>
    <n v="0"/>
    <n v="7"/>
    <n v="58"/>
  </r>
  <r>
    <d v="2023-08-15T00:00:00"/>
    <x v="0"/>
    <n v="78"/>
    <n v="37"/>
    <n v="115"/>
    <n v="0"/>
    <n v="112"/>
    <n v="0"/>
    <n v="0"/>
    <n v="0"/>
    <n v="0"/>
    <n v="0"/>
    <n v="0"/>
    <n v="0"/>
    <n v="0"/>
    <n v="0"/>
    <n v="3"/>
    <n v="0"/>
    <n v="0"/>
    <n v="0"/>
  </r>
  <r>
    <d v="2023-08-16T00:00:00"/>
    <x v="1"/>
    <n v="38"/>
    <n v="82"/>
    <n v="120"/>
    <n v="74"/>
    <n v="46"/>
    <n v="0.6166666666666667"/>
    <n v="0"/>
    <n v="0"/>
    <n v="0"/>
    <n v="0"/>
    <n v="5"/>
    <n v="0"/>
    <n v="62"/>
    <n v="0"/>
    <n v="0"/>
    <n v="0"/>
    <n v="7"/>
    <n v="0"/>
  </r>
  <r>
    <d v="2023-08-17T00:00:00"/>
    <x v="2"/>
    <n v="71"/>
    <n v="70"/>
    <n v="141"/>
    <n v="0"/>
    <n v="139"/>
    <n v="0"/>
    <n v="0"/>
    <n v="0"/>
    <n v="0"/>
    <n v="0"/>
    <n v="0"/>
    <n v="0"/>
    <n v="0"/>
    <n v="0"/>
    <n v="2"/>
    <n v="0"/>
    <n v="0"/>
    <n v="134"/>
  </r>
  <r>
    <d v="2023-08-18T00:00:00"/>
    <x v="3"/>
    <n v="61"/>
    <n v="45"/>
    <n v="106"/>
    <n v="27"/>
    <n v="77"/>
    <n v="0.25471698113207547"/>
    <n v="1"/>
    <n v="0"/>
    <n v="5"/>
    <n v="1"/>
    <n v="17"/>
    <n v="0"/>
    <n v="0"/>
    <n v="0"/>
    <n v="2"/>
    <n v="0"/>
    <n v="3"/>
    <n v="30"/>
  </r>
  <r>
    <d v="2023-08-19T00:00:00"/>
    <x v="4"/>
    <n v="73"/>
    <n v="46"/>
    <n v="119"/>
    <n v="3"/>
    <n v="115"/>
    <n v="2.5210084033613446E-2"/>
    <n v="0"/>
    <n v="0"/>
    <n v="0"/>
    <n v="0"/>
    <n v="0"/>
    <n v="0"/>
    <n v="0"/>
    <n v="0"/>
    <n v="1"/>
    <n v="0"/>
    <n v="3"/>
    <n v="113"/>
  </r>
  <r>
    <d v="2023-08-20T00:00:00"/>
    <x v="5"/>
    <n v="82"/>
    <n v="79"/>
    <n v="161"/>
    <n v="20"/>
    <n v="137"/>
    <n v="0.12422360248447205"/>
    <n v="0"/>
    <n v="0"/>
    <n v="0"/>
    <n v="0"/>
    <n v="18"/>
    <n v="0"/>
    <n v="0"/>
    <n v="0"/>
    <n v="4"/>
    <n v="0"/>
    <n v="2"/>
    <n v="135"/>
  </r>
  <r>
    <d v="2023-08-21T00:00:00"/>
    <x v="6"/>
    <n v="0"/>
    <n v="62"/>
    <n v="62"/>
    <n v="5"/>
    <n v="55"/>
    <n v="8.0645161290322578E-2"/>
    <n v="0"/>
    <n v="0"/>
    <n v="0"/>
    <n v="0"/>
    <n v="4"/>
    <n v="0"/>
    <n v="0"/>
    <n v="0"/>
    <n v="2"/>
    <n v="0"/>
    <n v="1"/>
    <n v="37"/>
  </r>
  <r>
    <d v="2023-08-22T00:00:00"/>
    <x v="0"/>
    <n v="77"/>
    <n v="10"/>
    <n v="87"/>
    <n v="0"/>
    <n v="87"/>
    <n v="0"/>
    <n v="0"/>
    <n v="0"/>
    <n v="0"/>
    <n v="0"/>
    <n v="0"/>
    <n v="0"/>
    <n v="0"/>
    <n v="0"/>
    <n v="0"/>
    <n v="0"/>
    <n v="0"/>
    <n v="0"/>
  </r>
  <r>
    <d v="2023-08-23T00:00:00"/>
    <x v="1"/>
    <n v="87"/>
    <n v="47"/>
    <n v="134"/>
    <n v="91"/>
    <n v="43"/>
    <n v="0.67910447761194026"/>
    <n v="0"/>
    <n v="0"/>
    <n v="0"/>
    <n v="0"/>
    <n v="4"/>
    <n v="0"/>
    <n v="87"/>
    <n v="0"/>
    <n v="0"/>
    <n v="0"/>
    <n v="0"/>
    <n v="0"/>
  </r>
  <r>
    <d v="2023-08-24T00:00:00"/>
    <x v="2"/>
    <n v="72"/>
    <n v="75"/>
    <n v="147"/>
    <n v="0"/>
    <n v="145"/>
    <n v="0"/>
    <n v="0"/>
    <n v="0"/>
    <n v="0"/>
    <n v="0"/>
    <n v="0"/>
    <n v="0"/>
    <n v="0"/>
    <n v="0"/>
    <n v="2"/>
    <n v="0"/>
    <n v="0"/>
    <n v="143"/>
  </r>
  <r>
    <d v="2023-08-25T00:00:00"/>
    <x v="3"/>
    <n v="96"/>
    <n v="67"/>
    <n v="163"/>
    <n v="35"/>
    <n v="128"/>
    <n v="0.21472392638036811"/>
    <n v="0"/>
    <n v="0"/>
    <n v="0"/>
    <n v="0"/>
    <n v="32"/>
    <n v="0"/>
    <n v="0"/>
    <n v="0"/>
    <n v="0"/>
    <n v="0"/>
    <n v="3"/>
    <n v="80"/>
  </r>
  <r>
    <d v="2023-08-26T00:00:00"/>
    <x v="4"/>
    <n v="77"/>
    <n v="60"/>
    <n v="137"/>
    <n v="0"/>
    <n v="136"/>
    <n v="0"/>
    <n v="0"/>
    <n v="0"/>
    <n v="0"/>
    <n v="0"/>
    <n v="0"/>
    <n v="0"/>
    <n v="0"/>
    <n v="0"/>
    <n v="1"/>
    <n v="0"/>
    <n v="0"/>
    <n v="130"/>
  </r>
  <r>
    <d v="2023-08-27T00:00:00"/>
    <x v="5"/>
    <n v="100"/>
    <n v="95"/>
    <n v="195"/>
    <n v="66"/>
    <n v="129"/>
    <n v="0.33846153846153848"/>
    <n v="0"/>
    <n v="0"/>
    <n v="0"/>
    <n v="0"/>
    <n v="6"/>
    <n v="0"/>
    <n v="0"/>
    <n v="0"/>
    <n v="0"/>
    <n v="60"/>
    <n v="0"/>
    <n v="152"/>
  </r>
  <r>
    <d v="2023-08-28T00:00:00"/>
    <x v="6"/>
    <n v="51"/>
    <n v="58"/>
    <n v="109"/>
    <n v="23"/>
    <n v="86"/>
    <n v="0.21100917431192662"/>
    <n v="0"/>
    <n v="0"/>
    <n v="0"/>
    <n v="0"/>
    <n v="12"/>
    <n v="0"/>
    <n v="0"/>
    <n v="0"/>
    <n v="0"/>
    <n v="0"/>
    <n v="11"/>
    <n v="47"/>
  </r>
  <r>
    <d v="2023-08-29T00:00:00"/>
    <x v="0"/>
    <n v="88"/>
    <n v="21"/>
    <n v="109"/>
    <n v="7"/>
    <n v="101"/>
    <n v="6.4220183486238536E-2"/>
    <n v="0"/>
    <n v="0"/>
    <n v="0"/>
    <n v="0"/>
    <n v="0"/>
    <n v="0"/>
    <n v="0"/>
    <n v="0"/>
    <n v="1"/>
    <n v="0"/>
    <n v="7"/>
    <n v="0"/>
  </r>
  <r>
    <d v="2023-08-30T00:00:00"/>
    <x v="1"/>
    <n v="8"/>
    <n v="60"/>
    <n v="68"/>
    <n v="24"/>
    <n v="44"/>
    <n v="0.35294117647058826"/>
    <n v="4"/>
    <n v="0"/>
    <n v="0"/>
    <n v="0"/>
    <n v="0"/>
    <n v="0"/>
    <n v="20"/>
    <n v="0"/>
    <n v="0"/>
    <n v="0"/>
    <n v="0"/>
    <n v="11"/>
  </r>
  <r>
    <d v="2023-08-31T00:00:00"/>
    <x v="2"/>
    <n v="78"/>
    <n v="75"/>
    <n v="153"/>
    <n v="3"/>
    <n v="149"/>
    <n v="1.9607843137254902E-2"/>
    <n v="1"/>
    <n v="0"/>
    <n v="0"/>
    <n v="0"/>
    <n v="0"/>
    <n v="0"/>
    <n v="0"/>
    <n v="0"/>
    <n v="1"/>
    <n v="0"/>
    <n v="2"/>
    <n v="147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3-07-01T00:00:00"/>
    <x v="0"/>
    <n v="85"/>
    <n v="59"/>
    <n v="144"/>
    <n v="0"/>
    <n v="141"/>
    <n v="0"/>
    <n v="0"/>
    <n v="0"/>
    <n v="0"/>
    <n v="0"/>
    <n v="0"/>
    <n v="0"/>
    <n v="0"/>
    <n v="0"/>
    <n v="3"/>
    <n v="0"/>
    <n v="0"/>
    <n v="141"/>
  </r>
  <r>
    <d v="2023-07-02T00:00:00"/>
    <x v="1"/>
    <n v="81"/>
    <n v="71"/>
    <n v="152"/>
    <n v="14"/>
    <n v="132"/>
    <n v="9.2105263157894732E-2"/>
    <n v="1"/>
    <n v="0"/>
    <n v="0"/>
    <n v="0"/>
    <n v="13"/>
    <n v="0"/>
    <n v="0"/>
    <n v="0"/>
    <n v="6"/>
    <n v="0"/>
    <n v="0"/>
    <n v="104"/>
  </r>
  <r>
    <d v="2023-07-03T00:00:00"/>
    <x v="2"/>
    <n v="0"/>
    <n v="72"/>
    <n v="72"/>
    <n v="4"/>
    <n v="68"/>
    <n v="5.5555555555555552E-2"/>
    <n v="0"/>
    <n v="0"/>
    <n v="0"/>
    <n v="0"/>
    <n v="0"/>
    <n v="0"/>
    <n v="0"/>
    <n v="0"/>
    <n v="0"/>
    <n v="2"/>
    <n v="2"/>
    <n v="50"/>
  </r>
  <r>
    <d v="2023-07-04T00:00:00"/>
    <x v="3"/>
    <n v="68"/>
    <n v="0"/>
    <n v="68"/>
    <n v="0"/>
    <n v="68"/>
    <n v="0"/>
    <n v="0"/>
    <n v="0"/>
    <n v="0"/>
    <n v="0"/>
    <n v="0"/>
    <n v="0"/>
    <n v="0"/>
    <n v="0"/>
    <n v="0"/>
    <n v="0"/>
    <n v="0"/>
    <n v="0"/>
  </r>
  <r>
    <d v="2023-07-05T00:00:00"/>
    <x v="4"/>
    <n v="83"/>
    <n v="70"/>
    <n v="153"/>
    <n v="97"/>
    <n v="56"/>
    <n v="0.63398692810457513"/>
    <n v="0"/>
    <n v="0"/>
    <n v="0"/>
    <n v="0"/>
    <n v="10"/>
    <n v="0"/>
    <n v="83"/>
    <n v="0"/>
    <n v="0"/>
    <n v="0"/>
    <n v="4"/>
    <n v="112"/>
  </r>
  <r>
    <d v="2023-07-06T00:00:00"/>
    <x v="5"/>
    <n v="76"/>
    <n v="82"/>
    <n v="158"/>
    <n v="0"/>
    <n v="156"/>
    <n v="0"/>
    <n v="0"/>
    <n v="0"/>
    <n v="0"/>
    <n v="0"/>
    <n v="0"/>
    <n v="0"/>
    <n v="0"/>
    <n v="0"/>
    <n v="2"/>
    <n v="0"/>
    <n v="0"/>
    <n v="157"/>
  </r>
  <r>
    <d v="2023-07-07T00:00:00"/>
    <x v="6"/>
    <n v="95"/>
    <n v="51"/>
    <n v="146"/>
    <n v="30"/>
    <n v="115"/>
    <n v="0.20547945205479451"/>
    <n v="0"/>
    <n v="0"/>
    <n v="1"/>
    <n v="0"/>
    <n v="20"/>
    <n v="0"/>
    <n v="0"/>
    <n v="0"/>
    <n v="1"/>
    <n v="5"/>
    <n v="4"/>
    <n v="73"/>
  </r>
  <r>
    <d v="2023-07-08T00:00:00"/>
    <x v="0"/>
    <n v="62"/>
    <n v="40"/>
    <n v="102"/>
    <n v="0"/>
    <n v="102"/>
    <n v="0"/>
    <n v="0"/>
    <n v="0"/>
    <n v="0"/>
    <n v="0"/>
    <n v="0"/>
    <n v="0"/>
    <n v="0"/>
    <n v="0"/>
    <n v="0"/>
    <n v="0"/>
    <n v="0"/>
    <n v="91"/>
  </r>
  <r>
    <d v="2023-07-09T00:00:00"/>
    <x v="1"/>
    <n v="85"/>
    <n v="85"/>
    <n v="170"/>
    <n v="13"/>
    <n v="155"/>
    <n v="7.6470588235294124E-2"/>
    <n v="0"/>
    <n v="0"/>
    <n v="0"/>
    <n v="0"/>
    <n v="11"/>
    <n v="0"/>
    <n v="0"/>
    <n v="0"/>
    <n v="2"/>
    <n v="0"/>
    <n v="2"/>
    <n v="137"/>
  </r>
  <r>
    <d v="2023-07-10T00:00:00"/>
    <x v="2"/>
    <n v="60"/>
    <n v="68"/>
    <n v="128"/>
    <n v="65"/>
    <n v="61"/>
    <n v="0.5078125"/>
    <n v="2"/>
    <n v="0"/>
    <n v="0"/>
    <n v="0"/>
    <n v="2"/>
    <n v="0"/>
    <n v="60"/>
    <n v="0"/>
    <n v="2"/>
    <n v="0"/>
    <n v="1"/>
    <n v="36"/>
  </r>
  <r>
    <d v="2023-07-11T00:00:00"/>
    <x v="3"/>
    <n v="76"/>
    <n v="36"/>
    <n v="112"/>
    <n v="0"/>
    <n v="112"/>
    <n v="0"/>
    <n v="0"/>
    <n v="0"/>
    <n v="0"/>
    <n v="0"/>
    <n v="0"/>
    <n v="0"/>
    <n v="0"/>
    <n v="0"/>
    <n v="0"/>
    <n v="0"/>
    <n v="0"/>
    <n v="0"/>
  </r>
  <r>
    <d v="2023-07-12T00:00:00"/>
    <x v="4"/>
    <n v="59"/>
    <n v="43"/>
    <n v="102"/>
    <n v="19"/>
    <n v="82"/>
    <n v="0.18627450980392157"/>
    <n v="0"/>
    <n v="4"/>
    <n v="0"/>
    <n v="0"/>
    <n v="13"/>
    <n v="0"/>
    <n v="0"/>
    <n v="0"/>
    <n v="1"/>
    <n v="1"/>
    <n v="1"/>
    <n v="39"/>
  </r>
  <r>
    <d v="2023-07-13T00:00:00"/>
    <x v="5"/>
    <n v="71"/>
    <n v="65"/>
    <n v="136"/>
    <n v="0"/>
    <n v="135"/>
    <n v="0"/>
    <n v="0"/>
    <n v="0"/>
    <n v="0"/>
    <n v="0"/>
    <n v="0"/>
    <n v="0"/>
    <n v="0"/>
    <n v="0"/>
    <n v="1"/>
    <n v="0"/>
    <n v="0"/>
    <n v="134"/>
  </r>
  <r>
    <d v="2023-07-14T00:00:00"/>
    <x v="6"/>
    <n v="93"/>
    <n v="66"/>
    <n v="159"/>
    <n v="30"/>
    <n v="129"/>
    <n v="0.18867924528301888"/>
    <n v="0"/>
    <n v="1"/>
    <n v="0"/>
    <n v="1"/>
    <n v="22"/>
    <n v="0"/>
    <n v="4"/>
    <n v="0"/>
    <n v="0"/>
    <n v="0"/>
    <n v="2"/>
    <n v="74"/>
  </r>
  <r>
    <d v="2023-07-15T00:00:00"/>
    <x v="0"/>
    <n v="65"/>
    <n v="44"/>
    <n v="109"/>
    <n v="12"/>
    <n v="97"/>
    <n v="0.11009174311926606"/>
    <n v="0"/>
    <n v="0"/>
    <n v="0"/>
    <n v="0"/>
    <n v="0"/>
    <n v="0"/>
    <n v="12"/>
    <n v="0"/>
    <n v="0"/>
    <n v="0"/>
    <n v="0"/>
    <n v="101"/>
  </r>
  <r>
    <d v="2023-07-16T00:00:00"/>
    <x v="1"/>
    <n v="90"/>
    <n v="79"/>
    <n v="169"/>
    <n v="7"/>
    <n v="162"/>
    <n v="4.142011834319527E-2"/>
    <n v="0"/>
    <n v="0"/>
    <n v="0"/>
    <n v="0"/>
    <n v="7"/>
    <n v="0"/>
    <n v="0"/>
    <n v="0"/>
    <n v="0"/>
    <n v="0"/>
    <n v="0"/>
    <n v="142"/>
  </r>
  <r>
    <d v="2023-07-17T00:00:00"/>
    <x v="2"/>
    <n v="43"/>
    <n v="58"/>
    <n v="101"/>
    <n v="8"/>
    <n v="93"/>
    <n v="7.9207920792079209E-2"/>
    <n v="0"/>
    <n v="0"/>
    <n v="0"/>
    <n v="0"/>
    <n v="7"/>
    <n v="0"/>
    <n v="0"/>
    <n v="0"/>
    <n v="0"/>
    <n v="0"/>
    <n v="1"/>
    <n v="54"/>
  </r>
  <r>
    <d v="2023-07-18T00:00:00"/>
    <x v="3"/>
    <n v="80"/>
    <n v="10"/>
    <n v="90"/>
    <n v="0"/>
    <n v="90"/>
    <n v="0"/>
    <n v="0"/>
    <n v="0"/>
    <n v="0"/>
    <n v="0"/>
    <n v="0"/>
    <n v="0"/>
    <n v="0"/>
    <n v="0"/>
    <n v="0"/>
    <n v="0"/>
    <n v="0"/>
    <n v="0"/>
  </r>
  <r>
    <d v="2023-07-19T00:00:00"/>
    <x v="4"/>
    <n v="52"/>
    <n v="71"/>
    <n v="123"/>
    <n v="123"/>
    <n v="0"/>
    <n v="1"/>
    <n v="0"/>
    <n v="0"/>
    <n v="0"/>
    <n v="0"/>
    <n v="0"/>
    <n v="0"/>
    <n v="123"/>
    <n v="0"/>
    <n v="0"/>
    <n v="0"/>
    <n v="0"/>
    <n v="0"/>
  </r>
  <r>
    <d v="2023-07-20T00:00:00"/>
    <x v="5"/>
    <n v="66"/>
    <n v="65"/>
    <n v="131"/>
    <n v="0"/>
    <n v="130"/>
    <n v="0"/>
    <n v="0"/>
    <n v="0"/>
    <n v="0"/>
    <n v="0"/>
    <n v="0"/>
    <n v="0"/>
    <n v="0"/>
    <n v="0"/>
    <n v="1"/>
    <n v="0"/>
    <n v="0"/>
    <n v="123"/>
  </r>
  <r>
    <d v="2023-07-21T00:00:00"/>
    <x v="6"/>
    <n v="66"/>
    <n v="71"/>
    <n v="137"/>
    <n v="23"/>
    <n v="110"/>
    <n v="0.16788321167883211"/>
    <n v="2"/>
    <n v="0"/>
    <n v="0"/>
    <n v="0"/>
    <n v="13"/>
    <n v="0"/>
    <n v="0"/>
    <n v="0"/>
    <n v="4"/>
    <n v="6"/>
    <n v="2"/>
    <n v="60"/>
  </r>
  <r>
    <d v="2023-07-22T00:00:00"/>
    <x v="0"/>
    <n v="75"/>
    <n v="71"/>
    <n v="146"/>
    <n v="2"/>
    <n v="144"/>
    <n v="1.3698630136986301E-2"/>
    <n v="0"/>
    <n v="0"/>
    <n v="0"/>
    <n v="0"/>
    <n v="0"/>
    <n v="0"/>
    <n v="0"/>
    <n v="0"/>
    <n v="0"/>
    <n v="0"/>
    <n v="2"/>
    <n v="146"/>
  </r>
  <r>
    <d v="2023-07-23T00:00:00"/>
    <x v="1"/>
    <n v="91"/>
    <n v="85"/>
    <n v="176"/>
    <n v="21"/>
    <n v="154"/>
    <n v="0.11931818181818182"/>
    <n v="0"/>
    <n v="0"/>
    <n v="0"/>
    <n v="0"/>
    <n v="17"/>
    <n v="0"/>
    <n v="0"/>
    <n v="0"/>
    <n v="1"/>
    <n v="0"/>
    <n v="4"/>
    <n v="127"/>
  </r>
  <r>
    <d v="2023-07-24T00:00:00"/>
    <x v="2"/>
    <n v="52"/>
    <n v="43"/>
    <n v="95"/>
    <n v="2"/>
    <n v="93"/>
    <n v="2.1052631578947368E-2"/>
    <n v="0"/>
    <n v="0"/>
    <n v="0"/>
    <n v="0"/>
    <n v="2"/>
    <n v="0"/>
    <n v="0"/>
    <n v="0"/>
    <n v="0"/>
    <n v="0"/>
    <n v="0"/>
    <n v="46"/>
  </r>
  <r>
    <d v="2023-07-25T00:00:00"/>
    <x v="3"/>
    <n v="75"/>
    <n v="43"/>
    <n v="118"/>
    <n v="0"/>
    <n v="118"/>
    <n v="0"/>
    <n v="0"/>
    <n v="0"/>
    <n v="0"/>
    <n v="0"/>
    <n v="0"/>
    <n v="0"/>
    <n v="0"/>
    <n v="0"/>
    <n v="0"/>
    <n v="0"/>
    <n v="0"/>
    <n v="0"/>
  </r>
  <r>
    <d v="2023-07-26T00:00:00"/>
    <x v="4"/>
    <n v="54"/>
    <n v="41"/>
    <n v="95"/>
    <n v="13"/>
    <n v="80"/>
    <n v="0.1368421052631579"/>
    <n v="0"/>
    <n v="4"/>
    <n v="0"/>
    <n v="0"/>
    <n v="1"/>
    <n v="0"/>
    <n v="0"/>
    <n v="0"/>
    <n v="2"/>
    <n v="0"/>
    <n v="8"/>
    <n v="21"/>
  </r>
  <r>
    <d v="2023-07-27T00:00:00"/>
    <x v="5"/>
    <n v="69"/>
    <n v="64"/>
    <n v="133"/>
    <n v="1"/>
    <n v="132"/>
    <n v="7.5187969924812026E-3"/>
    <n v="1"/>
    <n v="0"/>
    <n v="0"/>
    <n v="0"/>
    <n v="0"/>
    <n v="0"/>
    <n v="0"/>
    <n v="0"/>
    <n v="0"/>
    <n v="0"/>
    <n v="0"/>
    <n v="127"/>
  </r>
  <r>
    <d v="2023-07-28T00:00:00"/>
    <x v="6"/>
    <n v="85"/>
    <n v="72"/>
    <n v="157"/>
    <n v="32"/>
    <n v="121"/>
    <n v="0.20382165605095542"/>
    <n v="0"/>
    <n v="0"/>
    <n v="0"/>
    <n v="0"/>
    <n v="23"/>
    <n v="0"/>
    <n v="0"/>
    <n v="0"/>
    <n v="4"/>
    <n v="4"/>
    <n v="5"/>
    <n v="80"/>
  </r>
  <r>
    <d v="2023-07-29T00:00:00"/>
    <x v="0"/>
    <n v="83"/>
    <n v="58"/>
    <n v="141"/>
    <n v="1"/>
    <n v="140"/>
    <n v="7.0921985815602835E-3"/>
    <n v="0"/>
    <n v="0"/>
    <n v="0"/>
    <n v="0"/>
    <n v="0"/>
    <n v="0"/>
    <n v="0"/>
    <n v="0"/>
    <n v="0"/>
    <n v="0"/>
    <n v="1"/>
    <n v="128"/>
  </r>
  <r>
    <d v="2023-07-30T00:00:00"/>
    <x v="1"/>
    <n v="84"/>
    <n v="82"/>
    <n v="166"/>
    <n v="29"/>
    <n v="133"/>
    <n v="0.1746987951807229"/>
    <n v="0"/>
    <n v="0"/>
    <n v="4"/>
    <n v="0"/>
    <n v="22"/>
    <n v="0"/>
    <n v="0"/>
    <n v="0"/>
    <n v="4"/>
    <n v="0"/>
    <n v="3"/>
    <n v="134"/>
  </r>
  <r>
    <d v="2023-07-31T00:00:00"/>
    <x v="2"/>
    <n v="36"/>
    <n v="59"/>
    <n v="95"/>
    <n v="8"/>
    <n v="87"/>
    <n v="8.4210526315789472E-2"/>
    <n v="0"/>
    <n v="0"/>
    <n v="0"/>
    <n v="0"/>
    <n v="8"/>
    <n v="0"/>
    <n v="0"/>
    <n v="0"/>
    <n v="0"/>
    <n v="0"/>
    <n v="0"/>
    <n v="61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3-09-01T00:00:00"/>
    <x v="0"/>
    <n v="94"/>
    <n v="70"/>
    <n v="164"/>
    <n v="47"/>
    <n v="117"/>
    <n v="0.28658536585365851"/>
    <n v="0"/>
    <n v="0"/>
    <n v="0"/>
    <n v="0"/>
    <n v="36"/>
    <n v="0"/>
    <n v="0"/>
    <n v="0"/>
    <n v="0"/>
    <n v="0"/>
    <n v="11"/>
    <n v="78"/>
  </r>
  <r>
    <d v="2023-09-02T00:00:00"/>
    <x v="1"/>
    <n v="100"/>
    <n v="59"/>
    <n v="159"/>
    <n v="0"/>
    <n v="159"/>
    <n v="0"/>
    <n v="0"/>
    <n v="0"/>
    <n v="0"/>
    <n v="0"/>
    <n v="0"/>
    <n v="0"/>
    <n v="0"/>
    <n v="0"/>
    <n v="0"/>
    <n v="0"/>
    <n v="0"/>
    <n v="151"/>
  </r>
  <r>
    <d v="2023-09-03T00:00:00"/>
    <x v="2"/>
    <n v="99"/>
    <n v="63"/>
    <n v="162"/>
    <n v="19"/>
    <n v="143"/>
    <n v="0.11728395061728394"/>
    <n v="0"/>
    <n v="0"/>
    <n v="0"/>
    <n v="0"/>
    <n v="18"/>
    <n v="0"/>
    <n v="0"/>
    <n v="0"/>
    <n v="0"/>
    <n v="0"/>
    <n v="1"/>
    <n v="136"/>
  </r>
  <r>
    <d v="2023-09-04T00:00:00"/>
    <x v="3"/>
    <n v="54"/>
    <n v="67"/>
    <n v="121"/>
    <n v="32"/>
    <n v="89"/>
    <n v="0.26446280991735538"/>
    <n v="0"/>
    <n v="0"/>
    <n v="0"/>
    <n v="0"/>
    <n v="6"/>
    <n v="0"/>
    <n v="0"/>
    <n v="20"/>
    <n v="0"/>
    <n v="4"/>
    <n v="2"/>
    <n v="53"/>
  </r>
  <r>
    <d v="2023-09-05T00:00:00"/>
    <x v="4"/>
    <n v="83"/>
    <n v="0"/>
    <n v="83"/>
    <n v="0"/>
    <n v="83"/>
    <n v="0"/>
    <n v="0"/>
    <n v="0"/>
    <n v="0"/>
    <n v="0"/>
    <n v="0"/>
    <n v="0"/>
    <n v="0"/>
    <n v="0"/>
    <n v="0"/>
    <n v="0"/>
    <n v="0"/>
    <n v="0"/>
  </r>
  <r>
    <d v="2023-09-06T00:00:00"/>
    <x v="5"/>
    <n v="81"/>
    <n v="61"/>
    <n v="142"/>
    <n v="90"/>
    <n v="52"/>
    <n v="0.63380281690140849"/>
    <n v="0"/>
    <n v="0"/>
    <n v="0"/>
    <n v="0"/>
    <n v="5"/>
    <n v="0"/>
    <n v="81"/>
    <n v="0"/>
    <n v="0"/>
    <n v="4"/>
    <n v="0"/>
    <n v="0"/>
  </r>
  <r>
    <d v="2023-09-07T00:00:00"/>
    <x v="6"/>
    <n v="78"/>
    <n v="63"/>
    <n v="141"/>
    <n v="2"/>
    <n v="139"/>
    <n v="1.4184397163120567E-2"/>
    <n v="0"/>
    <n v="0"/>
    <n v="0"/>
    <n v="0"/>
    <n v="0"/>
    <n v="0"/>
    <n v="0"/>
    <n v="0"/>
    <n v="0"/>
    <n v="0"/>
    <n v="2"/>
    <n v="134"/>
  </r>
  <r>
    <d v="2023-09-08T00:00:00"/>
    <x v="0"/>
    <n v="27"/>
    <n v="11"/>
    <n v="38"/>
    <n v="30"/>
    <n v="8"/>
    <n v="0.78947368421052633"/>
    <n v="0"/>
    <n v="0"/>
    <n v="0"/>
    <n v="0"/>
    <n v="11"/>
    <n v="0"/>
    <n v="0"/>
    <n v="0"/>
    <n v="0"/>
    <n v="4"/>
    <n v="15"/>
    <n v="12"/>
  </r>
  <r>
    <d v="2023-09-09T00:00:00"/>
    <x v="1"/>
    <n v="74"/>
    <n v="65"/>
    <n v="139"/>
    <n v="16"/>
    <n v="123"/>
    <n v="0.11510791366906475"/>
    <n v="0"/>
    <n v="0"/>
    <n v="0"/>
    <n v="0"/>
    <n v="0"/>
    <n v="0"/>
    <n v="0"/>
    <n v="0"/>
    <n v="0"/>
    <n v="0"/>
    <n v="16"/>
    <n v="102"/>
  </r>
  <r>
    <d v="2023-09-10T00:00:00"/>
    <x v="2"/>
    <n v="91"/>
    <n v="86"/>
    <n v="177"/>
    <n v="22"/>
    <n v="155"/>
    <n v="0.12429378531073447"/>
    <n v="0"/>
    <n v="0"/>
    <n v="0"/>
    <n v="0"/>
    <n v="6"/>
    <n v="0"/>
    <n v="0"/>
    <n v="0"/>
    <n v="0"/>
    <n v="0"/>
    <n v="16"/>
    <n v="135"/>
  </r>
  <r>
    <d v="2023-09-11T00:00:00"/>
    <x v="3"/>
    <n v="0"/>
    <n v="71"/>
    <n v="71"/>
    <n v="2"/>
    <n v="69"/>
    <n v="2.8169014084507043E-2"/>
    <n v="0"/>
    <n v="0"/>
    <n v="2"/>
    <n v="0"/>
    <n v="0"/>
    <n v="0"/>
    <n v="0"/>
    <n v="0"/>
    <n v="0"/>
    <n v="0"/>
    <n v="0"/>
    <n v="43"/>
  </r>
  <r>
    <d v="2023-09-12T00:00:00"/>
    <x v="4"/>
    <n v="72"/>
    <n v="36"/>
    <n v="108"/>
    <n v="0"/>
    <n v="108"/>
    <n v="0"/>
    <n v="0"/>
    <n v="0"/>
    <n v="0"/>
    <n v="0"/>
    <n v="0"/>
    <n v="0"/>
    <n v="0"/>
    <n v="0"/>
    <n v="0"/>
    <n v="0"/>
    <n v="0"/>
    <n v="0"/>
  </r>
  <r>
    <d v="2023-09-13T00:00:00"/>
    <x v="5"/>
    <n v="56"/>
    <n v="53"/>
    <n v="109"/>
    <n v="30"/>
    <n v="79"/>
    <n v="0.27522935779816515"/>
    <n v="0"/>
    <n v="0"/>
    <n v="0"/>
    <n v="0"/>
    <n v="6"/>
    <n v="0"/>
    <n v="0"/>
    <n v="24"/>
    <n v="0"/>
    <n v="0"/>
    <n v="0"/>
    <n v="27"/>
  </r>
  <r>
    <d v="2023-09-14T00:00:00"/>
    <x v="6"/>
    <n v="71"/>
    <n v="86"/>
    <n v="157"/>
    <n v="0"/>
    <n v="157"/>
    <n v="0"/>
    <n v="0"/>
    <n v="0"/>
    <n v="0"/>
    <n v="0"/>
    <n v="0"/>
    <n v="0"/>
    <n v="0"/>
    <n v="0"/>
    <n v="0"/>
    <n v="0"/>
    <n v="0"/>
    <n v="155"/>
  </r>
  <r>
    <d v="2023-09-15T00:00:00"/>
    <x v="0"/>
    <n v="101"/>
    <n v="78"/>
    <n v="179"/>
    <n v="27"/>
    <n v="152"/>
    <n v="0.15083798882681565"/>
    <n v="2"/>
    <n v="0"/>
    <n v="0"/>
    <n v="0"/>
    <n v="23"/>
    <n v="0"/>
    <n v="0"/>
    <n v="0"/>
    <n v="0"/>
    <n v="0"/>
    <n v="2"/>
    <n v="68"/>
  </r>
  <r>
    <d v="2023-09-16T00:00:00"/>
    <x v="1"/>
    <n v="71"/>
    <n v="58"/>
    <n v="129"/>
    <n v="0"/>
    <n v="129"/>
    <n v="0"/>
    <n v="0"/>
    <n v="0"/>
    <n v="0"/>
    <n v="0"/>
    <n v="0"/>
    <n v="0"/>
    <n v="0"/>
    <n v="0"/>
    <n v="0"/>
    <n v="0"/>
    <n v="0"/>
    <n v="0"/>
  </r>
  <r>
    <d v="2023-09-17T00:00:00"/>
    <x v="2"/>
    <n v="41"/>
    <n v="79"/>
    <n v="120"/>
    <n v="71"/>
    <n v="49"/>
    <n v="0.59166666666666667"/>
    <n v="0"/>
    <n v="0"/>
    <n v="0"/>
    <n v="0"/>
    <n v="15"/>
    <n v="0"/>
    <n v="0"/>
    <n v="56"/>
    <n v="0"/>
    <n v="0"/>
    <n v="0"/>
    <n v="108"/>
  </r>
  <r>
    <d v="2023-09-18T00:00:00"/>
    <x v="3"/>
    <n v="52"/>
    <n v="86"/>
    <n v="138"/>
    <n v="28"/>
    <n v="110"/>
    <n v="0.20289855072463769"/>
    <n v="0"/>
    <n v="0"/>
    <n v="0"/>
    <n v="0"/>
    <n v="12"/>
    <n v="0"/>
    <n v="0"/>
    <n v="0"/>
    <n v="0"/>
    <n v="0"/>
    <n v="16"/>
    <n v="74"/>
  </r>
  <r>
    <d v="2023-09-19T00:00:00"/>
    <x v="4"/>
    <n v="79"/>
    <n v="31"/>
    <n v="110"/>
    <n v="0"/>
    <n v="110"/>
    <n v="0"/>
    <n v="0"/>
    <n v="0"/>
    <n v="0"/>
    <n v="0"/>
    <n v="0"/>
    <n v="0"/>
    <n v="0"/>
    <n v="0"/>
    <n v="0"/>
    <n v="0"/>
    <n v="0"/>
    <n v="0"/>
  </r>
  <r>
    <d v="2023-09-20T00:00:00"/>
    <x v="5"/>
    <n v="92"/>
    <n v="59"/>
    <n v="151"/>
    <n v="97"/>
    <n v="54"/>
    <n v="0.64238410596026485"/>
    <n v="0"/>
    <n v="3"/>
    <n v="0"/>
    <n v="0"/>
    <n v="1"/>
    <n v="0"/>
    <n v="92"/>
    <n v="0"/>
    <n v="0"/>
    <n v="0"/>
    <n v="1"/>
    <n v="0"/>
  </r>
  <r>
    <d v="2023-09-21T00:00:00"/>
    <x v="6"/>
    <n v="77"/>
    <n v="85"/>
    <n v="162"/>
    <n v="3"/>
    <n v="159"/>
    <n v="1.8518518518518517E-2"/>
    <n v="0"/>
    <n v="0"/>
    <n v="0"/>
    <n v="0"/>
    <n v="0"/>
    <n v="0"/>
    <n v="0"/>
    <n v="0"/>
    <n v="0"/>
    <n v="0"/>
    <n v="3"/>
    <n v="152"/>
  </r>
  <r>
    <d v="2023-09-22T00:00:00"/>
    <x v="0"/>
    <n v="99"/>
    <n v="67"/>
    <n v="166"/>
    <n v="24"/>
    <n v="142"/>
    <n v="0.14457831325301204"/>
    <n v="4"/>
    <n v="0"/>
    <n v="0"/>
    <n v="0"/>
    <n v="14"/>
    <n v="0"/>
    <n v="0"/>
    <n v="0"/>
    <n v="0"/>
    <n v="6"/>
    <n v="0"/>
    <n v="67"/>
  </r>
  <r>
    <d v="2023-09-23T00:00:00"/>
    <x v="1"/>
    <n v="89"/>
    <n v="60"/>
    <n v="149"/>
    <n v="3"/>
    <n v="146"/>
    <n v="2.0134228187919462E-2"/>
    <n v="0"/>
    <n v="0"/>
    <n v="0"/>
    <n v="0"/>
    <n v="0"/>
    <n v="0"/>
    <n v="0"/>
    <n v="0"/>
    <n v="0"/>
    <n v="0"/>
    <n v="3"/>
    <n v="145"/>
  </r>
  <r>
    <d v="2023-09-24T00:00:00"/>
    <x v="2"/>
    <n v="99"/>
    <n v="85"/>
    <n v="184"/>
    <n v="23"/>
    <n v="161"/>
    <n v="0.125"/>
    <n v="1"/>
    <n v="0"/>
    <n v="0"/>
    <n v="0"/>
    <n v="22"/>
    <n v="0"/>
    <n v="0"/>
    <n v="0"/>
    <n v="0"/>
    <n v="0"/>
    <n v="0"/>
    <n v="135"/>
  </r>
  <r>
    <d v="2023-09-25T00:00:00"/>
    <x v="3"/>
    <n v="38"/>
    <n v="68"/>
    <n v="106"/>
    <n v="13"/>
    <n v="93"/>
    <n v="0.12264150943396226"/>
    <n v="0"/>
    <n v="0"/>
    <n v="0"/>
    <n v="0"/>
    <n v="7"/>
    <n v="0"/>
    <n v="0"/>
    <n v="0"/>
    <n v="0"/>
    <n v="0"/>
    <n v="6"/>
    <n v="60"/>
  </r>
  <r>
    <d v="2023-09-26T00:00:00"/>
    <x v="4"/>
    <n v="98"/>
    <n v="30"/>
    <n v="128"/>
    <n v="0"/>
    <n v="128"/>
    <n v="0"/>
    <n v="0"/>
    <n v="0"/>
    <n v="0"/>
    <n v="0"/>
    <n v="0"/>
    <n v="0"/>
    <n v="0"/>
    <n v="0"/>
    <n v="0"/>
    <n v="0"/>
    <n v="0"/>
    <n v="0"/>
  </r>
  <r>
    <d v="2023-09-27T00:00:00"/>
    <x v="5"/>
    <n v="72"/>
    <n v="69"/>
    <n v="141"/>
    <n v="82"/>
    <n v="59"/>
    <n v="0.58156028368794321"/>
    <n v="0"/>
    <n v="3"/>
    <n v="0"/>
    <n v="0"/>
    <n v="4"/>
    <n v="0"/>
    <n v="72"/>
    <n v="0"/>
    <n v="0"/>
    <n v="0"/>
    <n v="3"/>
    <n v="0"/>
  </r>
  <r>
    <d v="2023-09-28T00:00:00"/>
    <x v="6"/>
    <n v="71"/>
    <n v="83"/>
    <n v="154"/>
    <n v="4"/>
    <n v="150"/>
    <n v="2.5974025974025976E-2"/>
    <n v="0"/>
    <n v="0"/>
    <n v="0"/>
    <n v="0"/>
    <n v="0"/>
    <n v="0"/>
    <n v="0"/>
    <n v="0"/>
    <n v="0"/>
    <n v="0"/>
    <n v="4"/>
    <n v="148"/>
  </r>
  <r>
    <d v="2023-09-29T00:00:00"/>
    <x v="0"/>
    <n v="103"/>
    <n v="87"/>
    <n v="190"/>
    <n v="21"/>
    <n v="169"/>
    <n v="0.11052631578947368"/>
    <n v="0"/>
    <n v="3"/>
    <n v="0"/>
    <n v="0"/>
    <n v="18"/>
    <n v="0"/>
    <n v="0"/>
    <n v="0"/>
    <n v="0"/>
    <n v="0"/>
    <n v="0"/>
    <n v="158"/>
  </r>
  <r>
    <d v="2023-09-30T00:00:00"/>
    <x v="1"/>
    <n v="75"/>
    <n v="10"/>
    <n v="85"/>
    <n v="0"/>
    <n v="85"/>
    <n v="0"/>
    <n v="0"/>
    <n v="0"/>
    <n v="0"/>
    <n v="0"/>
    <n v="0"/>
    <n v="0"/>
    <n v="0"/>
    <n v="0"/>
    <n v="0"/>
    <n v="0"/>
    <n v="0"/>
    <n v="77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3-10-01T00:00:00"/>
    <x v="0"/>
    <n v="70"/>
    <n v="62"/>
    <n v="132"/>
    <n v="5"/>
    <n v="127"/>
    <n v="3.787878787878788E-2"/>
    <n v="0"/>
    <n v="0"/>
    <n v="0"/>
    <n v="0"/>
    <n v="5"/>
    <n v="0"/>
    <n v="0"/>
    <n v="0"/>
    <n v="0"/>
    <n v="0"/>
    <n v="0"/>
    <n v="108"/>
  </r>
  <r>
    <d v="2023-10-02T00:00:00"/>
    <x v="1"/>
    <n v="51"/>
    <n v="70"/>
    <n v="121"/>
    <n v="37"/>
    <n v="84"/>
    <n v="0.30578512396694213"/>
    <n v="0"/>
    <n v="2"/>
    <n v="13"/>
    <n v="0"/>
    <n v="16"/>
    <n v="0"/>
    <n v="0"/>
    <n v="0"/>
    <n v="0"/>
    <n v="4"/>
    <n v="2"/>
    <n v="74"/>
  </r>
  <r>
    <d v="2023-10-03T00:00:00"/>
    <x v="2"/>
    <n v="86"/>
    <n v="2"/>
    <n v="88"/>
    <n v="0"/>
    <n v="88"/>
    <n v="0"/>
    <n v="0"/>
    <n v="0"/>
    <n v="0"/>
    <n v="0"/>
    <n v="0"/>
    <n v="0"/>
    <n v="0"/>
    <n v="0"/>
    <n v="0"/>
    <n v="0"/>
    <n v="0"/>
    <n v="0"/>
  </r>
  <r>
    <d v="2023-10-04T00:00:00"/>
    <x v="3"/>
    <n v="14"/>
    <n v="5"/>
    <n v="19"/>
    <n v="7"/>
    <n v="12"/>
    <n v="0.36842105263157893"/>
    <n v="0"/>
    <n v="2"/>
    <n v="0"/>
    <n v="0"/>
    <n v="3"/>
    <n v="0"/>
    <n v="0"/>
    <n v="0"/>
    <n v="0"/>
    <n v="0"/>
    <n v="2"/>
    <n v="5"/>
  </r>
  <r>
    <d v="2023-10-05T00:00:00"/>
    <x v="4"/>
    <n v="57"/>
    <n v="80"/>
    <n v="137"/>
    <n v="2"/>
    <n v="135"/>
    <n v="1.4598540145985401E-2"/>
    <n v="0"/>
    <n v="0"/>
    <n v="0"/>
    <n v="0"/>
    <n v="0"/>
    <n v="0"/>
    <n v="0"/>
    <n v="0"/>
    <n v="0"/>
    <n v="0"/>
    <n v="2"/>
    <n v="135"/>
  </r>
  <r>
    <d v="2023-10-06T00:00:00"/>
    <x v="5"/>
    <n v="91"/>
    <n v="73"/>
    <n v="164"/>
    <n v="25"/>
    <n v="139"/>
    <n v="0.1524390243902439"/>
    <n v="0"/>
    <n v="4"/>
    <n v="0"/>
    <n v="0"/>
    <n v="13"/>
    <n v="0"/>
    <n v="0"/>
    <n v="0"/>
    <n v="0"/>
    <n v="8"/>
    <n v="0"/>
    <n v="59"/>
  </r>
  <r>
    <d v="2023-10-07T00:00:00"/>
    <x v="6"/>
    <n v="80"/>
    <n v="69"/>
    <n v="149"/>
    <n v="0"/>
    <n v="149"/>
    <n v="0"/>
    <n v="0"/>
    <n v="0"/>
    <n v="0"/>
    <n v="0"/>
    <n v="0"/>
    <n v="0"/>
    <n v="0"/>
    <n v="0"/>
    <n v="0"/>
    <n v="0"/>
    <n v="0"/>
    <n v="144"/>
  </r>
  <r>
    <d v="2023-10-08T00:00:00"/>
    <x v="0"/>
    <n v="87"/>
    <n v="87"/>
    <n v="174"/>
    <n v="14"/>
    <n v="160"/>
    <n v="8.0459770114942528E-2"/>
    <n v="1"/>
    <n v="0"/>
    <n v="0"/>
    <n v="0"/>
    <n v="9"/>
    <n v="0"/>
    <n v="0"/>
    <n v="0"/>
    <n v="0"/>
    <n v="0"/>
    <n v="4"/>
    <n v="142"/>
  </r>
  <r>
    <d v="2023-10-09T00:00:00"/>
    <x v="1"/>
    <n v="90"/>
    <n v="48"/>
    <n v="138"/>
    <n v="98"/>
    <n v="40"/>
    <n v="0.71014492753623193"/>
    <n v="0"/>
    <n v="4"/>
    <n v="0"/>
    <n v="0"/>
    <n v="2"/>
    <n v="0"/>
    <n v="0"/>
    <n v="90"/>
    <n v="0"/>
    <n v="0"/>
    <n v="2"/>
    <n v="0"/>
  </r>
  <r>
    <d v="2023-10-10T00:00:00"/>
    <x v="2"/>
    <n v="103"/>
    <n v="35"/>
    <n v="138"/>
    <n v="0"/>
    <n v="138"/>
    <n v="0"/>
    <n v="0"/>
    <n v="0"/>
    <n v="0"/>
    <n v="0"/>
    <n v="0"/>
    <n v="0"/>
    <n v="0"/>
    <n v="0"/>
    <n v="0"/>
    <n v="0"/>
    <n v="0"/>
    <n v="0"/>
  </r>
  <r>
    <d v="2023-10-11T00:00:00"/>
    <x v="3"/>
    <n v="90"/>
    <n v="73"/>
    <n v="163"/>
    <n v="100"/>
    <n v="63"/>
    <n v="0.61349693251533743"/>
    <n v="0"/>
    <n v="0"/>
    <n v="2"/>
    <n v="0"/>
    <n v="0"/>
    <n v="0"/>
    <n v="90"/>
    <n v="0"/>
    <n v="0"/>
    <n v="4"/>
    <n v="4"/>
    <n v="0"/>
  </r>
  <r>
    <d v="2023-10-12T00:00:00"/>
    <x v="4"/>
    <n v="63"/>
    <n v="30"/>
    <n v="93"/>
    <n v="0"/>
    <n v="93"/>
    <n v="0"/>
    <n v="0"/>
    <n v="0"/>
    <n v="0"/>
    <n v="0"/>
    <n v="0"/>
    <n v="0"/>
    <n v="0"/>
    <n v="0"/>
    <n v="0"/>
    <n v="0"/>
    <n v="0"/>
    <n v="24"/>
  </r>
  <r>
    <d v="2023-10-13T00:00:00"/>
    <x v="5"/>
    <n v="99"/>
    <n v="75"/>
    <n v="174"/>
    <n v="25"/>
    <n v="149"/>
    <n v="0.14367816091954022"/>
    <n v="0"/>
    <n v="4"/>
    <n v="1"/>
    <n v="0"/>
    <n v="20"/>
    <n v="0"/>
    <n v="0"/>
    <n v="0"/>
    <n v="0"/>
    <n v="0"/>
    <n v="0"/>
    <n v="66"/>
  </r>
  <r>
    <d v="2023-10-14T00:00:00"/>
    <x v="6"/>
    <n v="77"/>
    <n v="57"/>
    <n v="134"/>
    <n v="0"/>
    <n v="134"/>
    <n v="0"/>
    <n v="0"/>
    <n v="0"/>
    <n v="0"/>
    <n v="0"/>
    <n v="0"/>
    <n v="0"/>
    <n v="0"/>
    <n v="0"/>
    <n v="0"/>
    <n v="0"/>
    <n v="0"/>
    <n v="125"/>
  </r>
  <r>
    <d v="2023-10-15T00:00:00"/>
    <x v="0"/>
    <n v="34"/>
    <n v="108"/>
    <n v="142"/>
    <n v="1"/>
    <n v="141"/>
    <n v="7.0422535211267607E-3"/>
    <n v="0"/>
    <n v="0"/>
    <n v="0"/>
    <n v="0"/>
    <n v="0"/>
    <n v="0"/>
    <n v="0"/>
    <n v="0"/>
    <n v="0"/>
    <n v="1"/>
    <n v="0"/>
    <n v="35"/>
  </r>
  <r>
    <d v="2023-10-16T00:00:00"/>
    <x v="1"/>
    <n v="24"/>
    <n v="52"/>
    <n v="76"/>
    <n v="14"/>
    <n v="62"/>
    <n v="0.18421052631578946"/>
    <n v="0"/>
    <n v="2"/>
    <n v="0"/>
    <n v="0"/>
    <n v="0"/>
    <n v="2"/>
    <n v="0"/>
    <n v="0"/>
    <n v="0"/>
    <n v="0"/>
    <n v="10"/>
    <n v="29"/>
  </r>
  <r>
    <d v="2023-10-17T00:00:00"/>
    <x v="2"/>
    <n v="67"/>
    <n v="48"/>
    <n v="115"/>
    <n v="0"/>
    <n v="115"/>
    <n v="0"/>
    <n v="0"/>
    <n v="0"/>
    <n v="0"/>
    <n v="0"/>
    <n v="0"/>
    <n v="0"/>
    <n v="0"/>
    <n v="0"/>
    <n v="0"/>
    <n v="0"/>
    <n v="0"/>
    <n v="0"/>
  </r>
  <r>
    <d v="2023-10-18T00:00:00"/>
    <x v="3"/>
    <n v="82"/>
    <n v="83"/>
    <n v="165"/>
    <n v="98"/>
    <n v="67"/>
    <n v="0.59393939393939399"/>
    <n v="4"/>
    <n v="0"/>
    <n v="0"/>
    <n v="0"/>
    <n v="7"/>
    <n v="0"/>
    <n v="82"/>
    <n v="0"/>
    <n v="0"/>
    <n v="0"/>
    <n v="5"/>
    <n v="0"/>
  </r>
  <r>
    <d v="2023-10-19T00:00:00"/>
    <x v="4"/>
    <n v="71"/>
    <n v="64"/>
    <n v="135"/>
    <n v="0"/>
    <n v="135"/>
    <n v="0"/>
    <n v="0"/>
    <n v="0"/>
    <n v="0"/>
    <n v="0"/>
    <n v="0"/>
    <n v="0"/>
    <n v="0"/>
    <n v="0"/>
    <n v="0"/>
    <n v="0"/>
    <n v="0"/>
    <n v="132"/>
  </r>
  <r>
    <d v="2023-10-20T00:00:00"/>
    <x v="5"/>
    <n v="64"/>
    <n v="70"/>
    <n v="134"/>
    <n v="19"/>
    <n v="115"/>
    <n v="0.1417910447761194"/>
    <n v="0"/>
    <n v="0"/>
    <n v="4"/>
    <n v="0"/>
    <n v="15"/>
    <n v="0"/>
    <n v="0"/>
    <n v="0"/>
    <n v="0"/>
    <n v="0"/>
    <n v="0"/>
    <n v="59"/>
  </r>
  <r>
    <d v="2023-10-21T00:00:00"/>
    <x v="6"/>
    <n v="68"/>
    <n v="83"/>
    <n v="151"/>
    <n v="0"/>
    <n v="151"/>
    <n v="0"/>
    <n v="0"/>
    <n v="0"/>
    <n v="0"/>
    <n v="0"/>
    <n v="0"/>
    <n v="0"/>
    <n v="0"/>
    <n v="0"/>
    <n v="0"/>
    <n v="0"/>
    <n v="0"/>
    <n v="125"/>
  </r>
  <r>
    <d v="2023-10-22T00:00:00"/>
    <x v="0"/>
    <n v="8"/>
    <n v="0"/>
    <n v="8"/>
    <n v="0"/>
    <n v="8"/>
    <n v="0"/>
    <n v="0"/>
    <n v="0"/>
    <n v="0"/>
    <n v="0"/>
    <n v="0"/>
    <n v="0"/>
    <n v="0"/>
    <n v="0"/>
    <n v="0"/>
    <n v="0"/>
    <n v="0"/>
    <n v="0"/>
  </r>
  <r>
    <d v="2023-10-23T00:00:00"/>
    <x v="1"/>
    <n v="0"/>
    <n v="75"/>
    <n v="75"/>
    <n v="0"/>
    <n v="75"/>
    <n v="0"/>
    <n v="0"/>
    <n v="0"/>
    <n v="0"/>
    <n v="0"/>
    <n v="0"/>
    <n v="0"/>
    <n v="0"/>
    <n v="0"/>
    <n v="0"/>
    <n v="0"/>
    <n v="0"/>
    <n v="49"/>
  </r>
  <r>
    <d v="2023-10-24T00:00:00"/>
    <x v="2"/>
    <n v="104"/>
    <n v="40"/>
    <n v="144"/>
    <n v="55"/>
    <n v="89"/>
    <n v="0.38194444444444442"/>
    <n v="0"/>
    <n v="0"/>
    <n v="0"/>
    <n v="0"/>
    <n v="55"/>
    <n v="0"/>
    <n v="0"/>
    <n v="0"/>
    <n v="0"/>
    <n v="0"/>
    <n v="0"/>
    <n v="0"/>
  </r>
  <r>
    <d v="2023-10-25T00:00:00"/>
    <x v="3"/>
    <n v="73"/>
    <n v="68"/>
    <n v="141"/>
    <n v="48"/>
    <n v="93"/>
    <n v="0.34042553191489361"/>
    <n v="0"/>
    <n v="0"/>
    <n v="8"/>
    <n v="0"/>
    <n v="28"/>
    <n v="0"/>
    <n v="0"/>
    <n v="0"/>
    <n v="0"/>
    <n v="4"/>
    <n v="8"/>
    <n v="27"/>
  </r>
  <r>
    <d v="2023-10-26T00:00:00"/>
    <x v="4"/>
    <n v="75"/>
    <n v="70"/>
    <n v="145"/>
    <n v="2"/>
    <n v="143"/>
    <n v="1.3793103448275862E-2"/>
    <n v="0"/>
    <n v="0"/>
    <n v="2"/>
    <n v="0"/>
    <n v="0"/>
    <n v="0"/>
    <n v="0"/>
    <n v="0"/>
    <n v="0"/>
    <n v="0"/>
    <n v="0"/>
    <n v="132"/>
  </r>
  <r>
    <d v="2023-10-27T00:00:00"/>
    <x v="5"/>
    <n v="104"/>
    <n v="86"/>
    <n v="190"/>
    <n v="68"/>
    <n v="122"/>
    <n v="0.35789473684210527"/>
    <n v="0"/>
    <n v="0"/>
    <n v="0"/>
    <n v="0"/>
    <n v="30"/>
    <n v="2"/>
    <n v="0"/>
    <n v="24"/>
    <n v="0"/>
    <n v="4"/>
    <n v="8"/>
    <n v="73"/>
  </r>
  <r>
    <d v="2023-10-28T00:00:00"/>
    <x v="6"/>
    <n v="80"/>
    <n v="75"/>
    <n v="155"/>
    <n v="7"/>
    <n v="148"/>
    <n v="4.5161290322580643E-2"/>
    <n v="0"/>
    <n v="0"/>
    <n v="0"/>
    <n v="0"/>
    <n v="2"/>
    <n v="0"/>
    <n v="0"/>
    <n v="0"/>
    <n v="0"/>
    <n v="0"/>
    <n v="5"/>
    <n v="144"/>
  </r>
  <r>
    <d v="2023-10-29T00:00:00"/>
    <x v="0"/>
    <n v="104"/>
    <n v="95"/>
    <n v="199"/>
    <n v="23"/>
    <n v="176"/>
    <n v="0.11557788944723618"/>
    <n v="0"/>
    <n v="0"/>
    <n v="0"/>
    <n v="0"/>
    <n v="14"/>
    <n v="0"/>
    <n v="0"/>
    <n v="0"/>
    <n v="0"/>
    <n v="1"/>
    <n v="8"/>
    <n v="179"/>
  </r>
  <r>
    <d v="2023-10-30T00:00:00"/>
    <x v="1"/>
    <n v="35"/>
    <n v="61"/>
    <n v="96"/>
    <n v="8"/>
    <n v="88"/>
    <n v="8.3333333333333329E-2"/>
    <n v="0"/>
    <n v="0"/>
    <n v="2"/>
    <n v="0"/>
    <n v="6"/>
    <n v="0"/>
    <n v="0"/>
    <n v="0"/>
    <n v="0"/>
    <n v="0"/>
    <n v="0"/>
    <n v="53"/>
  </r>
  <r>
    <d v="2023-10-31T00:00:00"/>
    <x v="2"/>
    <n v="96"/>
    <n v="39"/>
    <n v="135"/>
    <n v="0"/>
    <n v="135"/>
    <n v="0"/>
    <n v="0"/>
    <n v="0"/>
    <n v="0"/>
    <n v="0"/>
    <n v="0"/>
    <n v="0"/>
    <n v="0"/>
    <n v="0"/>
    <n v="0"/>
    <n v="0"/>
    <n v="0"/>
    <n v="0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3-11-01T00:00:00"/>
    <x v="0"/>
    <n v="91"/>
    <n v="74"/>
    <n v="165"/>
    <n v="98"/>
    <n v="67"/>
    <n v="0.59393939393939399"/>
    <n v="0"/>
    <n v="0"/>
    <n v="0"/>
    <n v="0"/>
    <n v="3"/>
    <n v="0"/>
    <n v="91"/>
    <n v="0"/>
    <n v="0"/>
    <n v="4"/>
    <n v="0"/>
    <n v="0"/>
  </r>
  <r>
    <d v="2023-11-02T00:00:00"/>
    <x v="1"/>
    <n v="79"/>
    <n v="76"/>
    <n v="155"/>
    <n v="0"/>
    <n v="155"/>
    <n v="0"/>
    <n v="0"/>
    <n v="0"/>
    <n v="0"/>
    <n v="0"/>
    <n v="0"/>
    <n v="0"/>
    <n v="0"/>
    <n v="0"/>
    <n v="0"/>
    <n v="0"/>
    <n v="0"/>
    <n v="148"/>
  </r>
  <r>
    <d v="2023-11-03T00:00:00"/>
    <x v="2"/>
    <n v="103"/>
    <n v="73"/>
    <n v="176"/>
    <n v="31"/>
    <n v="145"/>
    <n v="0.17613636363636365"/>
    <n v="0"/>
    <n v="0"/>
    <n v="1"/>
    <n v="0"/>
    <n v="20"/>
    <n v="0"/>
    <n v="0"/>
    <n v="0"/>
    <n v="0"/>
    <n v="8"/>
    <n v="2"/>
    <n v="81"/>
  </r>
  <r>
    <d v="2023-11-04T00:00:00"/>
    <x v="3"/>
    <n v="80"/>
    <n v="60"/>
    <n v="140"/>
    <n v="0"/>
    <n v="140"/>
    <n v="0"/>
    <n v="0"/>
    <n v="0"/>
    <n v="0"/>
    <n v="0"/>
    <n v="0"/>
    <n v="0"/>
    <n v="0"/>
    <n v="0"/>
    <n v="0"/>
    <n v="0"/>
    <n v="0"/>
    <n v="128"/>
  </r>
  <r>
    <d v="2023-11-05T00:00:00"/>
    <x v="4"/>
    <n v="96"/>
    <n v="85"/>
    <n v="181"/>
    <n v="21"/>
    <n v="160"/>
    <n v="0.11602209944751381"/>
    <n v="0"/>
    <n v="0"/>
    <n v="0"/>
    <n v="0"/>
    <n v="21"/>
    <n v="0"/>
    <n v="0"/>
    <n v="0"/>
    <n v="0"/>
    <n v="0"/>
    <n v="0"/>
    <n v="154"/>
  </r>
  <r>
    <d v="2023-11-06T00:00:00"/>
    <x v="5"/>
    <n v="63"/>
    <n v="78"/>
    <n v="141"/>
    <n v="37"/>
    <n v="104"/>
    <n v="0.26241134751773049"/>
    <n v="0"/>
    <n v="4"/>
    <n v="6"/>
    <n v="0"/>
    <n v="19"/>
    <n v="0"/>
    <n v="0"/>
    <n v="0"/>
    <n v="0"/>
    <n v="0"/>
    <n v="8"/>
    <n v="82"/>
  </r>
  <r>
    <d v="2023-11-07T00:00:00"/>
    <x v="6"/>
    <n v="94"/>
    <n v="39"/>
    <n v="133"/>
    <n v="21"/>
    <n v="112"/>
    <n v="0.15789473684210525"/>
    <n v="0"/>
    <n v="0"/>
    <n v="0"/>
    <n v="0"/>
    <n v="17"/>
    <n v="0"/>
    <n v="0"/>
    <n v="0"/>
    <n v="0"/>
    <n v="0"/>
    <n v="4"/>
    <n v="99"/>
  </r>
  <r>
    <d v="2023-11-08T00:00:00"/>
    <x v="0"/>
    <n v="33"/>
    <n v="72"/>
    <n v="105"/>
    <n v="17"/>
    <n v="88"/>
    <n v="0.16190476190476191"/>
    <n v="0"/>
    <n v="2"/>
    <n v="1"/>
    <n v="0"/>
    <n v="10"/>
    <n v="0"/>
    <n v="0"/>
    <n v="0"/>
    <n v="0"/>
    <n v="4"/>
    <n v="0"/>
    <n v="0"/>
  </r>
  <r>
    <d v="2023-11-09T00:00:00"/>
    <x v="1"/>
    <n v="81"/>
    <n v="65"/>
    <n v="146"/>
    <n v="1"/>
    <n v="145"/>
    <n v="6.8493150684931503E-3"/>
    <n v="0"/>
    <n v="0"/>
    <n v="0"/>
    <n v="0"/>
    <n v="0"/>
    <n v="0"/>
    <n v="0"/>
    <n v="0"/>
    <n v="0"/>
    <n v="0"/>
    <n v="1"/>
    <n v="141"/>
  </r>
  <r>
    <d v="2023-11-10T00:00:00"/>
    <x v="2"/>
    <n v="90"/>
    <n v="85"/>
    <n v="175"/>
    <n v="37"/>
    <n v="138"/>
    <n v="0.21142857142857144"/>
    <n v="0"/>
    <n v="0"/>
    <n v="0"/>
    <n v="0"/>
    <n v="29"/>
    <n v="0"/>
    <n v="0"/>
    <n v="0"/>
    <n v="0"/>
    <n v="0"/>
    <n v="8"/>
    <n v="65"/>
  </r>
  <r>
    <d v="2023-11-11T00:00:00"/>
    <x v="3"/>
    <n v="91"/>
    <n v="60"/>
    <n v="151"/>
    <n v="0"/>
    <n v="151"/>
    <n v="0"/>
    <n v="0"/>
    <n v="0"/>
    <n v="0"/>
    <n v="0"/>
    <n v="0"/>
    <n v="0"/>
    <n v="0"/>
    <n v="0"/>
    <n v="0"/>
    <n v="0"/>
    <n v="0"/>
    <n v="144"/>
  </r>
  <r>
    <d v="2023-11-12T00:00:00"/>
    <x v="4"/>
    <n v="92"/>
    <n v="91"/>
    <n v="183"/>
    <n v="21"/>
    <n v="162"/>
    <n v="0.11475409836065574"/>
    <n v="0"/>
    <n v="0"/>
    <n v="0"/>
    <n v="0"/>
    <n v="13"/>
    <n v="0"/>
    <n v="0"/>
    <n v="0"/>
    <n v="0"/>
    <n v="2"/>
    <n v="6"/>
    <n v="157"/>
  </r>
  <r>
    <d v="2023-11-13T00:00:00"/>
    <x v="5"/>
    <n v="0"/>
    <n v="97"/>
    <n v="97"/>
    <n v="35"/>
    <n v="62"/>
    <n v="0.36082474226804123"/>
    <n v="0"/>
    <n v="0"/>
    <n v="0"/>
    <n v="0"/>
    <n v="3"/>
    <n v="0"/>
    <n v="0"/>
    <n v="32"/>
    <n v="0"/>
    <n v="0"/>
    <n v="0"/>
    <n v="45"/>
  </r>
  <r>
    <d v="2023-11-14T00:00:00"/>
    <x v="6"/>
    <n v="86"/>
    <n v="30"/>
    <n v="116"/>
    <n v="0"/>
    <n v="116"/>
    <n v="0"/>
    <n v="0"/>
    <n v="0"/>
    <n v="0"/>
    <n v="0"/>
    <n v="0"/>
    <n v="0"/>
    <n v="0"/>
    <n v="0"/>
    <n v="0"/>
    <n v="0"/>
    <n v="0"/>
    <n v="0"/>
  </r>
  <r>
    <d v="2023-11-15T00:00:00"/>
    <x v="0"/>
    <n v="70"/>
    <n v="77"/>
    <n v="147"/>
    <n v="37"/>
    <n v="110"/>
    <n v="0.25170068027210885"/>
    <n v="0"/>
    <n v="4"/>
    <n v="2"/>
    <n v="1"/>
    <n v="20"/>
    <n v="3"/>
    <n v="0"/>
    <n v="0"/>
    <n v="0"/>
    <n v="0"/>
    <n v="7"/>
    <n v="34"/>
  </r>
  <r>
    <d v="2023-11-16T00:00:00"/>
    <x v="1"/>
    <n v="91"/>
    <n v="65"/>
    <n v="156"/>
    <n v="0"/>
    <n v="156"/>
    <n v="0"/>
    <n v="0"/>
    <n v="0"/>
    <n v="0"/>
    <n v="0"/>
    <n v="0"/>
    <n v="0"/>
    <n v="0"/>
    <n v="0"/>
    <n v="0"/>
    <n v="0"/>
    <n v="0"/>
    <n v="134"/>
  </r>
  <r>
    <d v="2023-11-17T00:00:00"/>
    <x v="2"/>
    <n v="78"/>
    <n v="74"/>
    <n v="152"/>
    <n v="49"/>
    <n v="103"/>
    <n v="0.32236842105263158"/>
    <n v="0"/>
    <n v="0"/>
    <n v="0"/>
    <n v="0"/>
    <n v="21"/>
    <n v="0"/>
    <n v="0"/>
    <n v="28"/>
    <n v="0"/>
    <n v="0"/>
    <n v="0"/>
    <n v="64"/>
  </r>
  <r>
    <d v="2023-11-18T00:00:00"/>
    <x v="3"/>
    <n v="98"/>
    <n v="61"/>
    <n v="159"/>
    <n v="0"/>
    <n v="159"/>
    <n v="0"/>
    <n v="0"/>
    <n v="0"/>
    <n v="0"/>
    <n v="0"/>
    <n v="0"/>
    <n v="0"/>
    <n v="0"/>
    <n v="0"/>
    <n v="0"/>
    <n v="0"/>
    <n v="0"/>
    <n v="116"/>
  </r>
  <r>
    <d v="2023-11-19T00:00:00"/>
    <x v="4"/>
    <n v="102"/>
    <n v="92"/>
    <n v="194"/>
    <n v="30"/>
    <n v="164"/>
    <n v="0.15463917525773196"/>
    <n v="0"/>
    <n v="0"/>
    <n v="3"/>
    <n v="0"/>
    <n v="19"/>
    <n v="0"/>
    <n v="0"/>
    <n v="0"/>
    <n v="0"/>
    <n v="4"/>
    <n v="4"/>
    <n v="170"/>
  </r>
  <r>
    <d v="2023-11-20T00:00:00"/>
    <x v="5"/>
    <n v="47"/>
    <n v="71"/>
    <n v="118"/>
    <n v="22"/>
    <n v="96"/>
    <n v="0.1864406779661017"/>
    <n v="0"/>
    <n v="0"/>
    <n v="4"/>
    <n v="0"/>
    <n v="0"/>
    <n v="0"/>
    <n v="0"/>
    <n v="0"/>
    <n v="0"/>
    <n v="8"/>
    <n v="10"/>
    <n v="56"/>
  </r>
  <r>
    <d v="2023-11-21T00:00:00"/>
    <x v="6"/>
    <n v="92"/>
    <n v="39"/>
    <n v="131"/>
    <n v="0"/>
    <n v="131"/>
    <n v="0"/>
    <n v="0"/>
    <n v="0"/>
    <n v="0"/>
    <n v="0"/>
    <n v="0"/>
    <n v="0"/>
    <n v="0"/>
    <n v="0"/>
    <n v="0"/>
    <n v="0"/>
    <n v="0"/>
    <n v="0"/>
  </r>
  <r>
    <d v="2023-11-22T00:00:00"/>
    <x v="0"/>
    <n v="92"/>
    <n v="78"/>
    <n v="170"/>
    <n v="108"/>
    <n v="62"/>
    <n v="0.63529411764705879"/>
    <n v="0"/>
    <n v="0"/>
    <n v="0"/>
    <n v="0"/>
    <n v="8"/>
    <n v="0"/>
    <n v="92"/>
    <n v="0"/>
    <n v="0"/>
    <n v="0"/>
    <n v="8"/>
    <n v="0"/>
  </r>
  <r>
    <d v="2023-11-23T00:00:00"/>
    <x v="1"/>
    <n v="70"/>
    <n v="69"/>
    <n v="139"/>
    <n v="2"/>
    <n v="137"/>
    <n v="1.4388489208633094E-2"/>
    <n v="2"/>
    <n v="0"/>
    <n v="0"/>
    <n v="0"/>
    <n v="0"/>
    <n v="0"/>
    <n v="0"/>
    <n v="0"/>
    <n v="0"/>
    <n v="0"/>
    <n v="0"/>
    <n v="134"/>
  </r>
  <r>
    <d v="2023-11-24T00:00:00"/>
    <x v="2"/>
    <n v="84"/>
    <n v="135"/>
    <n v="219"/>
    <n v="65"/>
    <n v="154"/>
    <n v="0.29680365296803651"/>
    <n v="0"/>
    <n v="0"/>
    <n v="1"/>
    <n v="1"/>
    <n v="41"/>
    <n v="0"/>
    <n v="20"/>
    <n v="0"/>
    <n v="0"/>
    <n v="0"/>
    <n v="2"/>
    <n v="121"/>
  </r>
  <r>
    <d v="2023-11-25T00:00:00"/>
    <x v="3"/>
    <n v="99"/>
    <n v="52"/>
    <n v="151"/>
    <n v="4"/>
    <n v="147"/>
    <n v="2.6490066225165563E-2"/>
    <n v="0"/>
    <n v="0"/>
    <n v="0"/>
    <n v="0"/>
    <n v="0"/>
    <n v="0"/>
    <n v="0"/>
    <n v="0"/>
    <n v="0"/>
    <n v="0"/>
    <n v="4"/>
    <n v="134"/>
  </r>
  <r>
    <d v="2023-11-26T00:00:00"/>
    <x v="4"/>
    <n v="91"/>
    <n v="80"/>
    <n v="171"/>
    <n v="25"/>
    <n v="146"/>
    <n v="0.14619883040935672"/>
    <n v="0"/>
    <n v="0"/>
    <n v="0"/>
    <n v="0"/>
    <n v="14"/>
    <n v="0"/>
    <n v="0"/>
    <n v="0"/>
    <n v="0"/>
    <n v="0"/>
    <n v="11"/>
    <n v="146"/>
  </r>
  <r>
    <d v="2023-11-27T00:00:00"/>
    <x v="5"/>
    <n v="42"/>
    <n v="63"/>
    <n v="105"/>
    <n v="21"/>
    <n v="84"/>
    <n v="0.2"/>
    <n v="0"/>
    <n v="0"/>
    <n v="18"/>
    <n v="0"/>
    <n v="3"/>
    <n v="0"/>
    <n v="0"/>
    <n v="0"/>
    <n v="0"/>
    <n v="0"/>
    <n v="0"/>
    <n v="60"/>
  </r>
  <r>
    <d v="2023-11-28T00:00:00"/>
    <x v="6"/>
    <n v="152"/>
    <n v="0"/>
    <n v="152"/>
    <n v="0"/>
    <n v="152"/>
    <n v="0"/>
    <n v="0"/>
    <n v="0"/>
    <n v="0"/>
    <n v="0"/>
    <n v="0"/>
    <n v="0"/>
    <n v="0"/>
    <n v="0"/>
    <n v="0"/>
    <n v="0"/>
    <n v="0"/>
    <n v="0"/>
  </r>
  <r>
    <d v="2023-11-29T00:00:00"/>
    <x v="0"/>
    <n v="23"/>
    <n v="27"/>
    <n v="50"/>
    <n v="28"/>
    <n v="22"/>
    <n v="0.56000000000000005"/>
    <n v="1"/>
    <n v="0"/>
    <n v="10"/>
    <n v="0"/>
    <n v="7"/>
    <n v="0"/>
    <n v="0"/>
    <n v="0"/>
    <n v="0"/>
    <n v="4"/>
    <n v="6"/>
    <n v="7"/>
  </r>
  <r>
    <d v="2023-11-30T00:00:00"/>
    <x v="1"/>
    <n v="76"/>
    <n v="63"/>
    <n v="139"/>
    <n v="5"/>
    <n v="134"/>
    <n v="3.5971223021582732E-2"/>
    <n v="0"/>
    <n v="0"/>
    <n v="0"/>
    <n v="0"/>
    <n v="3"/>
    <n v="0"/>
    <n v="0"/>
    <n v="0"/>
    <n v="0"/>
    <n v="0"/>
    <n v="2"/>
    <n v="1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25391E-E087-4EC5-AF81-B0C4F3F2408E}" name="PivotTable1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R12" firstHeaderRow="0" firstDataRow="1" firstDataCol="1"/>
  <pivotFields count="20">
    <pivotField numFmtId="14" showAll="0"/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numFmtId="16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 of AM FIELD" fld="2" baseField="0" baseItem="0"/>
    <dataField name="Sum of PM FIELD" fld="3" baseField="0" baseItem="0"/>
    <dataField name="Sum of TOTAL FIELD" fld="4" baseField="0" baseItem="0"/>
    <dataField name="Sum of No. GUESTS" fld="5" baseField="0" baseItem="0"/>
    <dataField name="Sum of MEMBER" fld="6" baseField="0" baseItem="0"/>
    <dataField name="Sum of MANAGER INTRO" fld="8" baseField="0" baseItem="0"/>
    <dataField name="Sum of INTERSTATE" fld="9" baseField="0" baseItem="0"/>
    <dataField name="Sum of INTERNATIONAL" fld="10" baseField="0" baseItem="0"/>
    <dataField name="Sum of INDUSTRY GUEST" fld="11" baseField="0" baseItem="0"/>
    <dataField name="Sum of MEMB GUEST MICLUB" fld="12" baseField="0" baseItem="0"/>
    <dataField name="Sum of MEMB GUEST UNACCOMPANIED" fld="13" baseField="0" baseItem="0"/>
    <dataField name="Sum of CORPORATE" fld="14" baseField="0" baseItem="0"/>
    <dataField name="Sum of EVENT" fld="15" baseField="0" baseItem="0"/>
    <dataField name="Sum of NON-PLAYING" fld="16" baseField="0" baseItem="0"/>
    <dataField name="Sum of VOUCHER" fld="17" baseField="0" baseItem="0"/>
    <dataField name="Sum of RECIP" fld="18" baseField="0" baseItem="0"/>
    <dataField name="Sum of COMP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B0B12B-264D-4BBE-9760-D27B83BE346B}" name="PivotTable1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8:R96" firstHeaderRow="0" firstDataRow="1" firstDataCol="1"/>
  <pivotFields count="20">
    <pivotField numFmtId="14" showAll="0"/>
    <pivotField axis="axisRow" showAll="0">
      <items count="8">
        <item x="6"/>
        <item x="0"/>
        <item x="1"/>
        <item x="2"/>
        <item x="3"/>
        <item x="4"/>
        <item x="5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numFmtId="9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 of AM FIELD" fld="2" baseField="0" baseItem="0"/>
    <dataField name="Sum of PM FIELD" fld="3" baseField="0" baseItem="0"/>
    <dataField name="Sum of TOTAL FIELD" fld="4" baseField="0" baseItem="0"/>
    <dataField name="Sum of No. GUESTS" fld="5" baseField="0" baseItem="0"/>
    <dataField name="Sum of MEMBER" fld="6" baseField="0" baseItem="0"/>
    <dataField name="Sum of MANAGER INTRO" fld="8" baseField="0" baseItem="0"/>
    <dataField name="Sum of INTERSTATE" fld="9" baseField="0" baseItem="0"/>
    <dataField name="Sum of INTERNATIONAL" fld="10" baseField="0" baseItem="0"/>
    <dataField name="Sum of INDUSTRY GUEST" fld="11" baseField="0" baseItem="0"/>
    <dataField name="Sum of MEMB GUEST MICLUB" fld="12" baseField="0" baseItem="0"/>
    <dataField name="Sum of MEMB GUEST UNACCOMPANIED" fld="13" baseField="0" baseItem="0"/>
    <dataField name="Sum of CORPORATE" fld="14" baseField="0" baseItem="0"/>
    <dataField name="Sum of EVENT" fld="15" baseField="0" baseItem="0"/>
    <dataField name="Sum of NON-PLAYING" fld="16" baseField="0" baseItem="0"/>
    <dataField name="Sum of VOUCHER" fld="17" baseField="0" baseItem="0"/>
    <dataField name="Sum of RECIP" fld="18" baseField="0" baseItem="0"/>
    <dataField name="Sum of COMP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1F7E6D-F692-4FD0-88D0-3929EFF2A871}" name="PivotTable1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R24" firstHeaderRow="0" firstDataRow="1" firstDataCol="1"/>
  <pivotFields count="20">
    <pivotField numFmtId="14" showAll="0"/>
    <pivotField axis="axisRow" showAll="0">
      <items count="8">
        <item x="5"/>
        <item x="6"/>
        <item x="0"/>
        <item x="1"/>
        <item x="2"/>
        <item x="3"/>
        <item x="4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numFmtId="16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 of AM FIELD" fld="2" baseField="0" baseItem="0"/>
    <dataField name="Sum of PM FIELD" fld="3" baseField="0" baseItem="0"/>
    <dataField name="Sum of TOTAL FIELD" fld="4" baseField="0" baseItem="0"/>
    <dataField name="Sum of No. GUESTS" fld="5" baseField="0" baseItem="0"/>
    <dataField name="Sum of MEMBER" fld="6" baseField="0" baseItem="0"/>
    <dataField name="Sum of MANAGER INTRO" fld="8" baseField="0" baseItem="0"/>
    <dataField name="Sum of INTERSTATE" fld="9" baseField="0" baseItem="0"/>
    <dataField name="Sum of INTERNATIONAL" fld="10" baseField="0" baseItem="0"/>
    <dataField name="Sum of INDUSTRY GUEST" fld="11" baseField="0" baseItem="0"/>
    <dataField name="Sum of MEMB GUEST MICLUB" fld="12" baseField="0" baseItem="0"/>
    <dataField name="Sum of MEMB GUEST UNACCOMPANIED" fld="13" baseField="0" baseItem="0"/>
    <dataField name="Sum of CORPORATE" fld="14" baseField="0" baseItem="0"/>
    <dataField name="Sum of EVENT" fld="15" baseField="0" baseItem="0"/>
    <dataField name="Sum of NON-PLAYING" fld="16" baseField="0" baseItem="0"/>
    <dataField name="Sum of VOUCHER" fld="17" baseField="0" baseItem="0"/>
    <dataField name="Sum of RECIP" fld="18" baseField="0" baseItem="0"/>
    <dataField name="Sum of COMP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3E05E-679F-4452-A4A6-5E38ADC9082F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4:R132" firstHeaderRow="0" firstDataRow="1" firstDataCol="1"/>
  <pivotFields count="20">
    <pivotField numFmtId="14" showAll="0"/>
    <pivotField axis="axisRow" showAll="0">
      <items count="8">
        <item x="5"/>
        <item x="6"/>
        <item x="0"/>
        <item x="1"/>
        <item x="2"/>
        <item x="3"/>
        <item x="4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numFmtId="9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 of AM FIELD" fld="2" baseField="0" baseItem="0"/>
    <dataField name="Sum of PM FIELD" fld="3" baseField="0" baseItem="0"/>
    <dataField name="Sum of TOTAL FIELD" fld="4" baseField="0" baseItem="0"/>
    <dataField name="Sum of No. GUESTS" fld="5" baseField="0" baseItem="0"/>
    <dataField name="Sum of MEMBER" fld="6" baseField="0" baseItem="0"/>
    <dataField name="Sum of MANAGER INTRO" fld="8" baseField="0" baseItem="0"/>
    <dataField name="Sum of INTERSTATE" fld="9" baseField="0" baseItem="0"/>
    <dataField name="Sum of INTERNATIONAL" fld="10" baseField="0" baseItem="0"/>
    <dataField name="Sum of INDUSTRY GUEST" fld="11" baseField="0" baseItem="0"/>
    <dataField name="Sum of MEMB GUEST MICLUB" fld="12" baseField="0" baseItem="0"/>
    <dataField name="Sum of MEMB GUEST UNACCOMPANIED" fld="13" baseField="0" baseItem="0"/>
    <dataField name="Sum of CORPORATE" fld="14" baseField="0" baseItem="0"/>
    <dataField name="Sum of EVENT" fld="15" baseField="0" baseItem="0"/>
    <dataField name="Sum of NON-PLAYING" fld="16" baseField="0" baseItem="0"/>
    <dataField name="Sum of VOUCHER" fld="17" baseField="0" baseItem="0"/>
    <dataField name="Sum of RECIP" fld="18" baseField="0" baseItem="0"/>
    <dataField name="Sum of COMP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A9225-8343-4C03-A68A-6FE4424A728B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0:R108" firstHeaderRow="0" firstDataRow="1" firstDataCol="1"/>
  <pivotFields count="20">
    <pivotField numFmtId="14" showAll="0"/>
    <pivotField axis="axisRow" showAll="0">
      <items count="8">
        <item x="3"/>
        <item x="4"/>
        <item x="5"/>
        <item x="6"/>
        <item x="0"/>
        <item x="1"/>
        <item x="2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numFmtId="9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 of AM FIELD" fld="2" baseField="0" baseItem="0"/>
    <dataField name="Sum of PM FIELD" fld="3" baseField="0" baseItem="0"/>
    <dataField name="Sum of TOTAL FIELD" fld="4" baseField="0" baseItem="0"/>
    <dataField name="Sum of No. GUESTS" fld="5" baseField="0" baseItem="0"/>
    <dataField name="Sum of MEMBER" fld="6" baseField="0" baseItem="0"/>
    <dataField name="Sum of MANAGER INTRO" fld="8" baseField="0" baseItem="0"/>
    <dataField name="Sum of INTERSTATE" fld="9" baseField="0" baseItem="0"/>
    <dataField name="Sum of INTERNATIONAL" fld="10" baseField="0" baseItem="0"/>
    <dataField name="Sum of INDUSTRY GUEST" fld="11" baseField="0" baseItem="0"/>
    <dataField name="Sum of MEMB GUEST MICLUB" fld="12" baseField="0" baseItem="0"/>
    <dataField name="Sum of MEMB GUEST UNACCOMPANIED" fld="13" baseField="0" baseItem="0"/>
    <dataField name="Sum of CORPORATE" fld="14" baseField="0" baseItem="0"/>
    <dataField name="Sum of EVENT" fld="15" baseField="0" baseItem="0"/>
    <dataField name="Sum of NON-PLAYING" fld="16" baseField="0" baseItem="0"/>
    <dataField name="Sum of VOUCHER" fld="17" baseField="0" baseItem="0"/>
    <dataField name="Sum of RECIP" fld="18" baseField="0" baseItem="0"/>
    <dataField name="Sum of COMP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04E5E7-4643-4F48-9A32-1B7BE081DEC0}" name="PivotTable19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6:R144" firstHeaderRow="0" firstDataRow="1" firstDataCol="1"/>
  <pivotFields count="20">
    <pivotField numFmtId="14" showAll="0"/>
    <pivotField axis="axisRow" showAll="0">
      <items count="8">
        <item x="3"/>
        <item x="4"/>
        <item x="5"/>
        <item x="6"/>
        <item x="0"/>
        <item x="1"/>
        <item x="2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numFmtId="9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 of AM FIELD" fld="2" baseField="0" baseItem="0"/>
    <dataField name="Sum of PM FIELD" fld="3" baseField="0" baseItem="0"/>
    <dataField name="Sum of TOTAL FIELD" fld="4" baseField="0" baseItem="0"/>
    <dataField name="Sum of No. GUESTS" fld="5" baseField="0" baseItem="0"/>
    <dataField name="Sum of MEMBER" fld="6" baseField="0" baseItem="0"/>
    <dataField name="Sum of MANAGER INTRO" fld="8" baseField="0" baseItem="0"/>
    <dataField name="Sum of INTERSTATE" fld="9" baseField="0" baseItem="0"/>
    <dataField name="Sum of INTERNATIONAL" fld="10" baseField="0" baseItem="0"/>
    <dataField name="Sum of INDUSTRY GUEST" fld="11" baseField="0" baseItem="0"/>
    <dataField name="Sum of MEMB GUEST MICLUB" fld="12" baseField="0" baseItem="0"/>
    <dataField name="Sum of MEMB GUEST UNACCOMPANIED" fld="13" baseField="0" baseItem="0"/>
    <dataField name="Sum of CORPORATE" fld="14" baseField="0" baseItem="0"/>
    <dataField name="Sum of EVENT" fld="15" baseField="0" baseItem="0"/>
    <dataField name="Sum of NON-PLAYING" fld="16" baseField="0" baseItem="0"/>
    <dataField name="Sum of VOUCHER" fld="17" baseField="0" baseItem="0"/>
    <dataField name="Sum of RECIP" fld="18" baseField="0" baseItem="0"/>
    <dataField name="Sum of COMP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A97481-A415-4E9F-836D-EE8AE3923966}" name="PivotTable1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2:R60" firstHeaderRow="0" firstDataRow="1" firstDataCol="1"/>
  <pivotFields count="20">
    <pivotField numFmtId="14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numFmtId="9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 of AM FIELD" fld="2" baseField="0" baseItem="0"/>
    <dataField name="Sum of PM FIELD" fld="3" baseField="0" baseItem="0"/>
    <dataField name="Sum of TOTAL FIELD" fld="4" baseField="0" baseItem="0"/>
    <dataField name="Sum of No. GUESTS" fld="5" baseField="0" baseItem="0"/>
    <dataField name="Sum of MEMBER" fld="6" baseField="0" baseItem="0"/>
    <dataField name="Sum of MANAGER INTRO" fld="8" baseField="0" baseItem="0"/>
    <dataField name="Sum of INTERSTATE" fld="9" baseField="0" baseItem="0"/>
    <dataField name="Sum of INTERNATIONAL" fld="10" baseField="0" baseItem="0"/>
    <dataField name="Sum of INDUSTRY GUEST" fld="11" baseField="0" baseItem="0"/>
    <dataField name="Sum of MEMB GUEST MICLUB" fld="12" baseField="0" baseItem="0"/>
    <dataField name="Sum of MEMB GUEST UNACCOMPANIED" fld="13" baseField="0" baseItem="0"/>
    <dataField name="Sum of CORPORATE" fld="14" baseField="0" baseItem="0"/>
    <dataField name="Sum of EVENT" fld="15" baseField="0" baseItem="0"/>
    <dataField name="Sum of NON-PLAYING" fld="16" baseField="0" baseItem="0"/>
    <dataField name="Sum of VOUCHER" fld="17" baseField="0" baseItem="0"/>
    <dataField name="Sum of RECIP" fld="18" baseField="0" baseItem="0"/>
    <dataField name="Sum of COMP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47A020-292F-4F04-83D5-3F818CD88DF1}" name="PivotTable1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R36" firstHeaderRow="0" firstDataRow="1" firstDataCol="1"/>
  <pivotFields count="20">
    <pivotField numFmtId="14" showAll="0"/>
    <pivotField axis="axisRow" showAll="0">
      <items count="8">
        <item x="5"/>
        <item x="6"/>
        <item x="0"/>
        <item x="1"/>
        <item x="2"/>
        <item x="3"/>
        <item x="4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numFmtId="9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 of AM FIELD" fld="2" baseField="0" baseItem="0"/>
    <dataField name="Sum of PM FIELD" fld="3" baseField="0" baseItem="0"/>
    <dataField name="Sum of TOTAL FIELD" fld="4" baseField="0" baseItem="0"/>
    <dataField name="Sum of No. GUESTS" fld="5" baseField="0" baseItem="0"/>
    <dataField name="Sum of MEMBER" fld="6" baseField="0" baseItem="0"/>
    <dataField name="Sum of MANAGER INTRO" fld="8" baseField="0" baseItem="0"/>
    <dataField name="Sum of INTERSTATE" fld="9" baseField="0" baseItem="0"/>
    <dataField name="Sum of INTERNATIONAL" fld="10" baseField="0" baseItem="0"/>
    <dataField name="Sum of INDUSTRY GUEST" fld="11" baseField="0" baseItem="0"/>
    <dataField name="Sum of MEMB GUEST MICLUB" fld="12" baseField="0" baseItem="0"/>
    <dataField name="Sum of MEMB GUEST UNACCOMPANIED" fld="13" baseField="0" baseItem="0"/>
    <dataField name="Sum of CORPORATE" fld="14" baseField="0" baseItem="0"/>
    <dataField name="Sum of EVENT" fld="15" baseField="0" baseItem="0"/>
    <dataField name="Sum of NON-PLAYING" fld="16" baseField="0" baseItem="0"/>
    <dataField name="Sum of VOUCHER" fld="17" baseField="0" baseItem="0"/>
    <dataField name="Sum of RECIP" fld="18" baseField="0" baseItem="0"/>
    <dataField name="Sum of COMP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9E4D1E-2139-4C7A-9972-491A841EA718}" name="PivotTable1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0:R48" firstHeaderRow="0" firstDataRow="1" firstDataCol="1"/>
  <pivotFields count="20">
    <pivotField numFmtId="14" showAll="0"/>
    <pivotField axis="axisRow" showAll="0">
      <items count="8">
        <item x="2"/>
        <item x="3"/>
        <item x="4"/>
        <item x="5"/>
        <item x="6"/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numFmtId="9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 of AM FIELD" fld="2" baseField="0" baseItem="0"/>
    <dataField name="Sum of PM FIELD" fld="3" baseField="0" baseItem="0"/>
    <dataField name="Sum of TOTAL FIELD" fld="4" baseField="0" baseItem="0"/>
    <dataField name="Sum of No. GUESTS" fld="5" baseField="0" baseItem="0"/>
    <dataField name="Sum of MEMBER" fld="6" baseField="0" baseItem="0"/>
    <dataField name="Sum of MANAGER INTRO" fld="8" baseField="0" baseItem="0"/>
    <dataField name="Sum of INTERSTATE" fld="9" baseField="0" baseItem="0"/>
    <dataField name="Sum of INTERNATIONAL" fld="10" baseField="0" baseItem="0"/>
    <dataField name="Sum of INDUSTRY GUEST" fld="11" baseField="0" baseItem="0"/>
    <dataField name="Sum of MEMB GUEST MICLUB" fld="12" baseField="0" baseItem="0"/>
    <dataField name="Sum of MEMB GUEST UNACCOMPANIED" fld="13" baseField="0" baseItem="0"/>
    <dataField name="Sum of CORPORATE" fld="14" baseField="0" baseItem="0"/>
    <dataField name="Sum of EVENT" fld="15" baseField="0" baseItem="0"/>
    <dataField name="Sum of NON-PLAYING" fld="16" baseField="0" baseItem="0"/>
    <dataField name="Sum of VOUCHER" fld="17" baseField="0" baseItem="0"/>
    <dataField name="Sum of RECIP" fld="18" baseField="0" baseItem="0"/>
    <dataField name="Sum of COMP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F2C95-C608-48C6-8DDF-EE18F4145652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2:R120" firstHeaderRow="0" firstDataRow="1" firstDataCol="1"/>
  <pivotFields count="20">
    <pivotField numFmtId="14" showAll="0"/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numFmtId="9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 of AM FIELD" fld="2" baseField="0" baseItem="0"/>
    <dataField name="Sum of PM FIELD" fld="3" baseField="0" baseItem="0"/>
    <dataField name="Sum of TOTAL FIELD" fld="4" baseField="0" baseItem="0"/>
    <dataField name="Sum of No. GUESTS" fld="5" baseField="0" baseItem="0"/>
    <dataField name="Sum of MEMBER" fld="6" baseField="0" baseItem="0"/>
    <dataField name="Sum of MANAGER INTRO" fld="8" baseField="0" baseItem="0"/>
    <dataField name="Sum of INTERSTATE" fld="9" baseField="0" baseItem="0"/>
    <dataField name="Sum of INTERNATIONAL" fld="10" baseField="0" baseItem="0"/>
    <dataField name="Sum of INDUSTRY GUEST" fld="11" baseField="0" baseItem="0"/>
    <dataField name="Sum of MEMB GUEST MICLUB" fld="12" baseField="0" baseItem="0"/>
    <dataField name="Sum of MEMB GUEST UNACCOMPANIED" fld="13" baseField="0" baseItem="0"/>
    <dataField name="Sum of CORPORATE" fld="14" baseField="0" baseItem="0"/>
    <dataField name="Sum of EVENT" fld="15" baseField="0" baseItem="0"/>
    <dataField name="Sum of NON-PLAYING" fld="16" baseField="0" baseItem="0"/>
    <dataField name="Sum of VOUCHER" fld="17" baseField="0" baseItem="0"/>
    <dataField name="Sum of RECIP" fld="18" baseField="0" baseItem="0"/>
    <dataField name="Sum of COMP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D40D87-134C-4A89-AE2B-30CBE2B51224}" name="PivotTable18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6:R84" firstHeaderRow="0" firstDataRow="1" firstDataCol="1"/>
  <pivotFields count="20">
    <pivotField numFmtId="14" showAll="0"/>
    <pivotField axis="axisRow" showAll="0">
      <items count="8">
        <item x="2"/>
        <item x="3"/>
        <item x="4"/>
        <item x="5"/>
        <item x="6"/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numFmtId="9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 of AM FIELD" fld="2" baseField="0" baseItem="0"/>
    <dataField name="Sum of PM FIELD" fld="3" baseField="0" baseItem="0"/>
    <dataField name="Sum of TOTAL FIELD" fld="4" baseField="0" baseItem="0"/>
    <dataField name="Sum of No. GUESTS" fld="5" baseField="0" baseItem="0"/>
    <dataField name="Sum of MEMBER" fld="6" baseField="0" baseItem="0"/>
    <dataField name="Sum of MANAGER INTRO" fld="8" baseField="0" baseItem="0"/>
    <dataField name="Sum of INTERSTATE" fld="9" baseField="0" baseItem="0"/>
    <dataField name="Sum of INTERNATIONAL" fld="10" baseField="0" baseItem="0"/>
    <dataField name="Sum of INDUSTRY GUEST" fld="11" baseField="0" baseItem="0"/>
    <dataField name="Sum of MEMB GUEST MICLUB" fld="12" baseField="0" baseItem="0"/>
    <dataField name="Sum of MEMB GUEST UNACCOMPANIED" fld="13" baseField="0" baseItem="0"/>
    <dataField name="Sum of CORPORATE" fld="14" baseField="0" baseItem="0"/>
    <dataField name="Sum of EVENT" fld="15" baseField="0" baseItem="0"/>
    <dataField name="Sum of NON-PLAYING" fld="16" baseField="0" baseItem="0"/>
    <dataField name="Sum of VOUCHER" fld="17" baseField="0" baseItem="0"/>
    <dataField name="Sum of RECIP" fld="18" baseField="0" baseItem="0"/>
    <dataField name="Sum of COMP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064590-7F31-42ED-8116-BD18681F13B0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4:Q72" firstHeaderRow="0" firstDataRow="1" firstDataCol="1"/>
  <pivotFields count="19">
    <pivotField numFmtId="14" showAll="0"/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numFmtId="9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</colItems>
  <dataFields count="16">
    <dataField name="Sum of AM FIELD" fld="2" baseField="0" baseItem="0"/>
    <dataField name="Sum of PM FIELD" fld="3" baseField="0" baseItem="0"/>
    <dataField name="Sum of TOTAL FIELD" fld="4" baseField="0" baseItem="0"/>
    <dataField name="Sum of No. GUESTS" fld="5" baseField="0" baseItem="0"/>
    <dataField name="Sum of MEMBER" fld="6" baseField="0" baseItem="0"/>
    <dataField name="Sum of MANAGER INTRO" fld="8" baseField="0" baseItem="0"/>
    <dataField name="Sum of INTERSTATE" fld="9" baseField="0" baseItem="0"/>
    <dataField name="Sum of INTERNATIONAL" fld="10" baseField="0" baseItem="0"/>
    <dataField name="Sum of INDUSTRY GUEST" fld="11" baseField="0" baseItem="0"/>
    <dataField name="Sum of MEMB GUEST MICLUB" fld="12" baseField="0" baseItem="0"/>
    <dataField name="Sum of MEMB GUEST UNACCOMPANIED" fld="13" baseField="0" baseItem="0"/>
    <dataField name="Sum of CORPORATE" fld="14" baseField="0" baseItem="0"/>
    <dataField name="Sum of NON-PLAYING" fld="15" baseField="0" baseItem="0"/>
    <dataField name="Sum of VOUCHER" fld="16" baseField="0" baseItem="0"/>
    <dataField name="Sum of RECIP" fld="17" baseField="0" baseItem="0"/>
    <dataField name="Sum of COMP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20CD-5D93-4159-9A14-9CCB27C46C73}">
  <dimension ref="B3:U24"/>
  <sheetViews>
    <sheetView showGridLines="0" workbookViewId="0">
      <selection activeCell="D8" sqref="D8"/>
    </sheetView>
  </sheetViews>
  <sheetFormatPr defaultColWidth="9.140625" defaultRowHeight="21" x14ac:dyDescent="0.25"/>
  <cols>
    <col min="1" max="1" width="9.140625" style="76"/>
    <col min="2" max="2" width="20" style="76" customWidth="1"/>
    <col min="3" max="3" width="9.7109375" style="76" bestFit="1" customWidth="1"/>
    <col min="4" max="4" width="13.85546875" style="76" bestFit="1" customWidth="1"/>
    <col min="5" max="5" width="9.140625" style="76"/>
    <col min="6" max="6" width="20.42578125" style="76" bestFit="1" customWidth="1"/>
    <col min="7" max="7" width="12.28515625" style="76" customWidth="1"/>
    <col min="8" max="8" width="12" style="76" bestFit="1" customWidth="1"/>
    <col min="9" max="9" width="9.140625" style="76"/>
    <col min="10" max="10" width="24.7109375" style="76" customWidth="1"/>
    <col min="11" max="11" width="9.5703125" style="76" bestFit="1" customWidth="1"/>
    <col min="12" max="12" width="12" style="76" bestFit="1" customWidth="1"/>
    <col min="13" max="13" width="9.140625" style="76"/>
    <col min="14" max="14" width="25.42578125" style="76" customWidth="1"/>
    <col min="15" max="15" width="9.5703125" style="76" bestFit="1" customWidth="1"/>
    <col min="16" max="17" width="9.140625" style="76"/>
    <col min="18" max="18" width="6.140625" style="76" bestFit="1" customWidth="1"/>
    <col min="19" max="19" width="10.42578125" style="76" bestFit="1" customWidth="1"/>
    <col min="20" max="20" width="16.28515625" style="76" bestFit="1" customWidth="1"/>
    <col min="21" max="21" width="12.140625" style="76" bestFit="1" customWidth="1"/>
    <col min="22" max="16384" width="9.140625" style="76"/>
  </cols>
  <sheetData>
    <row r="3" spans="2:21" x14ac:dyDescent="0.25">
      <c r="B3" s="90"/>
      <c r="C3" s="90"/>
    </row>
    <row r="4" spans="2:21" x14ac:dyDescent="0.25">
      <c r="B4" s="91" t="s">
        <v>0</v>
      </c>
      <c r="C4" s="91"/>
      <c r="F4" s="91" t="s">
        <v>87</v>
      </c>
      <c r="G4" s="91"/>
      <c r="J4" s="91" t="s">
        <v>88</v>
      </c>
      <c r="K4" s="91"/>
      <c r="N4" s="91" t="s">
        <v>104</v>
      </c>
      <c r="O4" s="91"/>
      <c r="R4" s="86" t="s">
        <v>115</v>
      </c>
      <c r="S4" s="87"/>
      <c r="T4" s="87"/>
      <c r="U4" s="88"/>
    </row>
    <row r="5" spans="2:21" x14ac:dyDescent="0.25">
      <c r="B5" s="89"/>
      <c r="C5" s="89"/>
      <c r="F5" s="89"/>
      <c r="G5" s="89"/>
      <c r="J5" s="89"/>
      <c r="K5" s="89"/>
      <c r="N5" s="89"/>
      <c r="O5" s="89"/>
      <c r="R5" s="89"/>
      <c r="S5" s="89"/>
      <c r="T5" s="89"/>
      <c r="U5" s="89"/>
    </row>
    <row r="6" spans="2:21" x14ac:dyDescent="0.25">
      <c r="B6" s="44" t="s">
        <v>1</v>
      </c>
      <c r="C6" s="77">
        <f>'Monthly Totals'!C5+'Monthly Totals'!F5+'Monthly Totals'!I5+'Monthly Totals'!L5+'Monthly Totals'!O5+'Monthly Totals'!R5+'Monthly Totals'!C27+'Monthly Totals'!F27+'Monthly Totals'!I27+'Monthly Totals'!L27+'Monthly Totals'!O27+'Monthly Totals'!R27</f>
        <v>27085</v>
      </c>
      <c r="F6" s="44" t="s">
        <v>1</v>
      </c>
      <c r="G6" s="58">
        <f>C6/12</f>
        <v>2257.0833333333335</v>
      </c>
      <c r="H6" s="80"/>
      <c r="I6" s="80"/>
      <c r="J6" s="81" t="s">
        <v>1</v>
      </c>
      <c r="K6" s="58">
        <f>C6 / 52</f>
        <v>520.86538461538464</v>
      </c>
      <c r="L6" s="80"/>
      <c r="M6" s="80"/>
      <c r="N6" s="81" t="s">
        <v>1</v>
      </c>
      <c r="O6" s="58">
        <f>C6 / 365</f>
        <v>74.205479452054789</v>
      </c>
      <c r="R6" s="44" t="s">
        <v>110</v>
      </c>
      <c r="S6" s="44" t="s">
        <v>18</v>
      </c>
      <c r="T6" s="44" t="s">
        <v>19</v>
      </c>
      <c r="U6" s="44" t="s">
        <v>20</v>
      </c>
    </row>
    <row r="7" spans="2:21" x14ac:dyDescent="0.25">
      <c r="B7" s="44" t="s">
        <v>2</v>
      </c>
      <c r="C7" s="77">
        <f>'Monthly Totals'!C6+'Monthly Totals'!F6+'Monthly Totals'!I6+'Monthly Totals'!L6+'Monthly Totals'!O6+'Monthly Totals'!R6+'Monthly Totals'!C28+'Monthly Totals'!F28+'Monthly Totals'!I28+'Monthly Totals'!L28+'Monthly Totals'!O28+'Monthly Totals'!R28</f>
        <v>22666</v>
      </c>
      <c r="F7" s="44" t="s">
        <v>2</v>
      </c>
      <c r="G7" s="58">
        <f t="shared" ref="G7:G22" si="0">C7/12</f>
        <v>1888.8333333333333</v>
      </c>
      <c r="H7" s="80"/>
      <c r="I7" s="80"/>
      <c r="J7" s="81" t="s">
        <v>2</v>
      </c>
      <c r="K7" s="58">
        <f t="shared" ref="K7:K22" si="1">C7 / 52</f>
        <v>435.88461538461536</v>
      </c>
      <c r="L7" s="80"/>
      <c r="M7" s="80"/>
      <c r="N7" s="81" t="s">
        <v>2</v>
      </c>
      <c r="O7" s="58">
        <f t="shared" ref="O7:O22" si="2">C7 / 365</f>
        <v>62.098630136986301</v>
      </c>
      <c r="R7" s="44" t="s">
        <v>24</v>
      </c>
      <c r="S7" s="77">
        <f>'Occupancy Report Summarised'!L4+'Occupancy Report Summarised'!L8+'Occupancy Report Summarised'!L12+'Occupancy Report Summarised'!L16+'Occupancy Report Summarised'!L20+'Occupancy Report Summarised'!L24+'Occupancy Report Summarised'!L28+'Occupancy Report Summarised'!L32+'Occupancy Report Summarised'!L36+'Occupancy Report Summarised'!L40+'Occupancy Report Summarised'!L44+'Occupancy Report Summarised'!L48</f>
        <v>27085</v>
      </c>
      <c r="T7" s="77">
        <f>'Occupancy Report Summarised'!M4+'Occupancy Report Summarised'!M8+'Occupancy Report Summarised'!M12+'Occupancy Report Summarised'!M16+'Occupancy Report Summarised'!M20+'Occupancy Report Summarised'!M24+'Occupancy Report Summarised'!M28+'Occupancy Report Summarised'!M32+'Occupancy Report Summarised'!M36+'Occupancy Report Summarised'!M40+'Occupancy Report Summarised'!M44+'Occupancy Report Summarised'!M48</f>
        <v>33314</v>
      </c>
      <c r="U7" s="48">
        <f>SUM(S7/T7)</f>
        <v>0.81302155250045027</v>
      </c>
    </row>
    <row r="8" spans="2:21" x14ac:dyDescent="0.25">
      <c r="B8" s="44" t="s">
        <v>3</v>
      </c>
      <c r="C8" s="77">
        <f>'Monthly Totals'!C7+'Monthly Totals'!F7+'Monthly Totals'!I7+'Monthly Totals'!L7+'Monthly Totals'!O7+'Monthly Totals'!R7+'Monthly Totals'!C29+'Monthly Totals'!F29+'Monthly Totals'!I29+'Monthly Totals'!L29+'Monthly Totals'!O29+'Monthly Totals'!R29</f>
        <v>49751</v>
      </c>
      <c r="F8" s="44" t="s">
        <v>3</v>
      </c>
      <c r="G8" s="58">
        <f t="shared" si="0"/>
        <v>4145.916666666667</v>
      </c>
      <c r="H8" s="80"/>
      <c r="I8" s="80"/>
      <c r="J8" s="81" t="s">
        <v>3</v>
      </c>
      <c r="K8" s="58">
        <f t="shared" si="1"/>
        <v>956.75</v>
      </c>
      <c r="L8" s="80"/>
      <c r="M8" s="80"/>
      <c r="N8" s="81" t="s">
        <v>3</v>
      </c>
      <c r="O8" s="58">
        <f t="shared" si="2"/>
        <v>136.3041095890411</v>
      </c>
      <c r="R8" s="44" t="s">
        <v>25</v>
      </c>
      <c r="S8" s="77">
        <f>'Occupancy Report Summarised'!L5+'Occupancy Report Summarised'!L9+'Occupancy Report Summarised'!L13+'Occupancy Report Summarised'!L17+'Occupancy Report Summarised'!L21+'Occupancy Report Summarised'!L25+'Occupancy Report Summarised'!L29+'Occupancy Report Summarised'!L33+'Occupancy Report Summarised'!L37+'Occupancy Report Summarised'!L41+'Occupancy Report Summarised'!L45+'Occupancy Report Summarised'!L49</f>
        <v>22666</v>
      </c>
      <c r="T8" s="77">
        <f>'Occupancy Report Summarised'!M5+'Occupancy Report Summarised'!M9+'Occupancy Report Summarised'!M13+'Occupancy Report Summarised'!M17+'Occupancy Report Summarised'!M21+'Occupancy Report Summarised'!M25+'Occupancy Report Summarised'!M29+'Occupancy Report Summarised'!M33+'Occupancy Report Summarised'!M37+'Occupancy Report Summarised'!M41+'Occupancy Report Summarised'!M45+'Occupancy Report Summarised'!M49</f>
        <v>31538</v>
      </c>
      <c r="U8" s="48">
        <f t="shared" ref="U8:U9" si="3">SUM(S8/T8)</f>
        <v>0.71868856617413912</v>
      </c>
    </row>
    <row r="9" spans="2:21" x14ac:dyDescent="0.25">
      <c r="B9" s="44" t="s">
        <v>84</v>
      </c>
      <c r="C9" s="77">
        <f>'Monthly Totals'!C8+'Monthly Totals'!F8+'Monthly Totals'!I8+'Monthly Totals'!L8+'Monthly Totals'!O8+'Monthly Totals'!R8+'Monthly Totals'!C30+'Monthly Totals'!F30+'Monthly Totals'!I30+'Monthly Totals'!L30+'Monthly Totals'!O30+'Monthly Totals'!R30</f>
        <v>8588</v>
      </c>
      <c r="F9" s="44" t="s">
        <v>84</v>
      </c>
      <c r="G9" s="58">
        <f t="shared" si="0"/>
        <v>715.66666666666663</v>
      </c>
      <c r="H9" s="80"/>
      <c r="I9" s="80"/>
      <c r="J9" s="81" t="s">
        <v>84</v>
      </c>
      <c r="K9" s="58">
        <f t="shared" si="1"/>
        <v>165.15384615384616</v>
      </c>
      <c r="L9" s="80"/>
      <c r="M9" s="80"/>
      <c r="N9" s="81" t="s">
        <v>84</v>
      </c>
      <c r="O9" s="58">
        <f t="shared" si="2"/>
        <v>23.528767123287672</v>
      </c>
      <c r="R9" s="44" t="s">
        <v>111</v>
      </c>
      <c r="S9" s="85">
        <f>SUM(S7:S8)</f>
        <v>49751</v>
      </c>
      <c r="T9" s="85">
        <f>SUM(T7:T8)</f>
        <v>64852</v>
      </c>
      <c r="U9" s="48">
        <f t="shared" si="3"/>
        <v>0.76714673410226364</v>
      </c>
    </row>
    <row r="10" spans="2:21" ht="33" x14ac:dyDescent="0.25">
      <c r="B10" s="59" t="s">
        <v>76</v>
      </c>
      <c r="C10" s="48">
        <f>SUM(C9/C8)</f>
        <v>0.1726196458362646</v>
      </c>
      <c r="E10" s="78"/>
      <c r="F10" s="59" t="s">
        <v>76</v>
      </c>
      <c r="G10" s="58">
        <f t="shared" si="0"/>
        <v>1.4384970486355383E-2</v>
      </c>
      <c r="H10" s="80"/>
      <c r="I10" s="80"/>
      <c r="J10" s="82" t="s">
        <v>76</v>
      </c>
      <c r="K10" s="58">
        <f t="shared" si="1"/>
        <v>3.3196085737743192E-3</v>
      </c>
      <c r="L10" s="80"/>
      <c r="M10" s="80"/>
      <c r="N10" s="82" t="s">
        <v>76</v>
      </c>
      <c r="O10" s="58">
        <f t="shared" si="2"/>
        <v>4.7293053653771122E-4</v>
      </c>
    </row>
    <row r="11" spans="2:21" x14ac:dyDescent="0.25">
      <c r="B11" s="40" t="s">
        <v>4</v>
      </c>
      <c r="C11" s="77">
        <f>'Monthly Totals'!C10+'Monthly Totals'!F10+'Monthly Totals'!I10+'Monthly Totals'!L10+'Monthly Totals'!O10+'Monthly Totals'!R10+'Monthly Totals'!C32+'Monthly Totals'!F32+'Monthly Totals'!I32+'Monthly Totals'!L32+'Monthly Totals'!O32+'Monthly Totals'!R32</f>
        <v>40479</v>
      </c>
      <c r="F11" s="40" t="s">
        <v>4</v>
      </c>
      <c r="G11" s="58">
        <f t="shared" si="0"/>
        <v>3373.25</v>
      </c>
      <c r="H11" s="80"/>
      <c r="I11" s="80"/>
      <c r="J11" s="83" t="s">
        <v>4</v>
      </c>
      <c r="K11" s="58">
        <f t="shared" si="1"/>
        <v>778.44230769230774</v>
      </c>
      <c r="L11" s="80"/>
      <c r="M11" s="80"/>
      <c r="N11" s="83" t="s">
        <v>4</v>
      </c>
      <c r="O11" s="58">
        <f t="shared" si="2"/>
        <v>110.9013698630137</v>
      </c>
    </row>
    <row r="12" spans="2:21" x14ac:dyDescent="0.25">
      <c r="B12" s="44" t="s">
        <v>85</v>
      </c>
      <c r="C12" s="77">
        <f>'Monthly Totals'!C11+'Monthly Totals'!F11+'Monthly Totals'!I11+'Monthly Totals'!L11+'Monthly Totals'!O11+'Monthly Totals'!R11+'Monthly Totals'!C33+'Monthly Totals'!F33+'Monthly Totals'!I33+'Monthly Totals'!L33+'Monthly Totals'!O33+'Monthly Totals'!R33</f>
        <v>43</v>
      </c>
      <c r="F12" s="44" t="s">
        <v>85</v>
      </c>
      <c r="G12" s="58">
        <f t="shared" si="0"/>
        <v>3.5833333333333335</v>
      </c>
      <c r="H12" s="80"/>
      <c r="I12" s="80"/>
      <c r="J12" s="81" t="s">
        <v>85</v>
      </c>
      <c r="K12" s="58">
        <f t="shared" si="1"/>
        <v>0.82692307692307687</v>
      </c>
      <c r="L12" s="80"/>
      <c r="M12" s="80"/>
      <c r="N12" s="81" t="s">
        <v>85</v>
      </c>
      <c r="O12" s="58">
        <f t="shared" si="2"/>
        <v>0.11780821917808219</v>
      </c>
    </row>
    <row r="13" spans="2:21" x14ac:dyDescent="0.25">
      <c r="B13" s="44" t="s">
        <v>77</v>
      </c>
      <c r="C13" s="77">
        <f>'Monthly Totals'!C12+'Monthly Totals'!F12+'Monthly Totals'!I12+'Monthly Totals'!L12+'Monthly Totals'!O12+'Monthly Totals'!R12+'Monthly Totals'!C34+'Monthly Totals'!F34+'Monthly Totals'!I34+'Monthly Totals'!L34+'Monthly Totals'!O34+'Monthly Totals'!R34</f>
        <v>174</v>
      </c>
      <c r="F13" s="44" t="s">
        <v>77</v>
      </c>
      <c r="G13" s="58">
        <f t="shared" si="0"/>
        <v>14.5</v>
      </c>
      <c r="H13" s="80"/>
      <c r="I13" s="80"/>
      <c r="J13" s="81" t="s">
        <v>77</v>
      </c>
      <c r="K13" s="58">
        <f t="shared" si="1"/>
        <v>3.3461538461538463</v>
      </c>
      <c r="L13" s="80"/>
      <c r="M13" s="80"/>
      <c r="N13" s="81" t="s">
        <v>77</v>
      </c>
      <c r="O13" s="58">
        <f t="shared" si="2"/>
        <v>0.47671232876712327</v>
      </c>
    </row>
    <row r="14" spans="2:21" x14ac:dyDescent="0.25">
      <c r="B14" s="44" t="s">
        <v>78</v>
      </c>
      <c r="C14" s="77">
        <f>'Monthly Totals'!C13+'Monthly Totals'!F13+'Monthly Totals'!I13+'Monthly Totals'!L13+'Monthly Totals'!O13+'Monthly Totals'!R13+'Monthly Totals'!C35+'Monthly Totals'!F35+'Monthly Totals'!I35+'Monthly Totals'!L35+'Monthly Totals'!O35+'Monthly Totals'!R35</f>
        <v>508</v>
      </c>
      <c r="F14" s="44" t="s">
        <v>78</v>
      </c>
      <c r="G14" s="58">
        <f t="shared" si="0"/>
        <v>42.333333333333336</v>
      </c>
      <c r="H14" s="80"/>
      <c r="I14" s="80"/>
      <c r="J14" s="81" t="s">
        <v>78</v>
      </c>
      <c r="K14" s="58">
        <f t="shared" si="1"/>
        <v>9.7692307692307701</v>
      </c>
      <c r="L14" s="80"/>
      <c r="M14" s="80"/>
      <c r="N14" s="81" t="s">
        <v>78</v>
      </c>
      <c r="O14" s="58">
        <f t="shared" si="2"/>
        <v>1.3917808219178083</v>
      </c>
    </row>
    <row r="15" spans="2:21" x14ac:dyDescent="0.25">
      <c r="B15" s="44" t="s">
        <v>79</v>
      </c>
      <c r="C15" s="77">
        <f>'Monthly Totals'!C14+'Monthly Totals'!F14+'Monthly Totals'!I14+'Monthly Totals'!L14+'Monthly Totals'!O14+'Monthly Totals'!R14+'Monthly Totals'!C36+'Monthly Totals'!F36+'Monthly Totals'!I36+'Monthly Totals'!L36+'Monthly Totals'!O36+'Monthly Totals'!R36</f>
        <v>39</v>
      </c>
      <c r="F15" s="44" t="s">
        <v>79</v>
      </c>
      <c r="G15" s="58">
        <f t="shared" si="0"/>
        <v>3.25</v>
      </c>
      <c r="H15" s="80"/>
      <c r="I15" s="80"/>
      <c r="J15" s="81" t="s">
        <v>79</v>
      </c>
      <c r="K15" s="58">
        <f t="shared" si="1"/>
        <v>0.75</v>
      </c>
      <c r="L15" s="80"/>
      <c r="M15" s="80"/>
      <c r="N15" s="81" t="s">
        <v>79</v>
      </c>
      <c r="O15" s="58">
        <f t="shared" si="2"/>
        <v>0.10684931506849316</v>
      </c>
    </row>
    <row r="16" spans="2:21" x14ac:dyDescent="0.25">
      <c r="B16" s="44" t="s">
        <v>5</v>
      </c>
      <c r="C16" s="77">
        <f>'Monthly Totals'!C15+'Monthly Totals'!F15+'Monthly Totals'!I15+'Monthly Totals'!L15+'Monthly Totals'!O15+'Monthly Totals'!R15+'Monthly Totals'!C37+'Monthly Totals'!F37+'Monthly Totals'!I37+'Monthly Totals'!L37+'Monthly Totals'!O37+'Monthly Totals'!R37</f>
        <v>3307</v>
      </c>
      <c r="F16" s="44" t="s">
        <v>5</v>
      </c>
      <c r="G16" s="58">
        <f t="shared" si="0"/>
        <v>275.58333333333331</v>
      </c>
      <c r="H16" s="80"/>
      <c r="I16" s="80"/>
      <c r="J16" s="81" t="s">
        <v>5</v>
      </c>
      <c r="K16" s="58">
        <f t="shared" si="1"/>
        <v>63.596153846153847</v>
      </c>
      <c r="L16" s="80"/>
      <c r="M16" s="80"/>
      <c r="N16" s="81" t="s">
        <v>5</v>
      </c>
      <c r="O16" s="58">
        <f t="shared" si="2"/>
        <v>9.0602739726027401</v>
      </c>
    </row>
    <row r="17" spans="2:15" ht="33" x14ac:dyDescent="0.25">
      <c r="B17" s="40" t="s">
        <v>80</v>
      </c>
      <c r="C17" s="77">
        <f>'Monthly Totals'!C16+'Monthly Totals'!F16+'Monthly Totals'!I16+'Monthly Totals'!L16+'Monthly Totals'!O16+'Monthly Totals'!R16+'Monthly Totals'!C38+'Monthly Totals'!F38+'Monthly Totals'!I38+'Monthly Totals'!L38+'Monthly Totals'!O38+'Monthly Totals'!R38</f>
        <v>36</v>
      </c>
      <c r="F17" s="40" t="s">
        <v>80</v>
      </c>
      <c r="G17" s="58">
        <f t="shared" si="0"/>
        <v>3</v>
      </c>
      <c r="H17" s="84"/>
      <c r="I17" s="80"/>
      <c r="J17" s="83" t="s">
        <v>80</v>
      </c>
      <c r="K17" s="58">
        <f t="shared" si="1"/>
        <v>0.69230769230769229</v>
      </c>
      <c r="L17" s="84"/>
      <c r="M17" s="80"/>
      <c r="N17" s="83" t="s">
        <v>80</v>
      </c>
      <c r="O17" s="58">
        <f t="shared" si="2"/>
        <v>9.8630136986301367E-2</v>
      </c>
    </row>
    <row r="18" spans="2:15" x14ac:dyDescent="0.25">
      <c r="B18" s="44" t="s">
        <v>6</v>
      </c>
      <c r="C18" s="77">
        <f>'Monthly Totals'!C17+'Monthly Totals'!F17+'Monthly Totals'!I17+'Monthly Totals'!L17+'Monthly Totals'!O17+'Monthly Totals'!R17+'Monthly Totals'!C39+'Monthly Totals'!F39+'Monthly Totals'!I39+'Monthly Totals'!L39+'Monthly Totals'!O39+'Monthly Totals'!R39</f>
        <v>2598</v>
      </c>
      <c r="F18" s="44" t="s">
        <v>6</v>
      </c>
      <c r="G18" s="58">
        <f t="shared" si="0"/>
        <v>216.5</v>
      </c>
      <c r="H18" s="80"/>
      <c r="I18" s="80"/>
      <c r="J18" s="81" t="s">
        <v>6</v>
      </c>
      <c r="K18" s="58">
        <f t="shared" si="1"/>
        <v>49.96153846153846</v>
      </c>
      <c r="L18" s="80"/>
      <c r="M18" s="80"/>
      <c r="N18" s="81" t="s">
        <v>6</v>
      </c>
      <c r="O18" s="58">
        <f t="shared" si="2"/>
        <v>7.117808219178082</v>
      </c>
    </row>
    <row r="19" spans="2:15" x14ac:dyDescent="0.25">
      <c r="B19" s="44" t="s">
        <v>86</v>
      </c>
      <c r="C19" s="77">
        <f>'Monthly Totals'!C19+'Monthly Totals'!F19+'Monthly Totals'!I19+'Monthly Totals'!L19+'Monthly Totals'!O19+'Monthly Totals'!R19+'Monthly Totals'!C41+'Monthly Totals'!F41+'Monthly Totals'!I41+'Monthly Totals'!L41+'Monthly Totals'!O41+'Monthly Totals'!R41</f>
        <v>404</v>
      </c>
      <c r="F19" s="44" t="s">
        <v>86</v>
      </c>
      <c r="G19" s="58">
        <f t="shared" si="0"/>
        <v>33.666666666666664</v>
      </c>
      <c r="H19" s="80"/>
      <c r="I19" s="80"/>
      <c r="J19" s="81" t="s">
        <v>86</v>
      </c>
      <c r="K19" s="58">
        <f t="shared" si="1"/>
        <v>7.7692307692307692</v>
      </c>
      <c r="L19" s="80"/>
      <c r="M19" s="80"/>
      <c r="N19" s="81" t="s">
        <v>86</v>
      </c>
      <c r="O19" s="58">
        <f t="shared" si="2"/>
        <v>1.106849315068493</v>
      </c>
    </row>
    <row r="20" spans="2:15" x14ac:dyDescent="0.25">
      <c r="B20" s="44" t="s">
        <v>81</v>
      </c>
      <c r="C20" s="77">
        <f>'Monthly Totals'!C20+'Monthly Totals'!F20+'Monthly Totals'!I20+'Monthly Totals'!L20+'Monthly Totals'!O20+'Monthly Totals'!R20+'Monthly Totals'!C42+'Monthly Totals'!F42+'Monthly Totals'!I42+'Monthly Totals'!L42+'Monthly Totals'!O42+'Monthly Totals'!R42</f>
        <v>522</v>
      </c>
      <c r="F20" s="44" t="s">
        <v>81</v>
      </c>
      <c r="G20" s="58">
        <f t="shared" si="0"/>
        <v>43.5</v>
      </c>
      <c r="H20" s="80"/>
      <c r="I20" s="80"/>
      <c r="J20" s="81" t="s">
        <v>81</v>
      </c>
      <c r="K20" s="58">
        <f t="shared" si="1"/>
        <v>10.038461538461538</v>
      </c>
      <c r="L20" s="80"/>
      <c r="M20" s="80"/>
      <c r="N20" s="81" t="s">
        <v>81</v>
      </c>
      <c r="O20" s="58">
        <f t="shared" si="2"/>
        <v>1.4301369863013698</v>
      </c>
    </row>
    <row r="21" spans="2:15" x14ac:dyDescent="0.25">
      <c r="B21" s="44" t="s">
        <v>7</v>
      </c>
      <c r="C21" s="77">
        <f>'Monthly Totals'!C21+'Monthly Totals'!F21+'Monthly Totals'!I21+'Monthly Totals'!L21+'Monthly Totals'!O21+'Monthly Totals'!R21+'Monthly Totals'!C43+'Monthly Totals'!F43+'Monthly Totals'!I43+'Monthly Totals'!L43+'Monthly Totals'!O43+'Monthly Totals'!R43</f>
        <v>879</v>
      </c>
      <c r="F21" s="44" t="s">
        <v>7</v>
      </c>
      <c r="G21" s="58">
        <f t="shared" si="0"/>
        <v>73.25</v>
      </c>
      <c r="H21" s="80"/>
      <c r="I21" s="80"/>
      <c r="J21" s="81" t="s">
        <v>7</v>
      </c>
      <c r="K21" s="58">
        <f t="shared" si="1"/>
        <v>16.903846153846153</v>
      </c>
      <c r="L21" s="80"/>
      <c r="M21" s="80"/>
      <c r="N21" s="81" t="s">
        <v>7</v>
      </c>
      <c r="O21" s="58">
        <f t="shared" si="2"/>
        <v>2.408219178082192</v>
      </c>
    </row>
    <row r="22" spans="2:15" x14ac:dyDescent="0.25">
      <c r="B22" s="44" t="s">
        <v>82</v>
      </c>
      <c r="C22" s="77">
        <f>'Monthly Totals'!C22+'Monthly Totals'!F22+'Monthly Totals'!I22+'Monthly Totals'!L22+'Monthly Totals'!O22+'Monthly Totals'!R22+'Monthly Totals'!C44+'Monthly Totals'!F44+'Monthly Totals'!I44+'Monthly Totals'!L44+'Monthly Totals'!O44+'Monthly Totals'!R44</f>
        <v>26827</v>
      </c>
      <c r="F22" s="44" t="s">
        <v>82</v>
      </c>
      <c r="G22" s="58">
        <f t="shared" si="0"/>
        <v>2235.5833333333335</v>
      </c>
      <c r="H22" s="80"/>
      <c r="I22" s="80"/>
      <c r="J22" s="81" t="s">
        <v>82</v>
      </c>
      <c r="K22" s="58">
        <f t="shared" si="1"/>
        <v>515.90384615384619</v>
      </c>
      <c r="L22" s="80"/>
      <c r="M22" s="80"/>
      <c r="N22" s="81" t="s">
        <v>82</v>
      </c>
      <c r="O22" s="58">
        <f t="shared" si="2"/>
        <v>73.498630136986307</v>
      </c>
    </row>
    <row r="24" spans="2:15" x14ac:dyDescent="0.25">
      <c r="D24" s="79"/>
    </row>
  </sheetData>
  <mergeCells count="11">
    <mergeCell ref="R4:U4"/>
    <mergeCell ref="R5:U5"/>
    <mergeCell ref="B3:C3"/>
    <mergeCell ref="N4:O4"/>
    <mergeCell ref="N5:O5"/>
    <mergeCell ref="B4:C4"/>
    <mergeCell ref="B5:C5"/>
    <mergeCell ref="F4:G4"/>
    <mergeCell ref="F5:G5"/>
    <mergeCell ref="J4:K4"/>
    <mergeCell ref="J5:K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E8681-3F4E-4E58-98B6-76F1C5B0A556}">
  <dimension ref="B1:U123"/>
  <sheetViews>
    <sheetView showGridLines="0" tabSelected="1" topLeftCell="G33" zoomScale="90" zoomScaleNormal="90" workbookViewId="0">
      <selection activeCell="Q51" sqref="Q51"/>
    </sheetView>
  </sheetViews>
  <sheetFormatPr defaultColWidth="9.140625" defaultRowHeight="16.5" x14ac:dyDescent="0.3"/>
  <cols>
    <col min="1" max="1" width="3.28515625" style="4" customWidth="1"/>
    <col min="2" max="2" width="34.28515625" style="4" bestFit="1" customWidth="1"/>
    <col min="3" max="3" width="11" style="4" bestFit="1" customWidth="1"/>
    <col min="4" max="5" width="17.85546875" style="7" customWidth="1"/>
    <col min="6" max="6" width="19.28515625" style="7" customWidth="1"/>
    <col min="7" max="7" width="20.42578125" style="4" bestFit="1" customWidth="1"/>
    <col min="8" max="8" width="9.140625" style="4"/>
    <col min="9" max="9" width="34.28515625" style="4" bestFit="1" customWidth="1"/>
    <col min="10" max="10" width="11" style="4" bestFit="1" customWidth="1"/>
    <col min="11" max="11" width="15.42578125" style="4" bestFit="1" customWidth="1"/>
    <col min="12" max="12" width="23.28515625" style="4" bestFit="1" customWidth="1"/>
    <col min="13" max="13" width="18.5703125" style="4" bestFit="1" customWidth="1"/>
    <col min="14" max="14" width="27.42578125" style="4" customWidth="1"/>
    <col min="15" max="15" width="20.42578125" style="4" bestFit="1" customWidth="1"/>
    <col min="16" max="16" width="30.140625" style="4" bestFit="1" customWidth="1"/>
    <col min="17" max="17" width="11" style="8" bestFit="1" customWidth="1"/>
    <col min="18" max="18" width="15.42578125" style="4" bestFit="1" customWidth="1"/>
    <col min="19" max="19" width="23.28515625" style="4" bestFit="1" customWidth="1"/>
    <col min="20" max="20" width="18.140625" style="4" bestFit="1" customWidth="1"/>
    <col min="21" max="21" width="20.42578125" style="4" bestFit="1" customWidth="1"/>
    <col min="22" max="16384" width="9.140625" style="4"/>
  </cols>
  <sheetData>
    <row r="1" spans="2:21" ht="18" x14ac:dyDescent="0.35">
      <c r="C1" s="6"/>
      <c r="J1" s="6"/>
    </row>
    <row r="2" spans="2:21" ht="45" x14ac:dyDescent="0.4">
      <c r="B2" s="3" t="s">
        <v>8</v>
      </c>
      <c r="C2" s="9"/>
      <c r="D2" s="10" t="s">
        <v>18</v>
      </c>
      <c r="E2" s="10" t="s">
        <v>19</v>
      </c>
      <c r="F2" s="10" t="s">
        <v>20</v>
      </c>
      <c r="G2" s="9" t="s">
        <v>21</v>
      </c>
      <c r="H2" s="11"/>
      <c r="I2" s="3" t="s">
        <v>22</v>
      </c>
      <c r="J2" s="9"/>
      <c r="K2" s="10" t="s">
        <v>18</v>
      </c>
      <c r="L2" s="10" t="s">
        <v>19</v>
      </c>
      <c r="M2" s="10" t="s">
        <v>20</v>
      </c>
      <c r="N2" s="9" t="s">
        <v>21</v>
      </c>
      <c r="P2" s="3" t="s">
        <v>9</v>
      </c>
      <c r="Q2" s="12"/>
      <c r="R2" s="9" t="s">
        <v>18</v>
      </c>
      <c r="S2" s="10" t="s">
        <v>19</v>
      </c>
      <c r="T2" s="9" t="s">
        <v>20</v>
      </c>
      <c r="U2" s="9" t="s">
        <v>21</v>
      </c>
    </row>
    <row r="3" spans="2:21" ht="17.25" thickBot="1" x14ac:dyDescent="0.35">
      <c r="K3" s="7"/>
      <c r="L3" s="7"/>
      <c r="M3" s="7"/>
    </row>
    <row r="4" spans="2:21" x14ac:dyDescent="0.3">
      <c r="B4" s="13" t="s">
        <v>23</v>
      </c>
      <c r="C4" s="14" t="s">
        <v>24</v>
      </c>
      <c r="D4" s="15">
        <f>GETPIVOTDATA("Sum of AM FIELD",'Pivot Table'!$A$4,"DAY","Mon")</f>
        <v>358</v>
      </c>
      <c r="E4" s="15">
        <f>SUM(104+120+96+112+96)</f>
        <v>528</v>
      </c>
      <c r="F4" s="16">
        <f>SUM(D4/E4)</f>
        <v>0.67803030303030298</v>
      </c>
      <c r="G4" s="17"/>
      <c r="I4" s="13" t="s">
        <v>23</v>
      </c>
      <c r="J4" s="14" t="s">
        <v>24</v>
      </c>
      <c r="K4" s="15">
        <f>GETPIVOTDATA("Sum of AM FIELD",'Pivot Table'!$A$16,"DAY","Mon")</f>
        <v>197</v>
      </c>
      <c r="L4" s="15">
        <f>SUM(92+0+92+92)</f>
        <v>276</v>
      </c>
      <c r="M4" s="16">
        <f>SUM(K4/L4)</f>
        <v>0.71376811594202894</v>
      </c>
      <c r="N4" s="17"/>
      <c r="P4" s="13" t="s">
        <v>23</v>
      </c>
      <c r="Q4" s="14" t="s">
        <v>24</v>
      </c>
      <c r="R4" s="15">
        <f>GETPIVOTDATA("Sum of AM FIELD",'Pivot Table'!$A$28,"DAY","Mon")</f>
        <v>241</v>
      </c>
      <c r="S4" s="15">
        <f>SUM(92+104+80+0)</f>
        <v>276</v>
      </c>
      <c r="T4" s="16">
        <f>SUM(R4/S4)</f>
        <v>0.87318840579710144</v>
      </c>
      <c r="U4" s="17"/>
    </row>
    <row r="5" spans="2:21" ht="17.25" thickBot="1" x14ac:dyDescent="0.35">
      <c r="B5" s="18" t="s">
        <v>23</v>
      </c>
      <c r="C5" s="19" t="s">
        <v>25</v>
      </c>
      <c r="D5" s="20">
        <f>GETPIVOTDATA("Sum of PM FIELD",'Pivot Table'!$A$4,"DAY","Mon")</f>
        <v>263</v>
      </c>
      <c r="E5" s="20">
        <f>SUM(56+104+96+96+96)</f>
        <v>448</v>
      </c>
      <c r="F5" s="21">
        <f>SUM(D5/E5)</f>
        <v>0.5870535714285714</v>
      </c>
      <c r="G5" s="22"/>
      <c r="I5" s="18" t="s">
        <v>23</v>
      </c>
      <c r="J5" s="19" t="s">
        <v>25</v>
      </c>
      <c r="K5" s="20">
        <f>GETPIVOTDATA("Sum of PM FIELD",'Pivot Table'!$A$16,"DAY","Mon")</f>
        <v>296</v>
      </c>
      <c r="L5" s="20">
        <f>SUM(96+96+96+96)</f>
        <v>384</v>
      </c>
      <c r="M5" s="21">
        <f>SUM(K5/L5)</f>
        <v>0.77083333333333337</v>
      </c>
      <c r="N5" s="22"/>
      <c r="P5" s="18" t="s">
        <v>23</v>
      </c>
      <c r="Q5" s="19" t="s">
        <v>25</v>
      </c>
      <c r="R5" s="20">
        <f>GETPIVOTDATA("Sum of PM FIELD",'Pivot Table'!$A$28,"DAY","Mon")</f>
        <v>328</v>
      </c>
      <c r="S5" s="20">
        <f>SUM(88+96+84+88)</f>
        <v>356</v>
      </c>
      <c r="T5" s="21">
        <f>SUM(R5/S5)</f>
        <v>0.9213483146067416</v>
      </c>
      <c r="U5" s="22"/>
    </row>
    <row r="6" spans="2:21" ht="18" thickTop="1" thickBot="1" x14ac:dyDescent="0.35">
      <c r="B6" s="23" t="s">
        <v>26</v>
      </c>
      <c r="C6" s="24"/>
      <c r="D6" s="25">
        <f>SUM(D3:D5)</f>
        <v>621</v>
      </c>
      <c r="E6" s="25">
        <f>SUM(E3:E5)</f>
        <v>976</v>
      </c>
      <c r="F6" s="26">
        <f>SUM(D6/E6)</f>
        <v>0.63627049180327866</v>
      </c>
      <c r="G6" s="27"/>
      <c r="I6" s="23" t="s">
        <v>26</v>
      </c>
      <c r="J6" s="24"/>
      <c r="K6" s="25">
        <f>SUM(K3:K5)</f>
        <v>493</v>
      </c>
      <c r="L6" s="25">
        <f>SUM(L3:L5)</f>
        <v>660</v>
      </c>
      <c r="M6" s="26">
        <f>SUM(K6/L6)</f>
        <v>0.74696969696969695</v>
      </c>
      <c r="N6" s="27"/>
      <c r="P6" s="23" t="s">
        <v>26</v>
      </c>
      <c r="Q6" s="24"/>
      <c r="R6" s="25">
        <f>SUM(R3:R5)</f>
        <v>569</v>
      </c>
      <c r="S6" s="25">
        <f>SUM(S4:S5)</f>
        <v>632</v>
      </c>
      <c r="T6" s="26">
        <f>SUM(R6/S6)</f>
        <v>0.90031645569620256</v>
      </c>
      <c r="U6" s="27"/>
    </row>
    <row r="7" spans="2:21" ht="17.25" thickBot="1" x14ac:dyDescent="0.35">
      <c r="C7" s="28"/>
      <c r="J7" s="28"/>
      <c r="K7" s="7"/>
      <c r="L7" s="7"/>
      <c r="M7" s="7"/>
      <c r="Q7" s="28"/>
      <c r="R7" s="7"/>
      <c r="S7" s="7"/>
      <c r="T7" s="7"/>
    </row>
    <row r="8" spans="2:21" x14ac:dyDescent="0.3">
      <c r="B8" s="13" t="s">
        <v>28</v>
      </c>
      <c r="C8" s="14" t="s">
        <v>29</v>
      </c>
      <c r="D8" s="15">
        <f>GETPIVOTDATA("Sum of AM FIELD",'Pivot Table'!$A$4,"DAY","Tue")</f>
        <v>378</v>
      </c>
      <c r="E8" s="15">
        <f>SUM(120+120+112+116+116)</f>
        <v>584</v>
      </c>
      <c r="F8" s="16">
        <f>SUM(D8/E8)</f>
        <v>0.64726027397260277</v>
      </c>
      <c r="G8" s="17"/>
      <c r="I8" s="13" t="s">
        <v>28</v>
      </c>
      <c r="J8" s="14" t="s">
        <v>29</v>
      </c>
      <c r="K8" s="15">
        <f>GETPIVOTDATA("Sum of AM FIELD",'Pivot Table'!$A$16,"DAY","Tue")</f>
        <v>425</v>
      </c>
      <c r="L8" s="15">
        <f>SUM(140+112+112+112)</f>
        <v>476</v>
      </c>
      <c r="M8" s="16">
        <f>SUM(K8/L8)</f>
        <v>0.8928571428571429</v>
      </c>
      <c r="N8" s="17"/>
      <c r="P8" s="13" t="s">
        <v>28</v>
      </c>
      <c r="Q8" s="14" t="s">
        <v>29</v>
      </c>
      <c r="R8" s="15">
        <f>GETPIVOTDATA("Sum of AM FIELD",'Pivot Table'!$A$28,"DAY","Tue")</f>
        <v>369</v>
      </c>
      <c r="S8" s="15">
        <f>SUM(112+112+112+96)</f>
        <v>432</v>
      </c>
      <c r="T8" s="16">
        <f>SUM(R8/S8)</f>
        <v>0.85416666666666663</v>
      </c>
      <c r="U8" s="17"/>
    </row>
    <row r="9" spans="2:21" ht="17.25" thickBot="1" x14ac:dyDescent="0.35">
      <c r="B9" s="18" t="s">
        <v>28</v>
      </c>
      <c r="C9" s="19" t="s">
        <v>25</v>
      </c>
      <c r="D9" s="20">
        <f>GETPIVOTDATA("Sum of PM FIELD",'Pivot Table'!$A$4,"DAY","Tue")</f>
        <v>96</v>
      </c>
      <c r="E9" s="20">
        <f>SUM(80+80+80+80+80)</f>
        <v>400</v>
      </c>
      <c r="F9" s="21">
        <f>SUM(D9/E9)</f>
        <v>0.24</v>
      </c>
      <c r="G9" s="22"/>
      <c r="I9" s="18" t="s">
        <v>28</v>
      </c>
      <c r="J9" s="19" t="s">
        <v>25</v>
      </c>
      <c r="K9" s="20">
        <f>GETPIVOTDATA("Sum of PM FIELD",'Pivot Table'!$A$16,"DAY","Tue")</f>
        <v>168</v>
      </c>
      <c r="L9" s="20">
        <f>SUM(40+76+80+80)</f>
        <v>276</v>
      </c>
      <c r="M9" s="21">
        <f>SUM(K9/L9)</f>
        <v>0.60869565217391308</v>
      </c>
      <c r="N9" s="22"/>
      <c r="P9" s="18" t="s">
        <v>28</v>
      </c>
      <c r="Q9" s="19" t="s">
        <v>25</v>
      </c>
      <c r="R9" s="20">
        <f>GETPIVOTDATA("Sum of PM FIELD",'Pivot Table'!$A$28,"DAY","Tue")</f>
        <v>129</v>
      </c>
      <c r="S9" s="20">
        <f>SUM(80+80+80+44)</f>
        <v>284</v>
      </c>
      <c r="T9" s="21">
        <f>SUM(R9/S9)</f>
        <v>0.45422535211267606</v>
      </c>
      <c r="U9" s="22"/>
    </row>
    <row r="10" spans="2:21" ht="18" thickTop="1" thickBot="1" x14ac:dyDescent="0.35">
      <c r="B10" s="23" t="s">
        <v>26</v>
      </c>
      <c r="C10" s="30"/>
      <c r="D10" s="31">
        <f>SUM(D7:D9)</f>
        <v>474</v>
      </c>
      <c r="E10" s="31">
        <f>SUM(E7:E9)</f>
        <v>984</v>
      </c>
      <c r="F10" s="32">
        <f>SUM(D10/E10)</f>
        <v>0.48170731707317072</v>
      </c>
      <c r="G10" s="33"/>
      <c r="I10" s="23" t="s">
        <v>26</v>
      </c>
      <c r="J10" s="30"/>
      <c r="K10" s="31">
        <f>SUM(K7:K9)</f>
        <v>593</v>
      </c>
      <c r="L10" s="31">
        <f>SUM(L7:L9)</f>
        <v>752</v>
      </c>
      <c r="M10" s="32">
        <f>SUM(K10/L10)</f>
        <v>0.78856382978723405</v>
      </c>
      <c r="N10" s="33"/>
      <c r="P10" s="23" t="s">
        <v>26</v>
      </c>
      <c r="Q10" s="30"/>
      <c r="R10" s="31">
        <f>SUM(R7:R9)</f>
        <v>498</v>
      </c>
      <c r="S10" s="31">
        <f>SUM(S7:S9)</f>
        <v>716</v>
      </c>
      <c r="T10" s="32">
        <f>SUM(R10/S10)</f>
        <v>0.6955307262569832</v>
      </c>
      <c r="U10" s="33"/>
    </row>
    <row r="11" spans="2:21" ht="17.25" thickBot="1" x14ac:dyDescent="0.35">
      <c r="C11" s="28"/>
      <c r="J11" s="28"/>
      <c r="K11" s="7"/>
      <c r="L11" s="7"/>
      <c r="M11" s="7"/>
      <c r="Q11" s="28"/>
      <c r="R11" s="7"/>
      <c r="S11" s="7"/>
      <c r="T11" s="7"/>
    </row>
    <row r="12" spans="2:21" x14ac:dyDescent="0.3">
      <c r="B12" s="13" t="s">
        <v>31</v>
      </c>
      <c r="C12" s="14" t="s">
        <v>24</v>
      </c>
      <c r="D12" s="15">
        <f>GETPIVOTDATA("Sum of AM FIELD",'Pivot Table'!$A$4,"DAY","Wed")</f>
        <v>299</v>
      </c>
      <c r="E12" s="15">
        <f>SUM(120+120+104+88)</f>
        <v>432</v>
      </c>
      <c r="F12" s="16">
        <f>SUM(D12/E12)</f>
        <v>0.69212962962962965</v>
      </c>
      <c r="G12" s="17"/>
      <c r="I12" s="13" t="s">
        <v>31</v>
      </c>
      <c r="J12" s="14" t="s">
        <v>24</v>
      </c>
      <c r="K12" s="15">
        <f>GETPIVOTDATA("Sum of AM FIELD",'Pivot Table'!$A$16,"DAY","Wed")</f>
        <v>315</v>
      </c>
      <c r="L12" s="15">
        <f>SUM(120+120+120+100)</f>
        <v>460</v>
      </c>
      <c r="M12" s="16">
        <f>SUM(K12/L12)</f>
        <v>0.68478260869565222</v>
      </c>
      <c r="N12" s="17"/>
      <c r="P12" s="13" t="s">
        <v>31</v>
      </c>
      <c r="Q12" s="14" t="s">
        <v>24</v>
      </c>
      <c r="R12" s="15">
        <f>GETPIVOTDATA("Sum of AM FIELD",'Pivot Table'!$A$28,"DAY","Wed")</f>
        <v>310</v>
      </c>
      <c r="S12" s="15">
        <f>SUM(120+120+100+80+76)</f>
        <v>496</v>
      </c>
      <c r="T12" s="16">
        <f>SUM(R12/S12)</f>
        <v>0.625</v>
      </c>
      <c r="U12" s="17"/>
    </row>
    <row r="13" spans="2:21" ht="17.25" thickBot="1" x14ac:dyDescent="0.35">
      <c r="B13" s="18" t="s">
        <v>31</v>
      </c>
      <c r="C13" s="19" t="s">
        <v>25</v>
      </c>
      <c r="D13" s="20">
        <f>GETPIVOTDATA("Sum of PM FIELD",'Pivot Table'!$A$4,"DAY","Wed")</f>
        <v>317</v>
      </c>
      <c r="E13" s="20">
        <f>SUM(104+104+104+172)</f>
        <v>484</v>
      </c>
      <c r="F13" s="21">
        <f>SUM(D13/E13)</f>
        <v>0.6549586776859504</v>
      </c>
      <c r="G13" s="22"/>
      <c r="I13" s="18" t="s">
        <v>31</v>
      </c>
      <c r="J13" s="19" t="s">
        <v>25</v>
      </c>
      <c r="K13" s="20">
        <f>GETPIVOTDATA("Sum of PM FIELD",'Pivot Table'!$A$16,"DAY","Wed")</f>
        <v>277</v>
      </c>
      <c r="L13" s="20">
        <f>SUM(104+100+100+104)</f>
        <v>408</v>
      </c>
      <c r="M13" s="21">
        <f>SUM(K13/L13)</f>
        <v>0.67892156862745101</v>
      </c>
      <c r="N13" s="22"/>
      <c r="P13" s="18" t="s">
        <v>31</v>
      </c>
      <c r="Q13" s="19" t="s">
        <v>25</v>
      </c>
      <c r="R13" s="20">
        <f>GETPIVOTDATA("Sum of PM FIELD",'Pivot Table'!$A$28,"DAY","Wed")</f>
        <v>377</v>
      </c>
      <c r="S13" s="20">
        <f>SUM(108+88+80+82+92)</f>
        <v>450</v>
      </c>
      <c r="T13" s="21">
        <f>SUM(R13/S13)</f>
        <v>0.83777777777777773</v>
      </c>
      <c r="U13" s="22"/>
    </row>
    <row r="14" spans="2:21" ht="18" thickTop="1" thickBot="1" x14ac:dyDescent="0.35">
      <c r="B14" s="23" t="s">
        <v>26</v>
      </c>
      <c r="C14" s="30"/>
      <c r="D14" s="31">
        <f>SUM(D11:D13)</f>
        <v>616</v>
      </c>
      <c r="E14" s="31">
        <f>SUM(E11:E13)</f>
        <v>916</v>
      </c>
      <c r="F14" s="32">
        <f>SUM(D14/E14)</f>
        <v>0.67248908296943233</v>
      </c>
      <c r="G14" s="33"/>
      <c r="I14" s="23" t="s">
        <v>26</v>
      </c>
      <c r="J14" s="30"/>
      <c r="K14" s="31">
        <f>SUM(K11:K13)</f>
        <v>592</v>
      </c>
      <c r="L14" s="31">
        <f>SUM(L11:L13)</f>
        <v>868</v>
      </c>
      <c r="M14" s="32">
        <f>SUM(K14/L14)</f>
        <v>0.6820276497695853</v>
      </c>
      <c r="N14" s="33"/>
      <c r="P14" s="23" t="s">
        <v>26</v>
      </c>
      <c r="Q14" s="30"/>
      <c r="R14" s="31">
        <f>SUM(R11:R13)</f>
        <v>687</v>
      </c>
      <c r="S14" s="31">
        <f>SUM(S11:S13)</f>
        <v>946</v>
      </c>
      <c r="T14" s="32">
        <f>SUM(R14/S14)</f>
        <v>0.72621564482029599</v>
      </c>
      <c r="U14" s="33"/>
    </row>
    <row r="15" spans="2:21" ht="17.25" thickBot="1" x14ac:dyDescent="0.35">
      <c r="C15" s="28"/>
      <c r="J15" s="28"/>
      <c r="K15" s="7"/>
      <c r="L15" s="7"/>
      <c r="M15" s="7"/>
      <c r="Q15" s="28"/>
      <c r="R15" s="7"/>
      <c r="S15" s="7"/>
      <c r="T15" s="7"/>
    </row>
    <row r="16" spans="2:21" x14ac:dyDescent="0.3">
      <c r="B16" s="13" t="s">
        <v>33</v>
      </c>
      <c r="C16" s="14" t="s">
        <v>29</v>
      </c>
      <c r="D16" s="15">
        <f>GETPIVOTDATA("Sum of AM FIELD",'Pivot Table'!$A$4,"DAY","Thu")</f>
        <v>337</v>
      </c>
      <c r="E16" s="15">
        <f>SUM(88+84+88+104)</f>
        <v>364</v>
      </c>
      <c r="F16" s="16">
        <f>SUM(D16/E16)</f>
        <v>0.92582417582417587</v>
      </c>
      <c r="G16" s="17"/>
      <c r="I16" s="13" t="s">
        <v>33</v>
      </c>
      <c r="J16" s="14" t="s">
        <v>29</v>
      </c>
      <c r="K16" s="15">
        <f>GETPIVOTDATA("Sum of AM FIELD",'Pivot Table'!$A$16,"DAY","Thu")</f>
        <v>335</v>
      </c>
      <c r="L16" s="15">
        <f>SUM(88+88+88+88)</f>
        <v>352</v>
      </c>
      <c r="M16" s="16">
        <f>SUM(K16/L16)</f>
        <v>0.95170454545454541</v>
      </c>
      <c r="N16" s="17"/>
      <c r="P16" s="13" t="s">
        <v>33</v>
      </c>
      <c r="Q16" s="14" t="s">
        <v>29</v>
      </c>
      <c r="R16" s="15">
        <f>GETPIVOTDATA("Sum of AM FIELD",'Pivot Table'!$A$28,"DAY","Thu")</f>
        <v>317</v>
      </c>
      <c r="S16" s="15">
        <f>SUM(80+72+88+64+96)</f>
        <v>400</v>
      </c>
      <c r="T16" s="16">
        <f>SUM(R16/S16)</f>
        <v>0.79249999999999998</v>
      </c>
      <c r="U16" s="17"/>
    </row>
    <row r="17" spans="2:21" ht="17.25" thickBot="1" x14ac:dyDescent="0.35">
      <c r="B17" s="18" t="s">
        <v>33</v>
      </c>
      <c r="C17" s="19" t="s">
        <v>25</v>
      </c>
      <c r="D17" s="20">
        <f>GETPIVOTDATA("Sum of PM FIELD",'Pivot Table'!$A$4,"DAY","Thu")</f>
        <v>337</v>
      </c>
      <c r="E17" s="20">
        <f>SUM(96+96+96+96)</f>
        <v>384</v>
      </c>
      <c r="F17" s="21">
        <f t="shared" ref="F17:F29" si="0">SUM(D17/E17)</f>
        <v>0.87760416666666663</v>
      </c>
      <c r="G17" s="22"/>
      <c r="I17" s="18" t="s">
        <v>33</v>
      </c>
      <c r="J17" s="19" t="s">
        <v>25</v>
      </c>
      <c r="K17" s="20">
        <f>GETPIVOTDATA("Sum of PM FIELD",'Pivot Table'!$A$16,"DAY","Thu")</f>
        <v>239</v>
      </c>
      <c r="L17" s="20">
        <f>SUM(96+96+0+96)</f>
        <v>288</v>
      </c>
      <c r="M17" s="21">
        <f t="shared" ref="M17" si="1">SUM(K17/L17)</f>
        <v>0.82986111111111116</v>
      </c>
      <c r="N17" s="22"/>
      <c r="P17" s="18" t="s">
        <v>33</v>
      </c>
      <c r="Q17" s="19" t="s">
        <v>25</v>
      </c>
      <c r="R17" s="20">
        <f>GETPIVOTDATA("Sum of PM FIELD",'Pivot Table'!$A$28,"DAY","Thu")</f>
        <v>405</v>
      </c>
      <c r="S17" s="20">
        <f>SUM(96+96+96+96+96)</f>
        <v>480</v>
      </c>
      <c r="T17" s="21">
        <f t="shared" ref="T17" si="2">SUM(R17/S17)</f>
        <v>0.84375</v>
      </c>
      <c r="U17" s="22"/>
    </row>
    <row r="18" spans="2:21" ht="18" thickTop="1" thickBot="1" x14ac:dyDescent="0.35">
      <c r="B18" s="23" t="s">
        <v>26</v>
      </c>
      <c r="C18" s="30"/>
      <c r="D18" s="31">
        <f>SUM(D15:D17)</f>
        <v>674</v>
      </c>
      <c r="E18" s="31">
        <f>SUM(E15:E17)</f>
        <v>748</v>
      </c>
      <c r="F18" s="32">
        <f>SUM(D18/E18)</f>
        <v>0.90106951871657759</v>
      </c>
      <c r="G18" s="33"/>
      <c r="I18" s="23" t="s">
        <v>26</v>
      </c>
      <c r="J18" s="30"/>
      <c r="K18" s="31">
        <f>SUM(K15:K17)</f>
        <v>574</v>
      </c>
      <c r="L18" s="31">
        <f>SUM(L15:L17)</f>
        <v>640</v>
      </c>
      <c r="M18" s="32">
        <f>SUM(K18/L18)</f>
        <v>0.89687499999999998</v>
      </c>
      <c r="N18" s="33"/>
      <c r="P18" s="23" t="s">
        <v>26</v>
      </c>
      <c r="Q18" s="30"/>
      <c r="R18" s="31">
        <f>SUM(R15:R17)</f>
        <v>722</v>
      </c>
      <c r="S18" s="31">
        <f>SUM(S15:S17)</f>
        <v>880</v>
      </c>
      <c r="T18" s="32">
        <f>SUM(R18/S18)</f>
        <v>0.82045454545454544</v>
      </c>
      <c r="U18" s="33"/>
    </row>
    <row r="19" spans="2:21" ht="17.25" thickBot="1" x14ac:dyDescent="0.35">
      <c r="C19" s="28"/>
      <c r="J19" s="28"/>
      <c r="K19" s="7"/>
      <c r="L19" s="7"/>
      <c r="M19" s="7"/>
      <c r="Q19" s="28"/>
      <c r="R19" s="7"/>
      <c r="S19" s="7"/>
      <c r="T19" s="7"/>
    </row>
    <row r="20" spans="2:21" x14ac:dyDescent="0.3">
      <c r="B20" s="13" t="s">
        <v>35</v>
      </c>
      <c r="C20" s="14" t="s">
        <v>29</v>
      </c>
      <c r="D20" s="15">
        <f>GETPIVOTDATA("Sum of AM FIELD",'Pivot Table'!$A$4,"DAY","Fri")</f>
        <v>427</v>
      </c>
      <c r="E20" s="15">
        <f>SUM(120+120+120+120)</f>
        <v>480</v>
      </c>
      <c r="F20" s="16">
        <f t="shared" si="0"/>
        <v>0.88958333333333328</v>
      </c>
      <c r="G20" s="17"/>
      <c r="I20" s="13" t="s">
        <v>35</v>
      </c>
      <c r="J20" s="14" t="s">
        <v>29</v>
      </c>
      <c r="K20" s="15">
        <f>GETPIVOTDATA("Sum of AM FIELD",'Pivot Table'!$A$16,"DAY","Fri")</f>
        <v>301</v>
      </c>
      <c r="L20" s="15">
        <f>SUM(120+88+88+88)</f>
        <v>384</v>
      </c>
      <c r="M20" s="16">
        <f t="shared" ref="M20:M21" si="3">SUM(K20/L20)</f>
        <v>0.78385416666666663</v>
      </c>
      <c r="N20" s="17"/>
      <c r="P20" s="13" t="s">
        <v>35</v>
      </c>
      <c r="Q20" s="14" t="s">
        <v>29</v>
      </c>
      <c r="R20" s="15">
        <f>GETPIVOTDATA("Sum of AM FIELD",'Pivot Table'!$A$28,"DAY","Fri")</f>
        <v>401</v>
      </c>
      <c r="S20" s="15">
        <f>SUM(80+80+56+108+108)</f>
        <v>432</v>
      </c>
      <c r="T20" s="16">
        <f t="shared" ref="T20:T21" si="4">SUM(R20/S20)</f>
        <v>0.9282407407407407</v>
      </c>
      <c r="U20" s="17"/>
    </row>
    <row r="21" spans="2:21" ht="17.25" thickBot="1" x14ac:dyDescent="0.35">
      <c r="B21" s="18" t="s">
        <v>35</v>
      </c>
      <c r="C21" s="19" t="s">
        <v>25</v>
      </c>
      <c r="D21" s="20">
        <f>GETPIVOTDATA("Sum of PM FIELD",'Pivot Table'!$A$4,"DAY","Fri")</f>
        <v>325</v>
      </c>
      <c r="E21" s="20">
        <f>SUM(104+104+104+104)</f>
        <v>416</v>
      </c>
      <c r="F21" s="21">
        <f t="shared" si="0"/>
        <v>0.78125</v>
      </c>
      <c r="G21" s="22"/>
      <c r="I21" s="18" t="s">
        <v>35</v>
      </c>
      <c r="J21" s="19" t="s">
        <v>25</v>
      </c>
      <c r="K21" s="20">
        <f>GETPIVOTDATA("Sum of PM FIELD",'Pivot Table'!$A$16,"DAY","Fri")</f>
        <v>329</v>
      </c>
      <c r="L21" s="20">
        <f>SUM(104+164+104+152)</f>
        <v>524</v>
      </c>
      <c r="M21" s="21">
        <f t="shared" si="3"/>
        <v>0.62786259541984735</v>
      </c>
      <c r="N21" s="22"/>
      <c r="P21" s="18" t="s">
        <v>35</v>
      </c>
      <c r="Q21" s="19" t="s">
        <v>25</v>
      </c>
      <c r="R21" s="20">
        <f>GETPIVOTDATA("Sum of PM FIELD",'Pivot Table'!$A$28,"DAY","Fri")</f>
        <v>499</v>
      </c>
      <c r="S21" s="20">
        <f>SUM(188+188+80+76+88)</f>
        <v>620</v>
      </c>
      <c r="T21" s="21">
        <f t="shared" si="4"/>
        <v>0.80483870967741933</v>
      </c>
      <c r="U21" s="22" t="s">
        <v>114</v>
      </c>
    </row>
    <row r="22" spans="2:21" ht="18" thickTop="1" thickBot="1" x14ac:dyDescent="0.35">
      <c r="B22" s="23" t="s">
        <v>26</v>
      </c>
      <c r="C22" s="30"/>
      <c r="D22" s="31">
        <f>SUM(D19:D21)</f>
        <v>752</v>
      </c>
      <c r="E22" s="31">
        <f>SUM(E19:E21)</f>
        <v>896</v>
      </c>
      <c r="F22" s="32">
        <f>SUM(D22/E22)</f>
        <v>0.8392857142857143</v>
      </c>
      <c r="G22" s="33"/>
      <c r="I22" s="23" t="s">
        <v>26</v>
      </c>
      <c r="J22" s="30"/>
      <c r="K22" s="31">
        <f>SUM(K19:K21)</f>
        <v>630</v>
      </c>
      <c r="L22" s="31">
        <f>SUM(L19:L21)</f>
        <v>908</v>
      </c>
      <c r="M22" s="32">
        <f>SUM(K22/L22)</f>
        <v>0.69383259911894268</v>
      </c>
      <c r="N22" s="33"/>
      <c r="P22" s="23" t="s">
        <v>26</v>
      </c>
      <c r="Q22" s="30"/>
      <c r="R22" s="31">
        <f>SUM(R19:R21)</f>
        <v>900</v>
      </c>
      <c r="S22" s="31">
        <f>SUM(S19:S21)</f>
        <v>1052</v>
      </c>
      <c r="T22" s="32">
        <f>SUM(R22/S22)</f>
        <v>0.85551330798479086</v>
      </c>
      <c r="U22" s="33"/>
    </row>
    <row r="23" spans="2:21" ht="17.25" thickBot="1" x14ac:dyDescent="0.35">
      <c r="C23" s="28"/>
      <c r="J23" s="28"/>
      <c r="K23" s="7"/>
      <c r="L23" s="7"/>
      <c r="M23" s="7"/>
      <c r="Q23" s="28"/>
      <c r="R23" s="7"/>
      <c r="S23" s="7"/>
      <c r="T23" s="7"/>
    </row>
    <row r="24" spans="2:21" x14ac:dyDescent="0.3">
      <c r="B24" s="13" t="s">
        <v>37</v>
      </c>
      <c r="C24" s="14" t="s">
        <v>29</v>
      </c>
      <c r="D24" s="15">
        <f>GETPIVOTDATA("Sum of AM FIELD",'Pivot Table'!$A$4,"DAY","Sat")</f>
        <v>364</v>
      </c>
      <c r="E24" s="15">
        <f>SUM(104+104+104+100)</f>
        <v>412</v>
      </c>
      <c r="F24" s="16">
        <f t="shared" si="0"/>
        <v>0.88349514563106801</v>
      </c>
      <c r="G24" s="17"/>
      <c r="I24" s="13" t="s">
        <v>37</v>
      </c>
      <c r="J24" s="14" t="s">
        <v>29</v>
      </c>
      <c r="K24" s="15">
        <f>GETPIVOTDATA("Sum of AM FIELD",'Pivot Table'!$A$16,"DAY","Sat")</f>
        <v>322</v>
      </c>
      <c r="L24" s="15">
        <f>SUM(104+104+68+104)</f>
        <v>380</v>
      </c>
      <c r="M24" s="16">
        <f t="shared" ref="M24:M25" si="5">SUM(K24/L24)</f>
        <v>0.84736842105263155</v>
      </c>
      <c r="N24" s="17"/>
      <c r="P24" s="13" t="s">
        <v>37</v>
      </c>
      <c r="Q24" s="14" t="s">
        <v>29</v>
      </c>
      <c r="R24" s="15">
        <f>GETPIVOTDATA("Sum of AM FIELD",'Pivot Table'!$A$28,"DAY","Sat")</f>
        <v>325</v>
      </c>
      <c r="S24" s="15">
        <f>SUM(104+48+104+96)</f>
        <v>352</v>
      </c>
      <c r="T24" s="16">
        <f t="shared" ref="T24:T25" si="6">SUM(R24/S24)</f>
        <v>0.92329545454545459</v>
      </c>
      <c r="U24" s="17"/>
    </row>
    <row r="25" spans="2:21" ht="17.25" thickBot="1" x14ac:dyDescent="0.35">
      <c r="B25" s="18" t="s">
        <v>37</v>
      </c>
      <c r="C25" s="19" t="s">
        <v>25</v>
      </c>
      <c r="D25" s="20">
        <f>GETPIVOTDATA("Sum of PM FIELD",'Pivot Table'!$A$4,"DAY","Sat")</f>
        <v>121</v>
      </c>
      <c r="E25" s="20">
        <f>SUM(96+0+60+56)</f>
        <v>212</v>
      </c>
      <c r="F25" s="21">
        <f t="shared" si="0"/>
        <v>0.57075471698113212</v>
      </c>
      <c r="G25" s="22"/>
      <c r="I25" s="18" t="s">
        <v>37</v>
      </c>
      <c r="J25" s="19" t="s">
        <v>25</v>
      </c>
      <c r="K25" s="20">
        <f>GETPIVOTDATA("Sum of PM FIELD",'Pivot Table'!$A$16,"DAY","Sat")</f>
        <v>303</v>
      </c>
      <c r="L25" s="20">
        <f>SUM(96+88+96+96)</f>
        <v>376</v>
      </c>
      <c r="M25" s="21">
        <f t="shared" si="5"/>
        <v>0.80585106382978722</v>
      </c>
      <c r="N25" s="22"/>
      <c r="P25" s="18" t="s">
        <v>37</v>
      </c>
      <c r="Q25" s="19" t="s">
        <v>25</v>
      </c>
      <c r="R25" s="20">
        <f>GETPIVOTDATA("Sum of PM FIELD",'Pivot Table'!$A$28,"DAY","Sat")</f>
        <v>190</v>
      </c>
      <c r="S25" s="20">
        <f>SUM(96+60+96+72)</f>
        <v>324</v>
      </c>
      <c r="T25" s="21">
        <f t="shared" si="6"/>
        <v>0.5864197530864198</v>
      </c>
      <c r="U25" s="22"/>
    </row>
    <row r="26" spans="2:21" ht="18" thickTop="1" thickBot="1" x14ac:dyDescent="0.35">
      <c r="B26" s="23" t="s">
        <v>26</v>
      </c>
      <c r="C26" s="30"/>
      <c r="D26" s="31">
        <f>SUM(D23:D25)</f>
        <v>485</v>
      </c>
      <c r="E26" s="31">
        <f>SUM(E23:E25)</f>
        <v>624</v>
      </c>
      <c r="F26" s="32">
        <f>SUM(D26/E26)</f>
        <v>0.77724358974358976</v>
      </c>
      <c r="G26" s="33"/>
      <c r="I26" s="23" t="s">
        <v>26</v>
      </c>
      <c r="J26" s="30"/>
      <c r="K26" s="31">
        <f>SUM(K23:K25)</f>
        <v>625</v>
      </c>
      <c r="L26" s="31">
        <f>SUM(L23:L25)</f>
        <v>756</v>
      </c>
      <c r="M26" s="32">
        <f>SUM(K26/L26)</f>
        <v>0.82671957671957674</v>
      </c>
      <c r="N26" s="33"/>
      <c r="P26" s="23" t="s">
        <v>26</v>
      </c>
      <c r="Q26" s="30"/>
      <c r="R26" s="31">
        <f>SUM(R23:R25)</f>
        <v>515</v>
      </c>
      <c r="S26" s="31">
        <f>SUM(S23:S25)</f>
        <v>676</v>
      </c>
      <c r="T26" s="32">
        <f>SUM(R26/S26)</f>
        <v>0.76183431952662717</v>
      </c>
      <c r="U26" s="33"/>
    </row>
    <row r="27" spans="2:21" ht="17.25" thickBot="1" x14ac:dyDescent="0.35">
      <c r="C27" s="28"/>
      <c r="F27" s="34"/>
      <c r="J27" s="28"/>
      <c r="K27" s="7"/>
      <c r="L27" s="7"/>
      <c r="M27" s="34"/>
      <c r="Q27" s="28"/>
      <c r="R27" s="7"/>
      <c r="S27" s="7"/>
      <c r="T27" s="34"/>
    </row>
    <row r="28" spans="2:21" x14ac:dyDescent="0.3">
      <c r="B28" s="13" t="s">
        <v>39</v>
      </c>
      <c r="C28" s="14" t="s">
        <v>29</v>
      </c>
      <c r="D28" s="15">
        <f>GETPIVOTDATA("Sum of AM FIELD",'Pivot Table'!$A$4,"DAY","Sun")</f>
        <v>451</v>
      </c>
      <c r="E28" s="15">
        <f>SUM(104+104+104+104+104)</f>
        <v>520</v>
      </c>
      <c r="F28" s="16">
        <f t="shared" si="0"/>
        <v>0.86730769230769234</v>
      </c>
      <c r="G28" s="17"/>
      <c r="I28" s="13" t="s">
        <v>39</v>
      </c>
      <c r="J28" s="14" t="s">
        <v>29</v>
      </c>
      <c r="K28" s="15">
        <f>GETPIVOTDATA("Sum of AM FIELD",'Pivot Table'!$A$16,"DAY","Sun")</f>
        <v>395</v>
      </c>
      <c r="L28" s="15">
        <f>SUM(104+104+104+104)</f>
        <v>416</v>
      </c>
      <c r="M28" s="16">
        <f t="shared" ref="M28:M29" si="7">SUM(K28/L28)</f>
        <v>0.94951923076923073</v>
      </c>
      <c r="N28" s="17"/>
      <c r="P28" s="13" t="s">
        <v>39</v>
      </c>
      <c r="Q28" s="14" t="s">
        <v>29</v>
      </c>
      <c r="R28" s="15">
        <f>GETPIVOTDATA("Sum of AM FIELD",'Pivot Table'!$A$28,"DAY","Sun")</f>
        <v>370</v>
      </c>
      <c r="S28" s="63">
        <f>SUM(104+104+104+96)</f>
        <v>408</v>
      </c>
      <c r="T28" s="16">
        <f t="shared" ref="T28:T29" si="8">SUM(R28/S28)</f>
        <v>0.90686274509803921</v>
      </c>
      <c r="U28" s="17"/>
    </row>
    <row r="29" spans="2:21" ht="17.25" thickBot="1" x14ac:dyDescent="0.35">
      <c r="B29" s="18" t="s">
        <v>39</v>
      </c>
      <c r="C29" s="19" t="s">
        <v>25</v>
      </c>
      <c r="D29" s="20">
        <f>GETPIVOTDATA("Sum of PM FIELD",'Pivot Table'!$A$4,"DAY","Sun")</f>
        <v>314</v>
      </c>
      <c r="E29" s="20">
        <f>SUM(96+80+92+96+96)</f>
        <v>460</v>
      </c>
      <c r="F29" s="21">
        <f t="shared" si="0"/>
        <v>0.68260869565217386</v>
      </c>
      <c r="G29" s="22"/>
      <c r="I29" s="18" t="s">
        <v>39</v>
      </c>
      <c r="J29" s="19" t="s">
        <v>25</v>
      </c>
      <c r="K29" s="20">
        <f>GETPIVOTDATA("Sum of PM FIELD",'Pivot Table'!$A$16,"DAY","Sun")</f>
        <v>386</v>
      </c>
      <c r="L29" s="20">
        <f>SUM(108+108+104+104)</f>
        <v>424</v>
      </c>
      <c r="M29" s="21">
        <f t="shared" si="7"/>
        <v>0.910377358490566</v>
      </c>
      <c r="N29" s="22"/>
      <c r="P29" s="18" t="s">
        <v>39</v>
      </c>
      <c r="Q29" s="19" t="s">
        <v>25</v>
      </c>
      <c r="R29" s="20">
        <f>GETPIVOTDATA("Sum of PM FIELD",'Pivot Table'!$A$28,"DAY","Sun")</f>
        <v>374</v>
      </c>
      <c r="S29" s="20">
        <f>SUM(108+96+108+108)</f>
        <v>420</v>
      </c>
      <c r="T29" s="21">
        <f t="shared" si="8"/>
        <v>0.89047619047619042</v>
      </c>
      <c r="U29" s="22"/>
    </row>
    <row r="30" spans="2:21" ht="18" thickTop="1" thickBot="1" x14ac:dyDescent="0.35">
      <c r="B30" s="23" t="s">
        <v>26</v>
      </c>
      <c r="C30" s="30"/>
      <c r="D30" s="31">
        <f>SUM(D27:D29)</f>
        <v>765</v>
      </c>
      <c r="E30" s="31">
        <f>SUM(E27:E29)</f>
        <v>980</v>
      </c>
      <c r="F30" s="32">
        <f>SUM(D30/E30)</f>
        <v>0.78061224489795922</v>
      </c>
      <c r="G30" s="33"/>
      <c r="I30" s="23" t="s">
        <v>26</v>
      </c>
      <c r="J30" s="30"/>
      <c r="K30" s="31">
        <f>SUM(K27:K29)</f>
        <v>781</v>
      </c>
      <c r="L30" s="31">
        <f>SUM(L27:L29)</f>
        <v>840</v>
      </c>
      <c r="M30" s="32">
        <f>SUM(K30/L30)</f>
        <v>0.92976190476190479</v>
      </c>
      <c r="N30" s="33"/>
      <c r="P30" s="23" t="s">
        <v>26</v>
      </c>
      <c r="Q30" s="30"/>
      <c r="R30" s="31">
        <f>SUM(R27:R29)</f>
        <v>744</v>
      </c>
      <c r="S30" s="31">
        <f>SUM(S27:S29)</f>
        <v>828</v>
      </c>
      <c r="T30" s="32">
        <f>SUM(R30/S30)</f>
        <v>0.89855072463768115</v>
      </c>
      <c r="U30" s="33"/>
    </row>
    <row r="33" spans="2:21" ht="45" x14ac:dyDescent="0.4">
      <c r="B33" s="3" t="s">
        <v>10</v>
      </c>
      <c r="C33" s="9"/>
      <c r="D33" s="10" t="s">
        <v>18</v>
      </c>
      <c r="E33" s="10" t="s">
        <v>19</v>
      </c>
      <c r="F33" s="10" t="s">
        <v>20</v>
      </c>
      <c r="G33" s="9" t="s">
        <v>21</v>
      </c>
      <c r="I33" s="3" t="s">
        <v>11</v>
      </c>
      <c r="J33" s="9"/>
      <c r="K33" s="9" t="s">
        <v>18</v>
      </c>
      <c r="L33" s="9" t="s">
        <v>19</v>
      </c>
      <c r="M33" s="9" t="s">
        <v>20</v>
      </c>
      <c r="N33" s="9" t="s">
        <v>21</v>
      </c>
      <c r="P33" s="3" t="s">
        <v>12</v>
      </c>
      <c r="Q33" s="12"/>
      <c r="R33" s="9" t="s">
        <v>18</v>
      </c>
      <c r="S33" s="9" t="s">
        <v>19</v>
      </c>
      <c r="T33" s="9" t="s">
        <v>20</v>
      </c>
      <c r="U33" s="9" t="s">
        <v>21</v>
      </c>
    </row>
    <row r="34" spans="2:21" ht="17.25" thickBot="1" x14ac:dyDescent="0.35"/>
    <row r="35" spans="2:21" x14ac:dyDescent="0.3">
      <c r="B35" s="13" t="s">
        <v>23</v>
      </c>
      <c r="C35" s="14" t="s">
        <v>24</v>
      </c>
      <c r="D35" s="15">
        <f>GETPIVOTDATA("Sum of AM FIELD",'Pivot Table'!$A$40,"DAY","Mon")</f>
        <v>240</v>
      </c>
      <c r="E35" s="15">
        <f>SUM(88+104+0+84)</f>
        <v>276</v>
      </c>
      <c r="F35" s="16">
        <f>SUM(D35/E35)</f>
        <v>0.86956521739130432</v>
      </c>
      <c r="G35" s="17"/>
      <c r="I35" s="13" t="s">
        <v>23</v>
      </c>
      <c r="J35" s="14" t="s">
        <v>24</v>
      </c>
      <c r="K35" s="15">
        <f>GETPIVOTDATA("Sum of AM FIELD",'Pivot Table'!$A$52,"DAY","Mon")</f>
        <v>253</v>
      </c>
      <c r="L35" s="15">
        <f>SUM(88+68+88+0+80)</f>
        <v>324</v>
      </c>
      <c r="M35" s="16">
        <f>SUM(K35/L35)</f>
        <v>0.78086419753086422</v>
      </c>
      <c r="N35" s="17"/>
      <c r="P35" s="13" t="s">
        <v>23</v>
      </c>
      <c r="Q35" s="14" t="s">
        <v>24</v>
      </c>
      <c r="R35" s="15">
        <f>GETPIVOTDATA("Sum of AM FIELD",'Pivot Table'!$A$64,"DAY","Mon")</f>
        <v>152</v>
      </c>
      <c r="S35" s="15">
        <f>0+96+92+80</f>
        <v>268</v>
      </c>
      <c r="T35" s="16">
        <f>SUM(R35/S35)</f>
        <v>0.56716417910447758</v>
      </c>
      <c r="U35" s="17"/>
    </row>
    <row r="36" spans="2:21" ht="17.25" thickBot="1" x14ac:dyDescent="0.35">
      <c r="B36" s="18" t="s">
        <v>23</v>
      </c>
      <c r="C36" s="19" t="s">
        <v>25</v>
      </c>
      <c r="D36" s="20">
        <f>GETPIVOTDATA("Sum of PM FIELD",'Pivot Table'!$A$40,"DAY","Mon")</f>
        <v>289</v>
      </c>
      <c r="E36" s="20">
        <f>SUM(80+88+88+80)</f>
        <v>336</v>
      </c>
      <c r="F36" s="21">
        <f>SUM(D36/E36)</f>
        <v>0.86011904761904767</v>
      </c>
      <c r="G36" s="22"/>
      <c r="I36" s="18" t="s">
        <v>23</v>
      </c>
      <c r="J36" s="19" t="s">
        <v>25</v>
      </c>
      <c r="K36" s="20">
        <f>GETPIVOTDATA("Sum of PM FIELD",'Pivot Table'!$A$52,"DAY","Mon")</f>
        <v>327</v>
      </c>
      <c r="L36" s="20">
        <f>SUM(88+80+80+80+80)</f>
        <v>408</v>
      </c>
      <c r="M36" s="21">
        <f>SUM(K36/L36)</f>
        <v>0.80147058823529416</v>
      </c>
      <c r="N36" s="22"/>
      <c r="P36" s="18" t="s">
        <v>23</v>
      </c>
      <c r="Q36" s="19" t="s">
        <v>25</v>
      </c>
      <c r="R36" s="20">
        <f>GETPIVOTDATA("Sum of PM FIELD",'Pivot Table'!$A$64,"DAY","Mon")</f>
        <v>243</v>
      </c>
      <c r="S36" s="20">
        <f>80+88+80+80</f>
        <v>328</v>
      </c>
      <c r="T36" s="21">
        <f>SUM(R36/S36)</f>
        <v>0.74085365853658536</v>
      </c>
      <c r="U36" s="22"/>
    </row>
    <row r="37" spans="2:21" ht="18" thickTop="1" thickBot="1" x14ac:dyDescent="0.35">
      <c r="B37" s="23" t="s">
        <v>26</v>
      </c>
      <c r="C37" s="24"/>
      <c r="D37" s="25">
        <f>SUM(D34:D36)</f>
        <v>529</v>
      </c>
      <c r="E37" s="25">
        <f>SUM(E34:E36)</f>
        <v>612</v>
      </c>
      <c r="F37" s="26">
        <f>SUM(D37/E37)</f>
        <v>0.8643790849673203</v>
      </c>
      <c r="G37" s="27"/>
      <c r="I37" s="23" t="s">
        <v>26</v>
      </c>
      <c r="J37" s="24"/>
      <c r="K37" s="25">
        <f>SUM(K34:K36)</f>
        <v>580</v>
      </c>
      <c r="L37" s="25">
        <f>SUM(L34:L36)</f>
        <v>732</v>
      </c>
      <c r="M37" s="26">
        <f>SUM(K37/L37)</f>
        <v>0.79234972677595628</v>
      </c>
      <c r="N37" s="27"/>
      <c r="P37" s="23" t="s">
        <v>26</v>
      </c>
      <c r="Q37" s="24"/>
      <c r="R37" s="25">
        <f>SUM(R34:R36)</f>
        <v>395</v>
      </c>
      <c r="S37" s="25">
        <v>596</v>
      </c>
      <c r="T37" s="26">
        <f>SUM(R37/S37)</f>
        <v>0.66275167785234901</v>
      </c>
      <c r="U37" s="27"/>
    </row>
    <row r="38" spans="2:21" ht="17.25" thickBot="1" x14ac:dyDescent="0.35">
      <c r="C38" s="28"/>
      <c r="J38" s="28"/>
      <c r="K38" s="7"/>
      <c r="L38" s="7"/>
      <c r="M38" s="7"/>
      <c r="Q38" s="28"/>
      <c r="R38" s="7"/>
      <c r="S38" s="7"/>
      <c r="T38" s="7"/>
    </row>
    <row r="39" spans="2:21" x14ac:dyDescent="0.3">
      <c r="B39" s="13" t="s">
        <v>28</v>
      </c>
      <c r="C39" s="14" t="s">
        <v>29</v>
      </c>
      <c r="D39" s="15">
        <f>GETPIVOTDATA("Sum of AM FIELD",'Pivot Table'!$A$40,"DAY","Tue")</f>
        <v>357</v>
      </c>
      <c r="E39" s="15">
        <f>SUM(112+112+112+104)</f>
        <v>440</v>
      </c>
      <c r="F39" s="16">
        <f>SUM(D39/E39)</f>
        <v>0.8113636363636364</v>
      </c>
      <c r="G39" s="17"/>
      <c r="I39" s="13" t="s">
        <v>28</v>
      </c>
      <c r="J39" s="14" t="s">
        <v>29</v>
      </c>
      <c r="K39" s="15">
        <f>GETPIVOTDATA("Sum of AM FIELD",'Pivot Table'!$A$52,"DAY","Tue")</f>
        <v>432</v>
      </c>
      <c r="L39" s="15">
        <f>SUM(112+112+100+112+88)</f>
        <v>524</v>
      </c>
      <c r="M39" s="16">
        <f>SUM(K39/L39)</f>
        <v>0.82442748091603058</v>
      </c>
      <c r="N39" s="17"/>
      <c r="P39" s="13" t="s">
        <v>28</v>
      </c>
      <c r="Q39" s="14" t="s">
        <v>29</v>
      </c>
      <c r="R39" s="15">
        <f>GETPIVOTDATA("Sum of AM FIELD",'Pivot Table'!$A$64,"DAY","Tue")</f>
        <v>277</v>
      </c>
      <c r="S39" s="15">
        <f>112+116+112+80</f>
        <v>420</v>
      </c>
      <c r="T39" s="16">
        <f>SUM(R39/S39)</f>
        <v>0.65952380952380951</v>
      </c>
      <c r="U39" s="17"/>
    </row>
    <row r="40" spans="2:21" ht="17.25" thickBot="1" x14ac:dyDescent="0.35">
      <c r="B40" s="18" t="s">
        <v>28</v>
      </c>
      <c r="C40" s="19" t="s">
        <v>25</v>
      </c>
      <c r="D40" s="20">
        <f>GETPIVOTDATA("Sum of PM FIELD",'Pivot Table'!$A$40,"DAY","Tue")</f>
        <v>200</v>
      </c>
      <c r="E40" s="20">
        <f>SUM(80+80+80+88)</f>
        <v>328</v>
      </c>
      <c r="F40" s="21">
        <f>SUM(D40/E40)</f>
        <v>0.6097560975609756</v>
      </c>
      <c r="G40" s="22"/>
      <c r="I40" s="18" t="s">
        <v>28</v>
      </c>
      <c r="J40" s="19" t="s">
        <v>25</v>
      </c>
      <c r="K40" s="20">
        <f>GETPIVOTDATA("Sum of PM FIELD",'Pivot Table'!$A$52,"DAY","Tue")</f>
        <v>143</v>
      </c>
      <c r="L40" s="20">
        <f>SUM(80+80+0+80+80)</f>
        <v>320</v>
      </c>
      <c r="M40" s="21">
        <f>SUM(K40/L40)</f>
        <v>0.44687500000000002</v>
      </c>
      <c r="N40" s="22"/>
      <c r="P40" s="18" t="s">
        <v>28</v>
      </c>
      <c r="Q40" s="19" t="s">
        <v>25</v>
      </c>
      <c r="R40" s="20">
        <f>GETPIVOTDATA("Sum of PM FIELD",'Pivot Table'!$A$64,"DAY","Tue")</f>
        <v>132</v>
      </c>
      <c r="S40" s="20">
        <f>80+80+80+80</f>
        <v>320</v>
      </c>
      <c r="T40" s="21">
        <f>SUM(R40/S40)</f>
        <v>0.41249999999999998</v>
      </c>
      <c r="U40" s="22"/>
    </row>
    <row r="41" spans="2:21" ht="18" thickTop="1" thickBot="1" x14ac:dyDescent="0.35">
      <c r="B41" s="23" t="s">
        <v>26</v>
      </c>
      <c r="C41" s="30"/>
      <c r="D41" s="31">
        <f>SUM(D38:D40)</f>
        <v>557</v>
      </c>
      <c r="E41" s="31">
        <f>SUM(E38:E40)</f>
        <v>768</v>
      </c>
      <c r="F41" s="32">
        <f>SUM(D41/E41)</f>
        <v>0.72526041666666663</v>
      </c>
      <c r="G41" s="33"/>
      <c r="I41" s="23" t="s">
        <v>26</v>
      </c>
      <c r="J41" s="30"/>
      <c r="K41" s="31">
        <f>SUM(K38:K40)</f>
        <v>575</v>
      </c>
      <c r="L41" s="31">
        <f>SUM(L38:L40)</f>
        <v>844</v>
      </c>
      <c r="M41" s="32">
        <f>SUM(K41/L41)</f>
        <v>0.68127962085308058</v>
      </c>
      <c r="N41" s="33"/>
      <c r="P41" s="23" t="s">
        <v>26</v>
      </c>
      <c r="Q41" s="30"/>
      <c r="R41" s="31">
        <f>SUM(R38:R40)</f>
        <v>409</v>
      </c>
      <c r="S41" s="31">
        <v>748</v>
      </c>
      <c r="T41" s="32">
        <f>SUM(R41/S41)</f>
        <v>0.54679144385026734</v>
      </c>
      <c r="U41" s="33"/>
    </row>
    <row r="42" spans="2:21" ht="17.25" thickBot="1" x14ac:dyDescent="0.35">
      <c r="C42" s="28"/>
      <c r="J42" s="28"/>
      <c r="K42" s="7"/>
      <c r="L42" s="7"/>
      <c r="M42" s="7"/>
      <c r="Q42" s="28"/>
      <c r="R42" s="7"/>
      <c r="S42" s="7"/>
      <c r="T42" s="7"/>
    </row>
    <row r="43" spans="2:21" x14ac:dyDescent="0.3">
      <c r="B43" s="13" t="s">
        <v>31</v>
      </c>
      <c r="C43" s="14" t="s">
        <v>24</v>
      </c>
      <c r="D43" s="15">
        <f>GETPIVOTDATA("Sum of AM FIELD",'Pivot Table'!$A$40,"DAY","Wed")</f>
        <v>249</v>
      </c>
      <c r="E43" s="15">
        <f>SUM(96+96+72+108)</f>
        <v>372</v>
      </c>
      <c r="F43" s="16">
        <f>SUM(D43/E43)</f>
        <v>0.66935483870967738</v>
      </c>
      <c r="G43" s="17"/>
      <c r="I43" s="13" t="s">
        <v>31</v>
      </c>
      <c r="J43" s="14" t="s">
        <v>24</v>
      </c>
      <c r="K43" s="15">
        <f>GETPIVOTDATA("Sum of AM FIELD",'Pivot Table'!$A$52,"DAY","Wed")</f>
        <v>369</v>
      </c>
      <c r="L43" s="15">
        <f>SUM(96+108+84+108+80)</f>
        <v>476</v>
      </c>
      <c r="M43" s="16">
        <f>SUM(K43/L43)</f>
        <v>0.77521008403361347</v>
      </c>
      <c r="N43" s="17"/>
      <c r="P43" s="13" t="s">
        <v>31</v>
      </c>
      <c r="Q43" s="14" t="s">
        <v>24</v>
      </c>
      <c r="R43" s="15">
        <f>GETPIVOTDATA("Sum of AM FIELD",'Pivot Table'!$A$64,"DAY","Wed")</f>
        <v>134</v>
      </c>
      <c r="S43" s="15">
        <f>80+60+48+108</f>
        <v>296</v>
      </c>
      <c r="T43" s="16">
        <f>SUM(R43/S43)</f>
        <v>0.45270270270270269</v>
      </c>
      <c r="U43" s="17"/>
    </row>
    <row r="44" spans="2:21" ht="17.25" thickBot="1" x14ac:dyDescent="0.35">
      <c r="B44" s="18" t="s">
        <v>31</v>
      </c>
      <c r="C44" s="19" t="s">
        <v>25</v>
      </c>
      <c r="D44" s="20">
        <f>GETPIVOTDATA("Sum of PM FIELD",'Pivot Table'!$A$40,"DAY","Wed")</f>
        <v>268</v>
      </c>
      <c r="E44" s="20">
        <f>SUM(96+76+100+84)</f>
        <v>356</v>
      </c>
      <c r="F44" s="21">
        <f>SUM(D44/E44)</f>
        <v>0.7528089887640449</v>
      </c>
      <c r="G44" s="22"/>
      <c r="I44" s="18" t="s">
        <v>31</v>
      </c>
      <c r="J44" s="19" t="s">
        <v>25</v>
      </c>
      <c r="K44" s="20">
        <f>GETPIVOTDATA("Sum of PM FIELD",'Pivot Table'!$A$52,"DAY","Wed")</f>
        <v>269</v>
      </c>
      <c r="L44" s="20">
        <f>SUM(100+88+72+88+48)</f>
        <v>396</v>
      </c>
      <c r="M44" s="21">
        <f>SUM(K44/L44)</f>
        <v>0.67929292929292928</v>
      </c>
      <c r="N44" s="22"/>
      <c r="P44" s="18" t="s">
        <v>31</v>
      </c>
      <c r="Q44" s="19" t="s">
        <v>25</v>
      </c>
      <c r="R44" s="20">
        <f>GETPIVOTDATA("Sum of PM FIELD",'Pivot Table'!$A$64,"DAY","Wed")</f>
        <v>244</v>
      </c>
      <c r="S44" s="20">
        <f>108+88+80+88</f>
        <v>364</v>
      </c>
      <c r="T44" s="21">
        <f>SUM(R44/S44)</f>
        <v>0.67032967032967028</v>
      </c>
      <c r="U44" s="22"/>
    </row>
    <row r="45" spans="2:21" ht="18" thickTop="1" thickBot="1" x14ac:dyDescent="0.35">
      <c r="B45" s="23" t="s">
        <v>26</v>
      </c>
      <c r="C45" s="30"/>
      <c r="D45" s="31">
        <f>SUM(D42:D44)</f>
        <v>517</v>
      </c>
      <c r="E45" s="31">
        <f>SUM(E42:E44)</f>
        <v>728</v>
      </c>
      <c r="F45" s="32">
        <f>SUM(D45/E45)</f>
        <v>0.7101648351648352</v>
      </c>
      <c r="G45" s="33"/>
      <c r="I45" s="23" t="s">
        <v>26</v>
      </c>
      <c r="J45" s="30"/>
      <c r="K45" s="31">
        <f>SUM(K42:K44)</f>
        <v>638</v>
      </c>
      <c r="L45" s="31">
        <f>SUM(L42:L44)</f>
        <v>872</v>
      </c>
      <c r="M45" s="32">
        <f>SUM(K45/L45)</f>
        <v>0.73165137614678899</v>
      </c>
      <c r="N45" s="33"/>
      <c r="P45" s="23" t="s">
        <v>26</v>
      </c>
      <c r="Q45" s="30"/>
      <c r="R45" s="31">
        <f>SUM(R42:R44)</f>
        <v>378</v>
      </c>
      <c r="S45" s="31">
        <v>660</v>
      </c>
      <c r="T45" s="32">
        <f>SUM(R45/S45)</f>
        <v>0.57272727272727275</v>
      </c>
      <c r="U45" s="33"/>
    </row>
    <row r="46" spans="2:21" ht="17.25" thickBot="1" x14ac:dyDescent="0.35">
      <c r="C46" s="28"/>
      <c r="J46" s="28"/>
      <c r="K46" s="7"/>
      <c r="L46" s="7"/>
      <c r="M46" s="7"/>
      <c r="Q46" s="28"/>
      <c r="R46" s="7"/>
      <c r="S46" s="7"/>
      <c r="T46" s="7"/>
    </row>
    <row r="47" spans="2:21" x14ac:dyDescent="0.3">
      <c r="B47" s="13" t="s">
        <v>33</v>
      </c>
      <c r="C47" s="14" t="s">
        <v>29</v>
      </c>
      <c r="D47" s="15">
        <f>GETPIVOTDATA("Sum of AM FIELD",'Pivot Table'!$A$40,"DAY","Thu")</f>
        <v>309</v>
      </c>
      <c r="E47" s="15">
        <f>SUM(88+80+80+72)</f>
        <v>320</v>
      </c>
      <c r="F47" s="16">
        <f>SUM(D47/E47)</f>
        <v>0.96562499999999996</v>
      </c>
      <c r="G47" s="17"/>
      <c r="I47" s="13" t="s">
        <v>33</v>
      </c>
      <c r="J47" s="14" t="s">
        <v>29</v>
      </c>
      <c r="K47" s="15">
        <f>GETPIVOTDATA("Sum of AM FIELD",'Pivot Table'!$A$52,"DAY","Thu")</f>
        <v>284</v>
      </c>
      <c r="L47" s="15">
        <f>SUM(80+80+80+80)</f>
        <v>320</v>
      </c>
      <c r="M47" s="16">
        <f>SUM(K47/L47)</f>
        <v>0.88749999999999996</v>
      </c>
      <c r="N47" s="17"/>
      <c r="P47" s="13" t="s">
        <v>33</v>
      </c>
      <c r="Q47" s="14" t="s">
        <v>29</v>
      </c>
      <c r="R47" s="15">
        <f>GETPIVOTDATA("Sum of AM FIELD",'Pivot Table'!$A$64,"DAY","Thu")</f>
        <v>341</v>
      </c>
      <c r="S47" s="15">
        <f>80+68+76+76+68</f>
        <v>368</v>
      </c>
      <c r="T47" s="16">
        <f>SUM(R47/S47)</f>
        <v>0.92663043478260865</v>
      </c>
      <c r="U47" s="17"/>
    </row>
    <row r="48" spans="2:21" ht="17.25" thickBot="1" x14ac:dyDescent="0.35">
      <c r="B48" s="18" t="s">
        <v>33</v>
      </c>
      <c r="C48" s="19" t="s">
        <v>25</v>
      </c>
      <c r="D48" s="20">
        <f>GETPIVOTDATA("Sum of PM FIELD",'Pivot Table'!$A$40,"DAY","Thu")</f>
        <v>332</v>
      </c>
      <c r="E48" s="20">
        <f>SUM(88+96+104+96)</f>
        <v>384</v>
      </c>
      <c r="F48" s="21">
        <f t="shared" ref="F48" si="9">SUM(D48/E48)</f>
        <v>0.86458333333333337</v>
      </c>
      <c r="G48" s="22"/>
      <c r="I48" s="18" t="s">
        <v>33</v>
      </c>
      <c r="J48" s="19" t="s">
        <v>25</v>
      </c>
      <c r="K48" s="20">
        <f>GETPIVOTDATA("Sum of PM FIELD",'Pivot Table'!$A$52,"DAY","Thu")</f>
        <v>268</v>
      </c>
      <c r="L48" s="20">
        <f>SUM(96+96+96+96)</f>
        <v>384</v>
      </c>
      <c r="M48" s="21">
        <f t="shared" ref="M48" si="10">SUM(K48/L48)</f>
        <v>0.69791666666666663</v>
      </c>
      <c r="N48" s="22"/>
      <c r="P48" s="18" t="s">
        <v>33</v>
      </c>
      <c r="Q48" s="19" t="s">
        <v>25</v>
      </c>
      <c r="R48" s="20">
        <f>GETPIVOTDATA("Sum of PM FIELD",'Pivot Table'!$A$64,"DAY","Thu")</f>
        <v>399</v>
      </c>
      <c r="S48" s="20">
        <f>96+96+96+88+88</f>
        <v>464</v>
      </c>
      <c r="T48" s="21">
        <f>SUM(R48/S48)</f>
        <v>0.85991379310344829</v>
      </c>
      <c r="U48" s="22"/>
    </row>
    <row r="49" spans="2:21" ht="18" thickTop="1" thickBot="1" x14ac:dyDescent="0.35">
      <c r="B49" s="23" t="s">
        <v>26</v>
      </c>
      <c r="C49" s="30"/>
      <c r="D49" s="31">
        <f>SUM(D46:D48)</f>
        <v>641</v>
      </c>
      <c r="E49" s="31">
        <f>SUM(E46:E48)</f>
        <v>704</v>
      </c>
      <c r="F49" s="32">
        <f>SUM(D49/E49)</f>
        <v>0.91051136363636365</v>
      </c>
      <c r="G49" s="33"/>
      <c r="I49" s="23" t="s">
        <v>26</v>
      </c>
      <c r="J49" s="30"/>
      <c r="K49" s="31">
        <f>SUM(K46:K48)</f>
        <v>552</v>
      </c>
      <c r="L49" s="31">
        <f>SUM(L46:L48)</f>
        <v>704</v>
      </c>
      <c r="M49" s="32">
        <f>SUM(K49/L49)</f>
        <v>0.78409090909090906</v>
      </c>
      <c r="N49" s="33"/>
      <c r="P49" s="23" t="s">
        <v>26</v>
      </c>
      <c r="Q49" s="30"/>
      <c r="R49" s="31">
        <f>SUM(R46:R48)</f>
        <v>740</v>
      </c>
      <c r="S49" s="31">
        <v>840</v>
      </c>
      <c r="T49" s="32">
        <f>SUM(R49/S49)</f>
        <v>0.88095238095238093</v>
      </c>
      <c r="U49" s="33"/>
    </row>
    <row r="50" spans="2:21" ht="17.25" thickBot="1" x14ac:dyDescent="0.35">
      <c r="C50" s="28"/>
      <c r="J50" s="28"/>
      <c r="K50" s="7"/>
      <c r="L50" s="7"/>
      <c r="M50" s="7"/>
      <c r="Q50" s="28"/>
      <c r="R50" s="7"/>
      <c r="S50" s="7"/>
      <c r="T50" s="7"/>
    </row>
    <row r="51" spans="2:21" x14ac:dyDescent="0.3">
      <c r="B51" s="13" t="s">
        <v>35</v>
      </c>
      <c r="C51" s="14" t="s">
        <v>29</v>
      </c>
      <c r="D51" s="15">
        <f>GETPIVOTDATA("Sum of AM FIELD",'Pivot Table'!$A$40,"DAY","Fri")</f>
        <v>358</v>
      </c>
      <c r="E51" s="15">
        <f>SUM(104+108+80+108)</f>
        <v>400</v>
      </c>
      <c r="F51" s="16">
        <f t="shared" ref="F51:F52" si="11">SUM(D51/E51)</f>
        <v>0.89500000000000002</v>
      </c>
      <c r="G51" s="17"/>
      <c r="I51" s="13" t="s">
        <v>35</v>
      </c>
      <c r="J51" s="14" t="s">
        <v>29</v>
      </c>
      <c r="K51" s="15">
        <f>GETPIVOTDATA("Sum of AM FIELD",'Pivot Table'!$A$52,"DAY","Fri")</f>
        <v>356</v>
      </c>
      <c r="L51" s="15">
        <f>SUM(108+108+80+80)</f>
        <v>376</v>
      </c>
      <c r="M51" s="16">
        <f t="shared" ref="M51:M52" si="12">SUM(K51/L51)</f>
        <v>0.94680851063829785</v>
      </c>
      <c r="N51" s="17"/>
      <c r="P51" s="13" t="s">
        <v>35</v>
      </c>
      <c r="Q51" s="14" t="s">
        <v>29</v>
      </c>
      <c r="R51" s="15">
        <f>GETPIVOTDATA("Sum of AM FIELD",'Pivot Table'!$A$64,"DAY","Fri")</f>
        <v>372</v>
      </c>
      <c r="S51" s="15">
        <f>88+100+68+108+108</f>
        <v>472</v>
      </c>
      <c r="T51" s="16">
        <f>SUM(R51/S51)</f>
        <v>0.78813559322033899</v>
      </c>
      <c r="U51" s="17"/>
    </row>
    <row r="52" spans="2:21" ht="17.25" thickBot="1" x14ac:dyDescent="0.35">
      <c r="B52" s="18" t="s">
        <v>35</v>
      </c>
      <c r="C52" s="19" t="s">
        <v>25</v>
      </c>
      <c r="D52" s="20">
        <f>GETPIVOTDATA("Sum of PM FIELD",'Pivot Table'!$A$40,"DAY","Fri")</f>
        <v>257</v>
      </c>
      <c r="E52" s="20">
        <f>SUM(72+88+56+84)</f>
        <v>300</v>
      </c>
      <c r="F52" s="21">
        <f t="shared" si="11"/>
        <v>0.85666666666666669</v>
      </c>
      <c r="G52" s="22"/>
      <c r="I52" s="18" t="s">
        <v>35</v>
      </c>
      <c r="J52" s="19" t="s">
        <v>25</v>
      </c>
      <c r="K52" s="20">
        <f>GETPIVOTDATA("Sum of PM FIELD",'Pivot Table'!$A$52,"DAY","Fri")</f>
        <v>198</v>
      </c>
      <c r="L52" s="20">
        <f>SUM(72+88+80+88)</f>
        <v>328</v>
      </c>
      <c r="M52" s="21">
        <f t="shared" si="12"/>
        <v>0.60365853658536583</v>
      </c>
      <c r="N52" s="22"/>
      <c r="P52" s="18" t="s">
        <v>35</v>
      </c>
      <c r="Q52" s="19" t="s">
        <v>25</v>
      </c>
      <c r="R52" s="20">
        <f>GETPIVOTDATA("Sum of PM FIELD",'Pivot Table'!$A$64,"DAY","Fri")</f>
        <v>328</v>
      </c>
      <c r="S52" s="20">
        <f>88+76+80+88+88</f>
        <v>420</v>
      </c>
      <c r="T52" s="21">
        <f>SUM(R52/S52)</f>
        <v>0.78095238095238095</v>
      </c>
      <c r="U52" s="22"/>
    </row>
    <row r="53" spans="2:21" ht="18" thickTop="1" thickBot="1" x14ac:dyDescent="0.35">
      <c r="B53" s="23" t="s">
        <v>26</v>
      </c>
      <c r="C53" s="30"/>
      <c r="D53" s="31">
        <f>SUM(D50:D52)</f>
        <v>615</v>
      </c>
      <c r="E53" s="31">
        <f>SUM(E50:E52)</f>
        <v>700</v>
      </c>
      <c r="F53" s="32">
        <f>SUM(D53/E53)</f>
        <v>0.87857142857142856</v>
      </c>
      <c r="G53" s="33"/>
      <c r="I53" s="23" t="s">
        <v>26</v>
      </c>
      <c r="J53" s="30"/>
      <c r="K53" s="31">
        <f>SUM(K50:K52)</f>
        <v>554</v>
      </c>
      <c r="L53" s="31">
        <f>SUM(L50:L52)</f>
        <v>704</v>
      </c>
      <c r="M53" s="32">
        <f>SUM(K53/L53)</f>
        <v>0.78693181818181823</v>
      </c>
      <c r="N53" s="33"/>
      <c r="P53" s="23" t="s">
        <v>26</v>
      </c>
      <c r="Q53" s="30"/>
      <c r="R53" s="31">
        <f>SUM(R50:R52)</f>
        <v>700</v>
      </c>
      <c r="S53" s="31">
        <v>888</v>
      </c>
      <c r="T53" s="32">
        <f>SUM(R53/S53)</f>
        <v>0.78828828828828834</v>
      </c>
      <c r="U53" s="33"/>
    </row>
    <row r="54" spans="2:21" ht="17.25" thickBot="1" x14ac:dyDescent="0.35">
      <c r="C54" s="28"/>
      <c r="J54" s="28"/>
      <c r="K54" s="7"/>
      <c r="L54" s="7"/>
      <c r="M54" s="7"/>
      <c r="Q54" s="28"/>
      <c r="R54" s="7"/>
      <c r="S54" s="7"/>
      <c r="T54" s="7"/>
    </row>
    <row r="55" spans="2:21" x14ac:dyDescent="0.3">
      <c r="B55" s="13" t="s">
        <v>37</v>
      </c>
      <c r="C55" s="14" t="s">
        <v>29</v>
      </c>
      <c r="D55" s="15">
        <f>GETPIVOTDATA("Sum of AM FIELD",'Pivot Table'!$A$40,"DAY","Sat")</f>
        <v>425</v>
      </c>
      <c r="E55" s="15">
        <f>SUM(92+92+104+104+68)</f>
        <v>460</v>
      </c>
      <c r="F55" s="16">
        <f t="shared" ref="F55:F56" si="13">SUM(D55/E55)</f>
        <v>0.92391304347826086</v>
      </c>
      <c r="G55" s="17"/>
      <c r="I55" s="13" t="s">
        <v>37</v>
      </c>
      <c r="J55" s="14" t="s">
        <v>29</v>
      </c>
      <c r="K55" s="15">
        <f>GETPIVOTDATA("Sum of AM FIELD",'Pivot Table'!$A$52,"DAY","Sat")</f>
        <v>312</v>
      </c>
      <c r="L55" s="15">
        <f>SUM(76+104+96+88)</f>
        <v>364</v>
      </c>
      <c r="M55" s="16">
        <f t="shared" ref="M55:M56" si="14">SUM(K55/L55)</f>
        <v>0.8571428571428571</v>
      </c>
      <c r="N55" s="17"/>
      <c r="P55" s="13" t="s">
        <v>37</v>
      </c>
      <c r="Q55" s="14" t="s">
        <v>29</v>
      </c>
      <c r="R55" s="15">
        <f>GETPIVOTDATA("Sum of AM FIELD",'Pivot Table'!$A$64,"DAY","Sat")</f>
        <v>304</v>
      </c>
      <c r="S55" s="15">
        <f>80+72+84+80</f>
        <v>316</v>
      </c>
      <c r="T55" s="16">
        <f>SUM(R55/S55)</f>
        <v>0.96202531645569622</v>
      </c>
      <c r="U55" s="17"/>
    </row>
    <row r="56" spans="2:21" ht="17.25" thickBot="1" x14ac:dyDescent="0.35">
      <c r="B56" s="18" t="s">
        <v>37</v>
      </c>
      <c r="C56" s="19" t="s">
        <v>25</v>
      </c>
      <c r="D56" s="20">
        <f>GETPIVOTDATA("Sum of PM FIELD",'Pivot Table'!$A$40,"DAY","Sat")</f>
        <v>222</v>
      </c>
      <c r="E56" s="20">
        <f>SUM(96+88+88+88+40)</f>
        <v>400</v>
      </c>
      <c r="F56" s="21">
        <f t="shared" si="13"/>
        <v>0.55500000000000005</v>
      </c>
      <c r="G56" s="22"/>
      <c r="I56" s="18" t="s">
        <v>37</v>
      </c>
      <c r="J56" s="19" t="s">
        <v>25</v>
      </c>
      <c r="K56" s="20">
        <f>GETPIVOTDATA("Sum of PM FIELD",'Pivot Table'!$A$52,"DAY","Sat")</f>
        <v>233</v>
      </c>
      <c r="L56" s="20">
        <f>SUM(92+88+88+52)</f>
        <v>320</v>
      </c>
      <c r="M56" s="21">
        <f t="shared" si="14"/>
        <v>0.72812500000000002</v>
      </c>
      <c r="N56" s="22"/>
      <c r="P56" s="18" t="s">
        <v>37</v>
      </c>
      <c r="Q56" s="19" t="s">
        <v>25</v>
      </c>
      <c r="R56" s="20">
        <f>GETPIVOTDATA("Sum of PM FIELD",'Pivot Table'!$A$64,"DAY","Sat")</f>
        <v>220</v>
      </c>
      <c r="S56" s="20">
        <f>88+60+88+88</f>
        <v>324</v>
      </c>
      <c r="T56" s="21">
        <f>SUM(R56/S56)</f>
        <v>0.67901234567901236</v>
      </c>
      <c r="U56" s="22"/>
    </row>
    <row r="57" spans="2:21" ht="18" thickTop="1" thickBot="1" x14ac:dyDescent="0.35">
      <c r="B57" s="23" t="s">
        <v>26</v>
      </c>
      <c r="C57" s="30"/>
      <c r="D57" s="31">
        <f>SUM(D54:D56)</f>
        <v>647</v>
      </c>
      <c r="E57" s="31">
        <f>SUM(E55:E56)</f>
        <v>860</v>
      </c>
      <c r="F57" s="32">
        <f>SUM(D57/E57)</f>
        <v>0.75232558139534889</v>
      </c>
      <c r="G57" s="33"/>
      <c r="I57" s="23" t="s">
        <v>26</v>
      </c>
      <c r="J57" s="30"/>
      <c r="K57" s="31">
        <f>SUM(K54:K56)</f>
        <v>545</v>
      </c>
      <c r="L57" s="31">
        <f>SUM(L54:L56)</f>
        <v>684</v>
      </c>
      <c r="M57" s="32">
        <f>SUM(K57/L57)</f>
        <v>0.79678362573099415</v>
      </c>
      <c r="N57" s="33"/>
      <c r="P57" s="23" t="s">
        <v>26</v>
      </c>
      <c r="Q57" s="30"/>
      <c r="R57" s="31">
        <f>SUM(R54:R56)</f>
        <v>524</v>
      </c>
      <c r="S57" s="31">
        <v>632</v>
      </c>
      <c r="T57" s="32">
        <f>SUM(R57/S57)</f>
        <v>0.82911392405063289</v>
      </c>
      <c r="U57" s="33"/>
    </row>
    <row r="58" spans="2:21" ht="17.25" thickBot="1" x14ac:dyDescent="0.35">
      <c r="C58" s="28"/>
      <c r="F58" s="34"/>
      <c r="J58" s="28"/>
      <c r="K58" s="7"/>
      <c r="L58" s="7"/>
      <c r="M58" s="34"/>
      <c r="Q58" s="28"/>
      <c r="R58" s="7"/>
      <c r="S58" s="7"/>
      <c r="T58" s="34"/>
    </row>
    <row r="59" spans="2:21" x14ac:dyDescent="0.3">
      <c r="B59" s="13" t="s">
        <v>39</v>
      </c>
      <c r="C59" s="14" t="s">
        <v>29</v>
      </c>
      <c r="D59" s="15">
        <f>GETPIVOTDATA("Sum of AM FIELD",'Pivot Table'!$A$40,"DAY","Sun")</f>
        <v>325</v>
      </c>
      <c r="E59" s="15">
        <f>SUM(104+104+40+56+104)</f>
        <v>408</v>
      </c>
      <c r="F59" s="16">
        <f t="shared" ref="F59:F60" si="15">SUM(D59/E59)</f>
        <v>0.79656862745098034</v>
      </c>
      <c r="G59" s="17"/>
      <c r="I59" s="13" t="s">
        <v>39</v>
      </c>
      <c r="J59" s="14" t="s">
        <v>29</v>
      </c>
      <c r="K59" s="15">
        <f>GETPIVOTDATA("Sum of AM FIELD",'Pivot Table'!$A$52,"DAY","Sun")</f>
        <v>302</v>
      </c>
      <c r="L59" s="15">
        <f>SUM(104+96+96+88)</f>
        <v>384</v>
      </c>
      <c r="M59" s="16">
        <f t="shared" ref="M59:M60" si="16">SUM(K59/L59)</f>
        <v>0.78645833333333337</v>
      </c>
      <c r="N59" s="17"/>
      <c r="P59" s="13" t="s">
        <v>39</v>
      </c>
      <c r="Q59" s="14" t="s">
        <v>29</v>
      </c>
      <c r="R59" s="15">
        <f>GETPIVOTDATA("Sum of AM FIELD",'Pivot Table'!$A$64,"DAY","Sun")</f>
        <v>331</v>
      </c>
      <c r="S59" s="15">
        <f>92+88+88+88</f>
        <v>356</v>
      </c>
      <c r="T59" s="16">
        <f>SUM(R59/S59)</f>
        <v>0.9297752808988764</v>
      </c>
      <c r="U59" s="17"/>
    </row>
    <row r="60" spans="2:21" ht="17.25" thickBot="1" x14ac:dyDescent="0.35">
      <c r="B60" s="18" t="s">
        <v>39</v>
      </c>
      <c r="C60" s="19" t="s">
        <v>25</v>
      </c>
      <c r="D60" s="20">
        <f>GETPIVOTDATA("Sum of PM FIELD",'Pivot Table'!$A$40,"DAY","Sun")</f>
        <v>355</v>
      </c>
      <c r="E60" s="20">
        <f>SUM(100+84+56+80+88)</f>
        <v>408</v>
      </c>
      <c r="F60" s="21">
        <f t="shared" si="15"/>
        <v>0.87009803921568629</v>
      </c>
      <c r="G60" s="22"/>
      <c r="I60" s="18" t="s">
        <v>39</v>
      </c>
      <c r="J60" s="19" t="s">
        <v>25</v>
      </c>
      <c r="K60" s="20">
        <f>GETPIVOTDATA("Sum of PM FIELD",'Pivot Table'!$A$52,"DAY","Sun")</f>
        <v>310</v>
      </c>
      <c r="L60" s="20">
        <f>SUM(96+88+88+80)</f>
        <v>352</v>
      </c>
      <c r="M60" s="21">
        <f t="shared" si="16"/>
        <v>0.88068181818181823</v>
      </c>
      <c r="N60" s="22"/>
      <c r="P60" s="18" t="s">
        <v>39</v>
      </c>
      <c r="Q60" s="19" t="s">
        <v>25</v>
      </c>
      <c r="R60" s="20">
        <f>GETPIVOTDATA("Sum of PM FIELD",'Pivot Table'!$A$64,"DAY","Sun")</f>
        <v>324</v>
      </c>
      <c r="S60" s="20">
        <f>88+88+88+80</f>
        <v>344</v>
      </c>
      <c r="T60" s="21">
        <f>SUM(R60/S60)</f>
        <v>0.94186046511627908</v>
      </c>
      <c r="U60" s="22"/>
    </row>
    <row r="61" spans="2:21" ht="18" thickTop="1" thickBot="1" x14ac:dyDescent="0.35">
      <c r="B61" s="23" t="s">
        <v>26</v>
      </c>
      <c r="C61" s="30"/>
      <c r="D61" s="31">
        <f>SUM(D58:D60)</f>
        <v>680</v>
      </c>
      <c r="E61" s="31">
        <f>SUM(E58:E60)</f>
        <v>816</v>
      </c>
      <c r="F61" s="32">
        <f>SUM(D61/E61)</f>
        <v>0.83333333333333337</v>
      </c>
      <c r="G61" s="33"/>
      <c r="I61" s="23" t="s">
        <v>26</v>
      </c>
      <c r="J61" s="30"/>
      <c r="K61" s="31">
        <f>SUM(K58:K60)</f>
        <v>612</v>
      </c>
      <c r="L61" s="31">
        <f>SUM(L58:L60)</f>
        <v>736</v>
      </c>
      <c r="M61" s="32">
        <f>SUM(K61/L61)</f>
        <v>0.83152173913043481</v>
      </c>
      <c r="N61" s="33"/>
      <c r="P61" s="23" t="s">
        <v>26</v>
      </c>
      <c r="Q61" s="30"/>
      <c r="R61" s="31">
        <f>SUM(R58:R60)</f>
        <v>655</v>
      </c>
      <c r="S61" s="31">
        <v>712</v>
      </c>
      <c r="T61" s="32">
        <f>SUM(R61/S61)</f>
        <v>0.9199438202247191</v>
      </c>
      <c r="U61" s="33"/>
    </row>
    <row r="64" spans="2:21" ht="45" x14ac:dyDescent="0.4">
      <c r="B64" s="3" t="s">
        <v>13</v>
      </c>
      <c r="C64" s="9"/>
      <c r="D64" s="10" t="s">
        <v>18</v>
      </c>
      <c r="E64" s="10" t="s">
        <v>19</v>
      </c>
      <c r="F64" s="10" t="s">
        <v>20</v>
      </c>
      <c r="G64" s="9" t="s">
        <v>21</v>
      </c>
      <c r="I64" s="3" t="s">
        <v>14</v>
      </c>
      <c r="J64" s="9"/>
      <c r="K64" s="10" t="s">
        <v>18</v>
      </c>
      <c r="L64" s="10" t="s">
        <v>19</v>
      </c>
      <c r="M64" s="10" t="s">
        <v>20</v>
      </c>
      <c r="N64" s="9" t="s">
        <v>21</v>
      </c>
      <c r="P64" s="3" t="s">
        <v>15</v>
      </c>
      <c r="Q64" s="9"/>
      <c r="R64" s="10" t="s">
        <v>18</v>
      </c>
      <c r="S64" s="10" t="s">
        <v>19</v>
      </c>
      <c r="T64" s="10" t="s">
        <v>20</v>
      </c>
      <c r="U64" s="9" t="s">
        <v>21</v>
      </c>
    </row>
    <row r="65" spans="2:21" ht="17.25" thickBot="1" x14ac:dyDescent="0.35">
      <c r="K65" s="7"/>
      <c r="L65" s="7"/>
      <c r="M65" s="7"/>
      <c r="Q65" s="4"/>
      <c r="R65" s="7"/>
      <c r="S65" s="7"/>
      <c r="T65" s="7"/>
    </row>
    <row r="66" spans="2:21" x14ac:dyDescent="0.3">
      <c r="B66" s="13" t="s">
        <v>23</v>
      </c>
      <c r="C66" s="14" t="s">
        <v>24</v>
      </c>
      <c r="D66" s="15">
        <f>GETPIVOTDATA("Sum of AM FIELD",'Pivot Table'!$A$76,"DAY","Mon")</f>
        <v>191</v>
      </c>
      <c r="E66" s="15">
        <f>SUM(0+60+88+76+88)</f>
        <v>312</v>
      </c>
      <c r="F66" s="16">
        <f>SUM(D66/E66)</f>
        <v>0.61217948717948723</v>
      </c>
      <c r="G66" s="17"/>
      <c r="I66" s="13" t="s">
        <v>23</v>
      </c>
      <c r="J66" s="14" t="s">
        <v>24</v>
      </c>
      <c r="K66" s="15">
        <f>GETPIVOTDATA("Sum of AM FIELD",'Pivot Table'!$A$88,"DAY","Mon")</f>
        <v>159</v>
      </c>
      <c r="L66" s="15">
        <f>SUM(88+88+0+88)</f>
        <v>264</v>
      </c>
      <c r="M66" s="16">
        <f>SUM(K66/L66)</f>
        <v>0.60227272727272729</v>
      </c>
      <c r="N66" s="17"/>
      <c r="P66" s="13" t="s">
        <v>23</v>
      </c>
      <c r="Q66" s="14" t="s">
        <v>24</v>
      </c>
      <c r="R66" s="15">
        <f>GETPIVOTDATA("Sum of AM FIELD",'Pivot Table'!$A$100,"DAY","Mon")</f>
        <v>144</v>
      </c>
      <c r="S66" s="15">
        <f>88+0+88+88</f>
        <v>264</v>
      </c>
      <c r="T66" s="16">
        <f>SUM(R66/S66)</f>
        <v>0.54545454545454541</v>
      </c>
      <c r="U66" s="17"/>
    </row>
    <row r="67" spans="2:21" ht="17.25" thickBot="1" x14ac:dyDescent="0.35">
      <c r="B67" s="18" t="s">
        <v>23</v>
      </c>
      <c r="C67" s="19" t="s">
        <v>25</v>
      </c>
      <c r="D67" s="20">
        <f>GETPIVOTDATA("Sum of PM FIELD",'Pivot Table'!$A$76,"DAY","Mon")</f>
        <v>300</v>
      </c>
      <c r="E67" s="20">
        <f>SUM(80+96+80+80+80)</f>
        <v>416</v>
      </c>
      <c r="F67" s="21">
        <f>SUM(D67/E67)</f>
        <v>0.72115384615384615</v>
      </c>
      <c r="G67" s="22"/>
      <c r="I67" s="18" t="s">
        <v>23</v>
      </c>
      <c r="J67" s="19" t="s">
        <v>25</v>
      </c>
      <c r="K67" s="20">
        <f>GETPIVOTDATA("Sum of PM FIELD",'Pivot Table'!$A$88,"DAY","Mon")</f>
        <v>218</v>
      </c>
      <c r="L67" s="20">
        <f>SUM(80+80+80+80)</f>
        <v>320</v>
      </c>
      <c r="M67" s="21">
        <f>SUM(K67/L67)</f>
        <v>0.68125000000000002</v>
      </c>
      <c r="N67" s="22"/>
      <c r="P67" s="18" t="s">
        <v>23</v>
      </c>
      <c r="Q67" s="19" t="s">
        <v>25</v>
      </c>
      <c r="R67" s="20">
        <f>GETPIVOTDATA("Sum of PM FIELD",'Pivot Table'!$A$100,"DAY","Mon")</f>
        <v>292</v>
      </c>
      <c r="S67" s="20">
        <f>84+80+80+80</f>
        <v>324</v>
      </c>
      <c r="T67" s="21">
        <f>SUM(R67/S67)</f>
        <v>0.90123456790123457</v>
      </c>
      <c r="U67" s="22"/>
    </row>
    <row r="68" spans="2:21" ht="18" thickTop="1" thickBot="1" x14ac:dyDescent="0.35">
      <c r="B68" s="23" t="s">
        <v>26</v>
      </c>
      <c r="C68" s="24"/>
      <c r="D68" s="25">
        <f>SUM(D65:D67)</f>
        <v>491</v>
      </c>
      <c r="E68" s="25">
        <f>SUM(E65:E67)</f>
        <v>728</v>
      </c>
      <c r="F68" s="26">
        <f>SUM(D68/E68)</f>
        <v>0.6744505494505495</v>
      </c>
      <c r="G68" s="27"/>
      <c r="I68" s="23" t="s">
        <v>26</v>
      </c>
      <c r="J68" s="24"/>
      <c r="K68" s="25">
        <f>SUM(K65:K67)</f>
        <v>377</v>
      </c>
      <c r="L68" s="25">
        <f>SUM(L65:L67)</f>
        <v>584</v>
      </c>
      <c r="M68" s="26">
        <f>SUM(K68/L68)</f>
        <v>0.64554794520547942</v>
      </c>
      <c r="N68" s="27"/>
      <c r="P68" s="23" t="s">
        <v>26</v>
      </c>
      <c r="Q68" s="24"/>
      <c r="R68" s="25">
        <f>SUM(R65:R67)</f>
        <v>436</v>
      </c>
      <c r="S68" s="25">
        <f>SUM(S65:S67)</f>
        <v>588</v>
      </c>
      <c r="T68" s="26">
        <f>SUM(R68/S68)</f>
        <v>0.74149659863945583</v>
      </c>
      <c r="U68" s="27"/>
    </row>
    <row r="69" spans="2:21" ht="17.25" thickBot="1" x14ac:dyDescent="0.35">
      <c r="C69" s="28"/>
      <c r="J69" s="28"/>
      <c r="K69" s="7"/>
      <c r="L69" s="7"/>
      <c r="M69" s="7"/>
      <c r="Q69" s="28"/>
      <c r="R69" s="7"/>
      <c r="S69" s="7"/>
      <c r="T69" s="7"/>
    </row>
    <row r="70" spans="2:21" x14ac:dyDescent="0.3">
      <c r="B70" s="13" t="s">
        <v>28</v>
      </c>
      <c r="C70" s="14" t="s">
        <v>29</v>
      </c>
      <c r="D70" s="15">
        <f>GETPIVOTDATA("Sum of AM FIELD",'Pivot Table'!$A$76,"DAY","Tue")</f>
        <v>299</v>
      </c>
      <c r="E70" s="15">
        <f>SUM(112+112+112+112)</f>
        <v>448</v>
      </c>
      <c r="F70" s="16">
        <f>SUM(D70/E70)</f>
        <v>0.6674107142857143</v>
      </c>
      <c r="G70" s="17"/>
      <c r="I70" s="13" t="s">
        <v>28</v>
      </c>
      <c r="J70" s="14" t="s">
        <v>29</v>
      </c>
      <c r="K70" s="15">
        <f>GETPIVOTDATA("Sum of AM FIELD",'Pivot Table'!$A$88,"DAY","Tue")</f>
        <v>405</v>
      </c>
      <c r="L70" s="15">
        <f>SUM(100+112+112+104+112)</f>
        <v>540</v>
      </c>
      <c r="M70" s="16">
        <f>SUM(K70/L70)</f>
        <v>0.75</v>
      </c>
      <c r="N70" s="17"/>
      <c r="P70" s="13" t="s">
        <v>28</v>
      </c>
      <c r="Q70" s="14" t="s">
        <v>29</v>
      </c>
      <c r="R70" s="15">
        <f>GETPIVOTDATA("Sum of AM FIELD",'Pivot Table'!$A$100,"DAY","Tue")</f>
        <v>332</v>
      </c>
      <c r="S70" s="15">
        <f>84+112+112+112</f>
        <v>420</v>
      </c>
      <c r="T70" s="16">
        <f>SUM(R70/S70)</f>
        <v>0.79047619047619044</v>
      </c>
      <c r="U70" s="17"/>
    </row>
    <row r="71" spans="2:21" ht="17.25" thickBot="1" x14ac:dyDescent="0.35">
      <c r="B71" s="18" t="s">
        <v>28</v>
      </c>
      <c r="C71" s="19" t="s">
        <v>25</v>
      </c>
      <c r="D71" s="20">
        <f>GETPIVOTDATA("Sum of PM FIELD",'Pivot Table'!$A$76,"DAY","Tue")</f>
        <v>89</v>
      </c>
      <c r="E71" s="20">
        <f>SUM(80+80+80+80)</f>
        <v>320</v>
      </c>
      <c r="F71" s="21">
        <f>SUM(D71/E71)</f>
        <v>0.27812500000000001</v>
      </c>
      <c r="G71" s="22"/>
      <c r="I71" s="18" t="s">
        <v>28</v>
      </c>
      <c r="J71" s="19" t="s">
        <v>25</v>
      </c>
      <c r="K71" s="20">
        <f>GETPIVOTDATA("Sum of PM FIELD",'Pivot Table'!$A$88,"DAY","Tue")</f>
        <v>135</v>
      </c>
      <c r="L71" s="20">
        <f>SUM(48+80+80+80+80)</f>
        <v>368</v>
      </c>
      <c r="M71" s="21">
        <f>SUM(K71/L71)</f>
        <v>0.36684782608695654</v>
      </c>
      <c r="N71" s="22"/>
      <c r="P71" s="18" t="s">
        <v>28</v>
      </c>
      <c r="Q71" s="19" t="s">
        <v>25</v>
      </c>
      <c r="R71" s="20">
        <f>GETPIVOTDATA("Sum of PM FIELD",'Pivot Table'!$A$100,"DAY","Tue")</f>
        <v>97</v>
      </c>
      <c r="S71" s="20">
        <f>0+80+80+80</f>
        <v>240</v>
      </c>
      <c r="T71" s="21">
        <f>SUM(R71/S71)</f>
        <v>0.40416666666666667</v>
      </c>
      <c r="U71" s="22"/>
    </row>
    <row r="72" spans="2:21" ht="18" thickTop="1" thickBot="1" x14ac:dyDescent="0.35">
      <c r="B72" s="23" t="s">
        <v>26</v>
      </c>
      <c r="C72" s="30"/>
      <c r="D72" s="31">
        <f>SUM(D69:D71)</f>
        <v>388</v>
      </c>
      <c r="E72" s="31">
        <f>SUM(E69:E71)</f>
        <v>768</v>
      </c>
      <c r="F72" s="32">
        <f>SUM(D72/E72)</f>
        <v>0.50520833333333337</v>
      </c>
      <c r="G72" s="33"/>
      <c r="I72" s="23" t="s">
        <v>26</v>
      </c>
      <c r="J72" s="30"/>
      <c r="K72" s="31">
        <f>SUM(K69:K71)</f>
        <v>540</v>
      </c>
      <c r="L72" s="31">
        <f>SUM(L69:L71)</f>
        <v>908</v>
      </c>
      <c r="M72" s="32">
        <f>SUM(K72/L72)</f>
        <v>0.59471365638766516</v>
      </c>
      <c r="N72" s="33"/>
      <c r="P72" s="23" t="s">
        <v>26</v>
      </c>
      <c r="Q72" s="30"/>
      <c r="R72" s="31">
        <f>SUM(R69:R71)</f>
        <v>429</v>
      </c>
      <c r="S72" s="31">
        <f>SUM(S69:S71)</f>
        <v>660</v>
      </c>
      <c r="T72" s="32">
        <f>SUM(R72/S72)</f>
        <v>0.65</v>
      </c>
      <c r="U72" s="33"/>
    </row>
    <row r="73" spans="2:21" ht="17.25" thickBot="1" x14ac:dyDescent="0.35">
      <c r="C73" s="28"/>
      <c r="J73" s="28"/>
      <c r="K73" s="7"/>
      <c r="L73" s="7"/>
      <c r="M73" s="7"/>
      <c r="Q73" s="28"/>
      <c r="R73" s="7"/>
      <c r="S73" s="7"/>
      <c r="T73" s="7"/>
    </row>
    <row r="74" spans="2:21" x14ac:dyDescent="0.3">
      <c r="B74" s="13" t="s">
        <v>31</v>
      </c>
      <c r="C74" s="14" t="s">
        <v>24</v>
      </c>
      <c r="D74" s="15">
        <f>GETPIVOTDATA("Sum of AM FIELD",'Pivot Table'!$A$76,"DAY","Wed")</f>
        <v>248</v>
      </c>
      <c r="E74" s="15">
        <f>SUM(92+108+56+108)</f>
        <v>364</v>
      </c>
      <c r="F74" s="16">
        <f>SUM(D74/E74)</f>
        <v>0.68131868131868134</v>
      </c>
      <c r="G74" s="17"/>
      <c r="I74" s="13" t="s">
        <v>31</v>
      </c>
      <c r="J74" s="14" t="s">
        <v>24</v>
      </c>
      <c r="K74" s="15">
        <f>GETPIVOTDATA("Sum of AM FIELD",'Pivot Table'!$A$88,"DAY","Wed")</f>
        <v>265</v>
      </c>
      <c r="L74" s="15">
        <f>SUM(108+92+80+112+52)</f>
        <v>444</v>
      </c>
      <c r="M74" s="16">
        <f>SUM(K74/L74)</f>
        <v>0.59684684684684686</v>
      </c>
      <c r="N74" s="17"/>
      <c r="P74" s="13" t="s">
        <v>31</v>
      </c>
      <c r="Q74" s="14" t="s">
        <v>24</v>
      </c>
      <c r="R74" s="15">
        <f>GETPIVOTDATA("Sum of AM FIELD",'Pivot Table'!$A$100,"DAY","Wed")</f>
        <v>301</v>
      </c>
      <c r="S74" s="15">
        <f>84+80+96+72</f>
        <v>332</v>
      </c>
      <c r="T74" s="16">
        <f>SUM(R74/S74)</f>
        <v>0.90662650602409633</v>
      </c>
      <c r="U74" s="17"/>
    </row>
    <row r="75" spans="2:21" ht="17.25" thickBot="1" x14ac:dyDescent="0.35">
      <c r="B75" s="18" t="s">
        <v>31</v>
      </c>
      <c r="C75" s="19" t="s">
        <v>25</v>
      </c>
      <c r="D75" s="20">
        <f>GETPIVOTDATA("Sum of PM FIELD",'Pivot Table'!$A$76,"DAY","Wed")</f>
        <v>225</v>
      </c>
      <c r="E75" s="20">
        <f>SUM(96+88+74+88)</f>
        <v>346</v>
      </c>
      <c r="F75" s="21">
        <f>SUM(D75/E75)</f>
        <v>0.6502890173410405</v>
      </c>
      <c r="G75" s="22"/>
      <c r="I75" s="18" t="s">
        <v>31</v>
      </c>
      <c r="J75" s="19" t="s">
        <v>25</v>
      </c>
      <c r="K75" s="20">
        <f>GETPIVOTDATA("Sum of PM FIELD",'Pivot Table'!$A$88,"DAY","Wed")</f>
        <v>278</v>
      </c>
      <c r="L75" s="20">
        <f>SUM(88+104+82+104+128)</f>
        <v>506</v>
      </c>
      <c r="M75" s="21">
        <f>SUM(K75/L75)</f>
        <v>0.54940711462450598</v>
      </c>
      <c r="N75" s="22"/>
      <c r="P75" s="18" t="s">
        <v>31</v>
      </c>
      <c r="Q75" s="19" t="s">
        <v>25</v>
      </c>
      <c r="R75" s="20">
        <f>GETPIVOTDATA("Sum of PM FIELD",'Pivot Table'!$A$100,"DAY","Wed")</f>
        <v>242</v>
      </c>
      <c r="S75" s="20">
        <f>104+72+104+104</f>
        <v>384</v>
      </c>
      <c r="T75" s="21">
        <f>SUM(R75/S75)</f>
        <v>0.63020833333333337</v>
      </c>
      <c r="U75" s="22"/>
    </row>
    <row r="76" spans="2:21" ht="18" thickTop="1" thickBot="1" x14ac:dyDescent="0.35">
      <c r="B76" s="23" t="s">
        <v>26</v>
      </c>
      <c r="C76" s="30"/>
      <c r="D76" s="31">
        <f>SUM(D73:D75)</f>
        <v>473</v>
      </c>
      <c r="E76" s="31">
        <f>SUM(E73:E75)</f>
        <v>710</v>
      </c>
      <c r="F76" s="32">
        <f>SUM(D76/E76)</f>
        <v>0.66619718309859155</v>
      </c>
      <c r="G76" s="33"/>
      <c r="I76" s="23" t="s">
        <v>26</v>
      </c>
      <c r="J76" s="30"/>
      <c r="K76" s="31">
        <f>SUM(K73:K75)</f>
        <v>543</v>
      </c>
      <c r="L76" s="31">
        <f>SUM(L73:L75)</f>
        <v>950</v>
      </c>
      <c r="M76" s="32">
        <f>SUM(K76/L76)</f>
        <v>0.57157894736842108</v>
      </c>
      <c r="N76" s="33"/>
      <c r="P76" s="23" t="s">
        <v>26</v>
      </c>
      <c r="Q76" s="30"/>
      <c r="R76" s="31">
        <f>SUM(R73:R75)</f>
        <v>543</v>
      </c>
      <c r="S76" s="31">
        <f>SUM(S73:S75)</f>
        <v>716</v>
      </c>
      <c r="T76" s="32">
        <f>SUM(R76/S76)</f>
        <v>0.75837988826815639</v>
      </c>
      <c r="U76" s="33"/>
    </row>
    <row r="77" spans="2:21" ht="17.25" thickBot="1" x14ac:dyDescent="0.35">
      <c r="C77" s="28"/>
      <c r="J77" s="28"/>
      <c r="K77" s="7"/>
      <c r="L77" s="7"/>
      <c r="M77" s="7"/>
      <c r="Q77" s="28"/>
      <c r="R77" s="7"/>
      <c r="S77" s="7"/>
      <c r="T77" s="7"/>
    </row>
    <row r="78" spans="2:21" x14ac:dyDescent="0.3">
      <c r="B78" s="13" t="s">
        <v>33</v>
      </c>
      <c r="C78" s="14" t="s">
        <v>29</v>
      </c>
      <c r="D78" s="15">
        <f>GETPIVOTDATA("Sum of AM FIELD",'Pivot Table'!$A$76,"DAY","Thu")</f>
        <v>282</v>
      </c>
      <c r="E78" s="15">
        <f>SUM(80+76+80+80)</f>
        <v>316</v>
      </c>
      <c r="F78" s="16">
        <f>SUM(D78/E78)</f>
        <v>0.89240506329113922</v>
      </c>
      <c r="G78" s="17"/>
      <c r="I78" s="13" t="s">
        <v>33</v>
      </c>
      <c r="J78" s="14" t="s">
        <v>29</v>
      </c>
      <c r="K78" s="15">
        <f>GETPIVOTDATA("Sum of AM FIELD",'Pivot Table'!$A$88,"DAY","Thu")</f>
        <v>362</v>
      </c>
      <c r="L78" s="15">
        <f>SUM(80+80+80+76+80)</f>
        <v>396</v>
      </c>
      <c r="M78" s="16">
        <f>SUM(K78/L78)</f>
        <v>0.91414141414141414</v>
      </c>
      <c r="N78" s="17"/>
      <c r="P78" s="13" t="s">
        <v>33</v>
      </c>
      <c r="Q78" s="14" t="s">
        <v>29</v>
      </c>
      <c r="R78" s="15">
        <f>GETPIVOTDATA("Sum of AM FIELD",'Pivot Table'!$A$100,"DAY","Thu")</f>
        <v>297</v>
      </c>
      <c r="S78" s="15">
        <f>80+80+80+76</f>
        <v>316</v>
      </c>
      <c r="T78" s="16">
        <f>SUM(R78/S78)</f>
        <v>0.939873417721519</v>
      </c>
      <c r="U78" s="17"/>
    </row>
    <row r="79" spans="2:21" ht="17.25" thickBot="1" x14ac:dyDescent="0.35">
      <c r="B79" s="18" t="s">
        <v>33</v>
      </c>
      <c r="C79" s="19" t="s">
        <v>25</v>
      </c>
      <c r="D79" s="20">
        <f>GETPIVOTDATA("Sum of PM FIELD",'Pivot Table'!$A$76,"DAY","Thu")</f>
        <v>276</v>
      </c>
      <c r="E79" s="20">
        <f>SUM(96+96+96+96)</f>
        <v>384</v>
      </c>
      <c r="F79" s="21">
        <f t="shared" ref="F79" si="17">SUM(D79/E79)</f>
        <v>0.71875</v>
      </c>
      <c r="G79" s="22"/>
      <c r="I79" s="18" t="s">
        <v>33</v>
      </c>
      <c r="J79" s="19" t="s">
        <v>25</v>
      </c>
      <c r="K79" s="20">
        <f>GETPIVOTDATA("Sum of PM FIELD",'Pivot Table'!$A$88,"DAY","Thu")</f>
        <v>370</v>
      </c>
      <c r="L79" s="20">
        <f>SUM(96+96+96+96+96)</f>
        <v>480</v>
      </c>
      <c r="M79" s="21">
        <f t="shared" ref="M79" si="18">SUM(K79/L79)</f>
        <v>0.77083333333333337</v>
      </c>
      <c r="N79" s="22"/>
      <c r="P79" s="18" t="s">
        <v>33</v>
      </c>
      <c r="Q79" s="19" t="s">
        <v>25</v>
      </c>
      <c r="R79" s="20">
        <f>GETPIVOTDATA("Sum of PM FIELD",'Pivot Table'!$A$100,"DAY","Thu")</f>
        <v>317</v>
      </c>
      <c r="S79" s="20">
        <f>96+96+96+96</f>
        <v>384</v>
      </c>
      <c r="T79" s="21">
        <f t="shared" ref="T79" si="19">SUM(R79/S79)</f>
        <v>0.82552083333333337</v>
      </c>
      <c r="U79" s="22"/>
    </row>
    <row r="80" spans="2:21" ht="18" thickTop="1" thickBot="1" x14ac:dyDescent="0.35">
      <c r="B80" s="23" t="s">
        <v>26</v>
      </c>
      <c r="C80" s="30"/>
      <c r="D80" s="31">
        <f>SUM(D77:D79)</f>
        <v>558</v>
      </c>
      <c r="E80" s="31">
        <f>SUM(E77:E79)</f>
        <v>700</v>
      </c>
      <c r="F80" s="32">
        <f>SUM(D80/E80)</f>
        <v>0.79714285714285715</v>
      </c>
      <c r="G80" s="33"/>
      <c r="I80" s="23" t="s">
        <v>26</v>
      </c>
      <c r="J80" s="30"/>
      <c r="K80" s="31">
        <f>SUM(K77:K79)</f>
        <v>732</v>
      </c>
      <c r="L80" s="31">
        <f>SUM(L77:L79)</f>
        <v>876</v>
      </c>
      <c r="M80" s="32">
        <f>SUM(K80/L80)</f>
        <v>0.83561643835616439</v>
      </c>
      <c r="N80" s="33"/>
      <c r="P80" s="23" t="s">
        <v>26</v>
      </c>
      <c r="Q80" s="30"/>
      <c r="R80" s="31">
        <f>SUM(R77:R79)</f>
        <v>614</v>
      </c>
      <c r="S80" s="31">
        <f>SUM(S77:S79)</f>
        <v>700</v>
      </c>
      <c r="T80" s="32">
        <f>SUM(R80/S80)</f>
        <v>0.87714285714285711</v>
      </c>
      <c r="U80" s="33"/>
    </row>
    <row r="81" spans="2:21" ht="17.25" thickBot="1" x14ac:dyDescent="0.35">
      <c r="C81" s="28"/>
      <c r="J81" s="28"/>
      <c r="K81" s="7"/>
      <c r="L81" s="7"/>
      <c r="M81" s="7"/>
      <c r="Q81" s="28"/>
      <c r="R81" s="7"/>
      <c r="S81" s="7"/>
      <c r="T81" s="7"/>
    </row>
    <row r="82" spans="2:21" x14ac:dyDescent="0.3">
      <c r="B82" s="13" t="s">
        <v>35</v>
      </c>
      <c r="C82" s="14" t="s">
        <v>29</v>
      </c>
      <c r="D82" s="15">
        <f>GETPIVOTDATA("Sum of AM FIELD",'Pivot Table'!$A$76,"DAY","Fri")</f>
        <v>339</v>
      </c>
      <c r="E82" s="15">
        <f>SUM(108+108+68+108)</f>
        <v>392</v>
      </c>
      <c r="F82" s="16">
        <f t="shared" ref="F82:F83" si="20">SUM(D82/E82)</f>
        <v>0.86479591836734693</v>
      </c>
      <c r="G82" s="17"/>
      <c r="I82" s="13" t="s">
        <v>35</v>
      </c>
      <c r="J82" s="14" t="s">
        <v>29</v>
      </c>
      <c r="K82" s="15">
        <f>GETPIVOTDATA("Sum of AM FIELD",'Pivot Table'!$A$88,"DAY","Fri")</f>
        <v>310</v>
      </c>
      <c r="L82" s="15">
        <f>SUM(88+88+88+108)</f>
        <v>372</v>
      </c>
      <c r="M82" s="16">
        <f t="shared" ref="M82:M83" si="21">SUM(K82/L82)</f>
        <v>0.83333333333333337</v>
      </c>
      <c r="N82" s="17"/>
      <c r="P82" s="13" t="s">
        <v>35</v>
      </c>
      <c r="Q82" s="14" t="s">
        <v>29</v>
      </c>
      <c r="R82" s="15">
        <f>GETPIVOTDATA("Sum of AM FIELD",'Pivot Table'!$A$100,"DAY","Fri")</f>
        <v>424</v>
      </c>
      <c r="S82" s="15">
        <f>104+104+104+104+104</f>
        <v>520</v>
      </c>
      <c r="T82" s="16">
        <f t="shared" ref="T82:T83" si="22">SUM(R82/S82)</f>
        <v>0.81538461538461537</v>
      </c>
      <c r="U82" s="17"/>
    </row>
    <row r="83" spans="2:21" ht="17.25" thickBot="1" x14ac:dyDescent="0.35">
      <c r="B83" s="18" t="s">
        <v>35</v>
      </c>
      <c r="C83" s="19" t="s">
        <v>25</v>
      </c>
      <c r="D83" s="20">
        <f>GETPIVOTDATA("Sum of PM FIELD",'Pivot Table'!$A$76,"DAY","Fri")</f>
        <v>260</v>
      </c>
      <c r="E83" s="20">
        <f>SUM(88+88+80+88)</f>
        <v>344</v>
      </c>
      <c r="F83" s="21">
        <f t="shared" si="20"/>
        <v>0.7558139534883721</v>
      </c>
      <c r="G83" s="22"/>
      <c r="I83" s="18" t="s">
        <v>35</v>
      </c>
      <c r="J83" s="19" t="s">
        <v>25</v>
      </c>
      <c r="K83" s="20">
        <f>GETPIVOTDATA("Sum of PM FIELD",'Pivot Table'!$A$88,"DAY","Fri")</f>
        <v>250</v>
      </c>
      <c r="L83" s="20">
        <f>SUM(80+80+80+92)</f>
        <v>332</v>
      </c>
      <c r="M83" s="21">
        <f t="shared" si="21"/>
        <v>0.75301204819277112</v>
      </c>
      <c r="N83" s="22"/>
      <c r="P83" s="18" t="s">
        <v>35</v>
      </c>
      <c r="Q83" s="19" t="s">
        <v>25</v>
      </c>
      <c r="R83" s="20">
        <f>GETPIVOTDATA("Sum of PM FIELD",'Pivot Table'!$A$100,"DAY","Fri")</f>
        <v>313</v>
      </c>
      <c r="S83" s="20">
        <f>92+88+88+88+92</f>
        <v>448</v>
      </c>
      <c r="T83" s="21">
        <f t="shared" si="22"/>
        <v>0.6986607142857143</v>
      </c>
      <c r="U83" s="22"/>
    </row>
    <row r="84" spans="2:21" ht="18" thickTop="1" thickBot="1" x14ac:dyDescent="0.35">
      <c r="B84" s="23" t="s">
        <v>26</v>
      </c>
      <c r="C84" s="30"/>
      <c r="D84" s="31">
        <f>SUM(D81:D83)</f>
        <v>599</v>
      </c>
      <c r="E84" s="31">
        <f>SUM(E81:E83)</f>
        <v>736</v>
      </c>
      <c r="F84" s="32">
        <f>SUM(D84/E84)</f>
        <v>0.81385869565217395</v>
      </c>
      <c r="G84" s="33"/>
      <c r="I84" s="23" t="s">
        <v>26</v>
      </c>
      <c r="J84" s="30"/>
      <c r="K84" s="31">
        <f>SUM(K81:K83)</f>
        <v>560</v>
      </c>
      <c r="L84" s="31">
        <f>SUM(L81:L83)</f>
        <v>704</v>
      </c>
      <c r="M84" s="32">
        <f>SUM(K84/L84)</f>
        <v>0.79545454545454541</v>
      </c>
      <c r="N84" s="33"/>
      <c r="P84" s="23" t="s">
        <v>26</v>
      </c>
      <c r="Q84" s="30"/>
      <c r="R84" s="31">
        <f>SUM(R81:R83)</f>
        <v>737</v>
      </c>
      <c r="S84" s="31">
        <f>SUM(S81:S83)</f>
        <v>968</v>
      </c>
      <c r="T84" s="32">
        <f>SUM(R84/S84)</f>
        <v>0.76136363636363635</v>
      </c>
      <c r="U84" s="33"/>
    </row>
    <row r="85" spans="2:21" ht="17.25" thickBot="1" x14ac:dyDescent="0.35">
      <c r="C85" s="28"/>
      <c r="J85" s="28"/>
      <c r="K85" s="7"/>
      <c r="L85" s="7"/>
      <c r="M85" s="7"/>
      <c r="Q85" s="28"/>
      <c r="R85" s="7"/>
      <c r="S85" s="7"/>
      <c r="T85" s="7"/>
    </row>
    <row r="86" spans="2:21" x14ac:dyDescent="0.3">
      <c r="B86" s="13" t="s">
        <v>37</v>
      </c>
      <c r="C86" s="14" t="s">
        <v>29</v>
      </c>
      <c r="D86" s="15">
        <f>GETPIVOTDATA("Sum of AM FIELD",'Pivot Table'!$A$76,"DAY","Sat")</f>
        <v>370</v>
      </c>
      <c r="E86" s="15">
        <f>SUM(88+68+68+76+84)</f>
        <v>384</v>
      </c>
      <c r="F86" s="16">
        <f t="shared" ref="F86:F87" si="23">SUM(D86/E86)</f>
        <v>0.96354166666666663</v>
      </c>
      <c r="G86" s="17"/>
      <c r="I86" s="13" t="s">
        <v>37</v>
      </c>
      <c r="J86" s="14" t="s">
        <v>29</v>
      </c>
      <c r="K86" s="15">
        <f>GETPIVOTDATA("Sum of AM FIELD",'Pivot Table'!$A$88,"DAY","Sat")</f>
        <v>307</v>
      </c>
      <c r="L86" s="15">
        <f>SUM(76+96+96+104)</f>
        <v>372</v>
      </c>
      <c r="M86" s="16">
        <f t="shared" ref="M86:M87" si="24">SUM(K86/L86)</f>
        <v>0.82526881720430112</v>
      </c>
      <c r="N86" s="17"/>
      <c r="P86" s="13" t="s">
        <v>37</v>
      </c>
      <c r="Q86" s="14" t="s">
        <v>29</v>
      </c>
      <c r="R86" s="15">
        <f>GETPIVOTDATA("Sum of AM FIELD",'Pivot Table'!$A$100,"DAY","Sat")</f>
        <v>409</v>
      </c>
      <c r="S86" s="15">
        <f>104+92+96+96+88</f>
        <v>476</v>
      </c>
      <c r="T86" s="16">
        <f t="shared" ref="T86:T87" si="25">SUM(R86/S86)</f>
        <v>0.85924369747899154</v>
      </c>
      <c r="U86" s="17"/>
    </row>
    <row r="87" spans="2:21" ht="17.25" thickBot="1" x14ac:dyDescent="0.35">
      <c r="B87" s="18" t="s">
        <v>37</v>
      </c>
      <c r="C87" s="19" t="s">
        <v>25</v>
      </c>
      <c r="D87" s="20">
        <f>GETPIVOTDATA("Sum of PM FIELD",'Pivot Table'!$A$76,"DAY","Sat")</f>
        <v>272</v>
      </c>
      <c r="E87" s="20">
        <f>SUM(76+88+88+88+88)</f>
        <v>428</v>
      </c>
      <c r="F87" s="21">
        <f t="shared" si="23"/>
        <v>0.63551401869158874</v>
      </c>
      <c r="G87" s="22"/>
      <c r="I87" s="18" t="s">
        <v>37</v>
      </c>
      <c r="J87" s="19" t="s">
        <v>25</v>
      </c>
      <c r="K87" s="20">
        <f>GETPIVOTDATA("Sum of PM FIELD",'Pivot Table'!$A$88,"DAY","Sat")</f>
        <v>225</v>
      </c>
      <c r="L87" s="20">
        <f>SUM(88+88+88+88)</f>
        <v>352</v>
      </c>
      <c r="M87" s="21">
        <f t="shared" si="24"/>
        <v>0.63920454545454541</v>
      </c>
      <c r="N87" s="22"/>
      <c r="P87" s="18" t="s">
        <v>37</v>
      </c>
      <c r="Q87" s="19" t="s">
        <v>25</v>
      </c>
      <c r="R87" s="20">
        <f>GETPIVOTDATA("Sum of PM FIELD",'Pivot Table'!$A$100,"DAY","Sat")</f>
        <v>252</v>
      </c>
      <c r="S87" s="20">
        <f>76+92+96+64+88</f>
        <v>416</v>
      </c>
      <c r="T87" s="21">
        <f t="shared" si="25"/>
        <v>0.60576923076923073</v>
      </c>
      <c r="U87" s="22"/>
    </row>
    <row r="88" spans="2:21" ht="18" thickTop="1" thickBot="1" x14ac:dyDescent="0.35">
      <c r="B88" s="23" t="s">
        <v>26</v>
      </c>
      <c r="C88" s="30"/>
      <c r="D88" s="31">
        <f>SUM(D85:D87)</f>
        <v>642</v>
      </c>
      <c r="E88" s="31">
        <f>SUM(E85:E87)</f>
        <v>812</v>
      </c>
      <c r="F88" s="32">
        <f>SUM(D88/E88)</f>
        <v>0.79064039408866993</v>
      </c>
      <c r="G88" s="33"/>
      <c r="I88" s="23" t="s">
        <v>26</v>
      </c>
      <c r="J88" s="30"/>
      <c r="K88" s="31">
        <f>SUM(K85:K87)</f>
        <v>532</v>
      </c>
      <c r="L88" s="31">
        <f>SUM(L85:L87)</f>
        <v>724</v>
      </c>
      <c r="M88" s="32">
        <f>SUM(K88/L88)</f>
        <v>0.73480662983425415</v>
      </c>
      <c r="N88" s="33"/>
      <c r="P88" s="23" t="s">
        <v>26</v>
      </c>
      <c r="Q88" s="30"/>
      <c r="R88" s="31">
        <f>SUM(R85:R87)</f>
        <v>661</v>
      </c>
      <c r="S88" s="31">
        <f>SUM(S85:S87)</f>
        <v>892</v>
      </c>
      <c r="T88" s="32">
        <f>SUM(R88/S88)</f>
        <v>0.74103139013452912</v>
      </c>
      <c r="U88" s="33"/>
    </row>
    <row r="89" spans="2:21" ht="17.25" thickBot="1" x14ac:dyDescent="0.35">
      <c r="C89" s="28"/>
      <c r="F89" s="34"/>
      <c r="J89" s="28"/>
      <c r="K89" s="7"/>
      <c r="L89" s="7"/>
      <c r="M89" s="34"/>
      <c r="Q89" s="28"/>
      <c r="R89" s="7"/>
      <c r="S89" s="7"/>
      <c r="T89" s="34"/>
    </row>
    <row r="90" spans="2:21" x14ac:dyDescent="0.3">
      <c r="B90" s="13" t="s">
        <v>39</v>
      </c>
      <c r="C90" s="14" t="s">
        <v>29</v>
      </c>
      <c r="D90" s="15">
        <f>GETPIVOTDATA("Sum of AM FIELD",'Pivot Table'!$A$76,"DAY","Sun")</f>
        <v>431</v>
      </c>
      <c r="E90" s="15">
        <f>SUM(88+88+92+96+88)</f>
        <v>452</v>
      </c>
      <c r="F90" s="16">
        <f t="shared" ref="F90:F91" si="26">SUM(D90/E90)</f>
        <v>0.95353982300884954</v>
      </c>
      <c r="G90" s="17"/>
      <c r="I90" s="13" t="s">
        <v>39</v>
      </c>
      <c r="J90" s="14" t="s">
        <v>29</v>
      </c>
      <c r="K90" s="15">
        <f>GETPIVOTDATA("Sum of AM FIELD",'Pivot Table'!$A$88,"DAY","Sun")</f>
        <v>358</v>
      </c>
      <c r="L90" s="15">
        <f>SUM(96+96+96+104)</f>
        <v>392</v>
      </c>
      <c r="M90" s="16">
        <f t="shared" ref="M90:M91" si="27">SUM(K90/L90)</f>
        <v>0.91326530612244894</v>
      </c>
      <c r="N90" s="17"/>
      <c r="P90" s="13" t="s">
        <v>39</v>
      </c>
      <c r="Q90" s="14" t="s">
        <v>29</v>
      </c>
      <c r="R90" s="15">
        <f>GETPIVOTDATA("Sum of AM FIELD",'Pivot Table'!$A$100,"DAY","Sun")</f>
        <v>330</v>
      </c>
      <c r="S90" s="15">
        <f>104+104+104+104</f>
        <v>416</v>
      </c>
      <c r="T90" s="16">
        <f t="shared" ref="T90:T91" si="28">SUM(R90/S90)</f>
        <v>0.79326923076923073</v>
      </c>
      <c r="U90" s="17"/>
    </row>
    <row r="91" spans="2:21" ht="17.25" thickBot="1" x14ac:dyDescent="0.35">
      <c r="B91" s="18" t="s">
        <v>39</v>
      </c>
      <c r="C91" s="19" t="s">
        <v>25</v>
      </c>
      <c r="D91" s="20">
        <f>GETPIVOTDATA("Sum of PM FIELD",'Pivot Table'!$A$76,"DAY","Sun")</f>
        <v>402</v>
      </c>
      <c r="E91" s="20">
        <f>SUM(84+88+92+92+96)</f>
        <v>452</v>
      </c>
      <c r="F91" s="21">
        <f t="shared" si="26"/>
        <v>0.88938053097345138</v>
      </c>
      <c r="G91" s="22"/>
      <c r="I91" s="18" t="s">
        <v>39</v>
      </c>
      <c r="J91" s="19" t="s">
        <v>25</v>
      </c>
      <c r="K91" s="20">
        <f>GETPIVOTDATA("Sum of PM FIELD",'Pivot Table'!$A$88,"DAY","Sun")</f>
        <v>350</v>
      </c>
      <c r="L91" s="20">
        <f>SUM(104+92+92+104)</f>
        <v>392</v>
      </c>
      <c r="M91" s="21">
        <f t="shared" si="27"/>
        <v>0.8928571428571429</v>
      </c>
      <c r="N91" s="22"/>
      <c r="P91" s="18" t="s">
        <v>39</v>
      </c>
      <c r="Q91" s="19" t="s">
        <v>25</v>
      </c>
      <c r="R91" s="20">
        <f>GETPIVOTDATA("Sum of PM FIELD",'Pivot Table'!$A$100,"DAY","Sun")</f>
        <v>313</v>
      </c>
      <c r="S91" s="20">
        <f>88+88+88+88</f>
        <v>352</v>
      </c>
      <c r="T91" s="21">
        <f t="shared" si="28"/>
        <v>0.88920454545454541</v>
      </c>
      <c r="U91" s="22"/>
    </row>
    <row r="92" spans="2:21" ht="18" thickTop="1" thickBot="1" x14ac:dyDescent="0.35">
      <c r="B92" s="23" t="s">
        <v>26</v>
      </c>
      <c r="C92" s="30"/>
      <c r="D92" s="31">
        <f>SUM(D89:D91)</f>
        <v>833</v>
      </c>
      <c r="E92" s="31">
        <f>SUM(E89:E91)</f>
        <v>904</v>
      </c>
      <c r="F92" s="32">
        <f>SUM(D92/E92)</f>
        <v>0.92146017699115046</v>
      </c>
      <c r="G92" s="33"/>
      <c r="I92" s="23" t="s">
        <v>26</v>
      </c>
      <c r="J92" s="30"/>
      <c r="K92" s="31">
        <f>SUM(K89:K91)</f>
        <v>708</v>
      </c>
      <c r="L92" s="31">
        <f>SUM(L89:L91)</f>
        <v>784</v>
      </c>
      <c r="M92" s="32">
        <f>SUM(K92/L92)</f>
        <v>0.90306122448979587</v>
      </c>
      <c r="N92" s="33"/>
      <c r="P92" s="23" t="s">
        <v>26</v>
      </c>
      <c r="Q92" s="30"/>
      <c r="R92" s="31">
        <f>SUM(R89:R91)</f>
        <v>643</v>
      </c>
      <c r="S92" s="31">
        <f>SUM(S89:S91)</f>
        <v>768</v>
      </c>
      <c r="T92" s="32">
        <f>SUM(R92/S92)</f>
        <v>0.83723958333333337</v>
      </c>
      <c r="U92" s="33"/>
    </row>
    <row r="95" spans="2:21" ht="45" x14ac:dyDescent="0.4">
      <c r="B95" s="3" t="s">
        <v>16</v>
      </c>
      <c r="C95" s="9"/>
      <c r="D95" s="10" t="s">
        <v>18</v>
      </c>
      <c r="E95" s="10" t="s">
        <v>19</v>
      </c>
      <c r="F95" s="10" t="s">
        <v>20</v>
      </c>
      <c r="G95" s="9" t="s">
        <v>21</v>
      </c>
      <c r="I95" s="3" t="s">
        <v>68</v>
      </c>
      <c r="J95" s="9"/>
      <c r="K95" s="10" t="s">
        <v>18</v>
      </c>
      <c r="L95" s="10" t="s">
        <v>19</v>
      </c>
      <c r="M95" s="10" t="s">
        <v>20</v>
      </c>
      <c r="N95" s="9" t="s">
        <v>21</v>
      </c>
      <c r="P95" s="3" t="s">
        <v>17</v>
      </c>
      <c r="Q95" s="9"/>
      <c r="R95" s="10" t="s">
        <v>18</v>
      </c>
      <c r="S95" s="10" t="s">
        <v>19</v>
      </c>
      <c r="T95" s="10" t="s">
        <v>20</v>
      </c>
      <c r="U95" s="9" t="s">
        <v>21</v>
      </c>
    </row>
    <row r="96" spans="2:21" ht="17.25" thickBot="1" x14ac:dyDescent="0.35">
      <c r="K96" s="7"/>
      <c r="L96" s="7"/>
      <c r="M96" s="7"/>
      <c r="Q96" s="4"/>
      <c r="R96" s="7"/>
      <c r="S96" s="7"/>
      <c r="T96" s="7"/>
    </row>
    <row r="97" spans="2:21" x14ac:dyDescent="0.3">
      <c r="B97" s="13" t="s">
        <v>23</v>
      </c>
      <c r="C97" s="14" t="s">
        <v>24</v>
      </c>
      <c r="D97" s="15">
        <f>GETPIVOTDATA("Sum of AM FIELD",'Pivot Table'!$A$112,"DAY","Mon")</f>
        <v>200</v>
      </c>
      <c r="E97" s="15">
        <f>88+90+88+0+88</f>
        <v>354</v>
      </c>
      <c r="F97" s="16">
        <f>SUM(D97/E97)</f>
        <v>0.56497175141242939</v>
      </c>
      <c r="G97" s="17"/>
      <c r="I97" s="13" t="s">
        <v>23</v>
      </c>
      <c r="J97" s="14" t="s">
        <v>24</v>
      </c>
      <c r="K97" s="15">
        <f>GETPIVOTDATA("Sum of AM FIELD",'Pivot Table'!$A$124,"DAY","Mon")</f>
        <v>152</v>
      </c>
      <c r="L97" s="15">
        <f>88+0+88+88</f>
        <v>264</v>
      </c>
      <c r="M97" s="16">
        <f>SUM(K97/L97)</f>
        <v>0.5757575757575758</v>
      </c>
      <c r="N97" s="17"/>
      <c r="P97" s="13" t="s">
        <v>23</v>
      </c>
      <c r="Q97" s="14" t="s">
        <v>24</v>
      </c>
      <c r="R97" s="15">
        <f>GETPIVOTDATA("Sum of AM FIELD",'Pivot Table'!$A$136,"DAY","Mon")</f>
        <v>56</v>
      </c>
      <c r="S97" s="15">
        <f>SUM(60+0+0+0)</f>
        <v>60</v>
      </c>
      <c r="T97" s="16">
        <f>SUM(R97/S97)</f>
        <v>0.93333333333333335</v>
      </c>
      <c r="U97" s="17"/>
    </row>
    <row r="98" spans="2:21" ht="17.25" thickBot="1" x14ac:dyDescent="0.35">
      <c r="B98" s="18" t="s">
        <v>23</v>
      </c>
      <c r="C98" s="19" t="s">
        <v>25</v>
      </c>
      <c r="D98" s="20">
        <f>GETPIVOTDATA("Sum of PM FIELD",'Pivot Table'!$A$112,"DAY","Mon")</f>
        <v>306</v>
      </c>
      <c r="E98" s="20">
        <f>80+104+80+80+80</f>
        <v>424</v>
      </c>
      <c r="F98" s="21">
        <f>SUM(D98/E98)</f>
        <v>0.72169811320754718</v>
      </c>
      <c r="G98" s="22"/>
      <c r="I98" s="18" t="s">
        <v>23</v>
      </c>
      <c r="J98" s="19" t="s">
        <v>25</v>
      </c>
      <c r="K98" s="20">
        <f>GETPIVOTDATA("Sum of PM FIELD",'Pivot Table'!$A$124,"DAY","Mon")</f>
        <v>309</v>
      </c>
      <c r="L98" s="20">
        <f>88+88+80+80</f>
        <v>336</v>
      </c>
      <c r="M98" s="21">
        <f>SUM(K98/L98)</f>
        <v>0.9196428571428571</v>
      </c>
      <c r="N98" s="22"/>
      <c r="P98" s="18" t="s">
        <v>23</v>
      </c>
      <c r="Q98" s="19" t="s">
        <v>25</v>
      </c>
      <c r="R98" s="20">
        <f>GETPIVOTDATA("Sum of PM FIELD",'Pivot Table'!$A$136,"DAY","Mon")</f>
        <v>70</v>
      </c>
      <c r="S98" s="20">
        <f>SUM(104+0+0+0)</f>
        <v>104</v>
      </c>
      <c r="T98" s="21">
        <f>SUM(R98/S98)</f>
        <v>0.67307692307692313</v>
      </c>
      <c r="U98" s="22"/>
    </row>
    <row r="99" spans="2:21" ht="18" thickTop="1" thickBot="1" x14ac:dyDescent="0.35">
      <c r="B99" s="23" t="s">
        <v>26</v>
      </c>
      <c r="C99" s="24"/>
      <c r="D99" s="25">
        <f>SUM(D96:D98)</f>
        <v>506</v>
      </c>
      <c r="E99" s="25">
        <f>SUM(E96:E98)</f>
        <v>778</v>
      </c>
      <c r="F99" s="26">
        <f>SUM(D99/E99)</f>
        <v>0.65038560411311053</v>
      </c>
      <c r="G99" s="27"/>
      <c r="I99" s="23" t="s">
        <v>26</v>
      </c>
      <c r="J99" s="24"/>
      <c r="K99" s="25">
        <f>SUM(K96:K98)</f>
        <v>461</v>
      </c>
      <c r="L99" s="25">
        <f>SUM(L96:L98)</f>
        <v>600</v>
      </c>
      <c r="M99" s="26">
        <f>SUM(K99/L99)</f>
        <v>0.76833333333333331</v>
      </c>
      <c r="N99" s="27"/>
      <c r="P99" s="23" t="s">
        <v>26</v>
      </c>
      <c r="Q99" s="24"/>
      <c r="R99" s="25">
        <f>SUM(R96:R98)</f>
        <v>126</v>
      </c>
      <c r="S99" s="25">
        <f>SUM(S96:S98)</f>
        <v>164</v>
      </c>
      <c r="T99" s="26">
        <f>SUM(R99/S99)</f>
        <v>0.76829268292682928</v>
      </c>
      <c r="U99" s="27"/>
    </row>
    <row r="100" spans="2:21" ht="17.25" thickBot="1" x14ac:dyDescent="0.35">
      <c r="C100" s="28"/>
      <c r="J100" s="28"/>
      <c r="K100" s="7"/>
      <c r="L100" s="7"/>
      <c r="M100" s="7"/>
      <c r="Q100" s="28"/>
      <c r="R100" s="7"/>
      <c r="S100" s="7"/>
      <c r="T100" s="7"/>
    </row>
    <row r="101" spans="2:21" x14ac:dyDescent="0.3">
      <c r="B101" s="13" t="s">
        <v>28</v>
      </c>
      <c r="C101" s="14" t="s">
        <v>29</v>
      </c>
      <c r="D101" s="15">
        <f>GETPIVOTDATA("Sum of AM FIELD",'Pivot Table'!$A$112,"DAY","Tue")</f>
        <v>456</v>
      </c>
      <c r="E101" s="15">
        <f>112+112+112+104+112</f>
        <v>552</v>
      </c>
      <c r="F101" s="16">
        <f>SUM(D101/E101)</f>
        <v>0.82608695652173914</v>
      </c>
      <c r="G101" s="17"/>
      <c r="I101" s="13" t="s">
        <v>28</v>
      </c>
      <c r="J101" s="14" t="s">
        <v>29</v>
      </c>
      <c r="K101" s="15">
        <f>GETPIVOTDATA("Sum of AM FIELD",'Pivot Table'!$A$124,"DAY","Tue")</f>
        <v>424</v>
      </c>
      <c r="L101" s="15">
        <f>104+112+112+152</f>
        <v>480</v>
      </c>
      <c r="M101" s="16">
        <f>SUM(K101/L101)</f>
        <v>0.8833333333333333</v>
      </c>
      <c r="N101" s="17"/>
      <c r="P101" s="13" t="s">
        <v>28</v>
      </c>
      <c r="Q101" s="14" t="s">
        <v>29</v>
      </c>
      <c r="R101" s="15">
        <f>GETPIVOTDATA("Sum of AM FIELD",'Pivot Table'!$A$136,"DAY","Tue")</f>
        <v>270</v>
      </c>
      <c r="S101" s="15">
        <f>SUM(112+112+0+104)</f>
        <v>328</v>
      </c>
      <c r="T101" s="16">
        <f>SUM(R101/S101)</f>
        <v>0.82317073170731703</v>
      </c>
      <c r="U101" s="17"/>
    </row>
    <row r="102" spans="2:21" ht="17.25" thickBot="1" x14ac:dyDescent="0.35">
      <c r="B102" s="18" t="s">
        <v>28</v>
      </c>
      <c r="C102" s="19" t="s">
        <v>25</v>
      </c>
      <c r="D102" s="20">
        <f>GETPIVOTDATA("Sum of PM FIELD",'Pivot Table'!$A$112,"DAY","Tue")</f>
        <v>164</v>
      </c>
      <c r="E102" s="20">
        <f>80+80+80+40+80</f>
        <v>360</v>
      </c>
      <c r="F102" s="21">
        <f>SUM(D102/E102)</f>
        <v>0.45555555555555555</v>
      </c>
      <c r="G102" s="22"/>
      <c r="I102" s="18" t="s">
        <v>28</v>
      </c>
      <c r="J102" s="19" t="s">
        <v>25</v>
      </c>
      <c r="K102" s="20">
        <f>GETPIVOTDATA("Sum of PM FIELD",'Pivot Table'!$A$124,"DAY","Tue")</f>
        <v>108</v>
      </c>
      <c r="L102" s="20">
        <f>88+80+80+0</f>
        <v>248</v>
      </c>
      <c r="M102" s="21">
        <f>SUM(K102/L102)</f>
        <v>0.43548387096774194</v>
      </c>
      <c r="N102" s="22"/>
      <c r="P102" s="18" t="s">
        <v>28</v>
      </c>
      <c r="Q102" s="19" t="s">
        <v>25</v>
      </c>
      <c r="R102" s="20">
        <f>GETPIVOTDATA("Sum of PM FIELD",'Pivot Table'!$A$136,"DAY","Tue")</f>
        <v>69</v>
      </c>
      <c r="S102" s="20">
        <f>SUM(80+80+0+96)</f>
        <v>256</v>
      </c>
      <c r="T102" s="21">
        <f>SUM(R102/S102)</f>
        <v>0.26953125</v>
      </c>
      <c r="U102" s="22"/>
    </row>
    <row r="103" spans="2:21" ht="18" thickTop="1" thickBot="1" x14ac:dyDescent="0.35">
      <c r="B103" s="23" t="s">
        <v>26</v>
      </c>
      <c r="C103" s="30"/>
      <c r="D103" s="31">
        <f>SUM(D100:D102)</f>
        <v>620</v>
      </c>
      <c r="E103" s="31">
        <f>SUM(E100:E102)</f>
        <v>912</v>
      </c>
      <c r="F103" s="32">
        <f>SUM(D103/E103)</f>
        <v>0.67982456140350878</v>
      </c>
      <c r="G103" s="33"/>
      <c r="I103" s="23" t="s">
        <v>26</v>
      </c>
      <c r="J103" s="30"/>
      <c r="K103" s="31">
        <f>SUM(K100:K102)</f>
        <v>532</v>
      </c>
      <c r="L103" s="31">
        <f>SUM(L100:L102)</f>
        <v>728</v>
      </c>
      <c r="M103" s="32">
        <f>SUM(K103/L103)</f>
        <v>0.73076923076923073</v>
      </c>
      <c r="N103" s="33"/>
      <c r="P103" s="23" t="s">
        <v>26</v>
      </c>
      <c r="Q103" s="30"/>
      <c r="R103" s="31">
        <f>SUM(R100:R102)</f>
        <v>339</v>
      </c>
      <c r="S103" s="31">
        <f>SUM(S100:S102)</f>
        <v>584</v>
      </c>
      <c r="T103" s="32">
        <f>SUM(R103/S103)</f>
        <v>0.58047945205479456</v>
      </c>
      <c r="U103" s="33"/>
    </row>
    <row r="104" spans="2:21" ht="17.25" thickBot="1" x14ac:dyDescent="0.35">
      <c r="C104" s="28"/>
      <c r="J104" s="28"/>
      <c r="K104" s="7"/>
      <c r="L104" s="7"/>
      <c r="M104" s="7"/>
      <c r="Q104" s="28"/>
      <c r="R104" s="7"/>
      <c r="S104" s="7"/>
      <c r="T104" s="7"/>
    </row>
    <row r="105" spans="2:21" x14ac:dyDescent="0.3">
      <c r="B105" s="13" t="s">
        <v>31</v>
      </c>
      <c r="C105" s="14" t="s">
        <v>24</v>
      </c>
      <c r="D105" s="15">
        <f>GETPIVOTDATA("Sum of AM FIELD",'Pivot Table'!$A$112,"DAY","Wed")</f>
        <v>259</v>
      </c>
      <c r="E105" s="15">
        <f>108+92+84+108</f>
        <v>392</v>
      </c>
      <c r="F105" s="16">
        <f>SUM(D105/E105)</f>
        <v>0.6607142857142857</v>
      </c>
      <c r="G105" s="17"/>
      <c r="I105" s="13" t="s">
        <v>31</v>
      </c>
      <c r="J105" s="14" t="s">
        <v>24</v>
      </c>
      <c r="K105" s="15">
        <f>GETPIVOTDATA("Sum of AM FIELD",'Pivot Table'!$A$124,"DAY","Wed")</f>
        <v>309</v>
      </c>
      <c r="L105" s="15">
        <f>92+84+108+92+108</f>
        <v>484</v>
      </c>
      <c r="M105" s="16">
        <f>SUM(K105/L105)</f>
        <v>0.63842975206611574</v>
      </c>
      <c r="N105" s="17"/>
      <c r="P105" s="13" t="s">
        <v>31</v>
      </c>
      <c r="Q105" s="14" t="s">
        <v>24</v>
      </c>
      <c r="R105" s="15">
        <f>GETPIVOTDATA("Sum of AM FIELD",'Pivot Table'!$A$136,"DAY","Wed")</f>
        <v>196</v>
      </c>
      <c r="S105" s="15">
        <f>SUM(80+112+0+108)</f>
        <v>300</v>
      </c>
      <c r="T105" s="16">
        <f>SUM(R105/S105)</f>
        <v>0.65333333333333332</v>
      </c>
      <c r="U105" s="17"/>
    </row>
    <row r="106" spans="2:21" ht="17.25" thickBot="1" x14ac:dyDescent="0.35">
      <c r="B106" s="18" t="s">
        <v>31</v>
      </c>
      <c r="C106" s="19" t="s">
        <v>25</v>
      </c>
      <c r="D106" s="20">
        <f>GETPIVOTDATA("Sum of PM FIELD",'Pivot Table'!$A$112,"DAY","Wed")</f>
        <v>229</v>
      </c>
      <c r="E106" s="20">
        <f>88+104+104+88</f>
        <v>384</v>
      </c>
      <c r="F106" s="21">
        <f>SUM(D106/E106)</f>
        <v>0.59635416666666663</v>
      </c>
      <c r="G106" s="22"/>
      <c r="I106" s="18" t="s">
        <v>31</v>
      </c>
      <c r="J106" s="19" t="s">
        <v>25</v>
      </c>
      <c r="K106" s="20">
        <f>GETPIVOTDATA("Sum of PM FIELD",'Pivot Table'!$A$124,"DAY","Wed")</f>
        <v>328</v>
      </c>
      <c r="L106" s="20">
        <f>104+92+88+104+88</f>
        <v>476</v>
      </c>
      <c r="M106" s="21">
        <f>SUM(K106/L106)</f>
        <v>0.68907563025210083</v>
      </c>
      <c r="N106" s="22"/>
      <c r="P106" s="18" t="s">
        <v>31</v>
      </c>
      <c r="Q106" s="19" t="s">
        <v>25</v>
      </c>
      <c r="R106" s="20">
        <f>GETPIVOTDATA("Sum of PM FIELD",'Pivot Table'!$A$136,"DAY","Wed")</f>
        <v>198</v>
      </c>
      <c r="S106" s="20">
        <f>SUM(88+88+0+92)</f>
        <v>268</v>
      </c>
      <c r="T106" s="21">
        <f>SUM(R106/S106)</f>
        <v>0.73880597014925375</v>
      </c>
      <c r="U106" s="22"/>
    </row>
    <row r="107" spans="2:21" ht="18" thickTop="1" thickBot="1" x14ac:dyDescent="0.35">
      <c r="B107" s="23" t="s">
        <v>26</v>
      </c>
      <c r="C107" s="30"/>
      <c r="D107" s="31">
        <f>SUM(D104:D106)</f>
        <v>488</v>
      </c>
      <c r="E107" s="31">
        <f>SUM(E104:E106)</f>
        <v>776</v>
      </c>
      <c r="F107" s="32">
        <f>SUM(D107/E107)</f>
        <v>0.62886597938144329</v>
      </c>
      <c r="G107" s="33"/>
      <c r="I107" s="23" t="s">
        <v>26</v>
      </c>
      <c r="J107" s="30"/>
      <c r="K107" s="31">
        <f>SUM(K104:K106)</f>
        <v>637</v>
      </c>
      <c r="L107" s="31">
        <f>SUM(L104:L106)</f>
        <v>960</v>
      </c>
      <c r="M107" s="32">
        <f>SUM(K107/L107)</f>
        <v>0.6635416666666667</v>
      </c>
      <c r="N107" s="33"/>
      <c r="P107" s="23" t="s">
        <v>26</v>
      </c>
      <c r="Q107" s="30"/>
      <c r="R107" s="31">
        <f>SUM(R104:R106)</f>
        <v>394</v>
      </c>
      <c r="S107" s="31">
        <f>SUM(S104:S106)</f>
        <v>568</v>
      </c>
      <c r="T107" s="32">
        <f>SUM(R107/S107)</f>
        <v>0.69366197183098588</v>
      </c>
      <c r="U107" s="33"/>
    </row>
    <row r="108" spans="2:21" ht="17.25" thickBot="1" x14ac:dyDescent="0.35">
      <c r="C108" s="28"/>
      <c r="J108" s="28"/>
      <c r="K108" s="7"/>
      <c r="L108" s="7"/>
      <c r="M108" s="7"/>
      <c r="Q108" s="28"/>
      <c r="R108" s="7"/>
      <c r="S108" s="7"/>
      <c r="T108" s="7"/>
    </row>
    <row r="109" spans="2:21" x14ac:dyDescent="0.3">
      <c r="B109" s="13" t="s">
        <v>33</v>
      </c>
      <c r="C109" s="14" t="s">
        <v>29</v>
      </c>
      <c r="D109" s="15">
        <f>GETPIVOTDATA("Sum of AM FIELD",'Pivot Table'!$A$112,"DAY","Thu")</f>
        <v>266</v>
      </c>
      <c r="E109" s="15">
        <f>88+80+88+88</f>
        <v>344</v>
      </c>
      <c r="F109" s="16">
        <f>SUM(D109/E109)</f>
        <v>0.77325581395348841</v>
      </c>
      <c r="G109" s="17"/>
      <c r="I109" s="13" t="s">
        <v>33</v>
      </c>
      <c r="J109" s="14" t="s">
        <v>29</v>
      </c>
      <c r="K109" s="15">
        <f>GETPIVOTDATA("Sum of AM FIELD",'Pivot Table'!$A$124,"DAY","Thu")</f>
        <v>397</v>
      </c>
      <c r="L109" s="15">
        <f>88+88+96+88+88</f>
        <v>448</v>
      </c>
      <c r="M109" s="16">
        <f>SUM(K109/L109)</f>
        <v>0.8861607142857143</v>
      </c>
      <c r="N109" s="17"/>
      <c r="P109" s="13" t="s">
        <v>33</v>
      </c>
      <c r="Q109" s="14" t="s">
        <v>29</v>
      </c>
      <c r="R109" s="15">
        <f>GETPIVOTDATA("Sum of AM FIELD",'Pivot Table'!$A$136,"DAY","Thu")</f>
        <v>335</v>
      </c>
      <c r="S109" s="15">
        <f>SUM(92+88+88+88)</f>
        <v>356</v>
      </c>
      <c r="T109" s="16">
        <f>SUM(R109/S109)</f>
        <v>0.9410112359550562</v>
      </c>
      <c r="U109" s="17"/>
    </row>
    <row r="110" spans="2:21" ht="17.25" thickBot="1" x14ac:dyDescent="0.35">
      <c r="B110" s="18" t="s">
        <v>33</v>
      </c>
      <c r="C110" s="19" t="s">
        <v>25</v>
      </c>
      <c r="D110" s="20">
        <f>GETPIVOTDATA("Sum of PM FIELD",'Pivot Table'!$A$112,"DAY","Thu")</f>
        <v>244</v>
      </c>
      <c r="E110" s="20">
        <f>80+88+88+88</f>
        <v>344</v>
      </c>
      <c r="F110" s="21">
        <f t="shared" ref="F110" si="29">SUM(D110/E110)</f>
        <v>0.70930232558139539</v>
      </c>
      <c r="G110" s="22"/>
      <c r="I110" s="18" t="s">
        <v>33</v>
      </c>
      <c r="J110" s="19" t="s">
        <v>25</v>
      </c>
      <c r="K110" s="20">
        <f>GETPIVOTDATA("Sum of PM FIELD",'Pivot Table'!$A$124,"DAY","Thu")</f>
        <v>338</v>
      </c>
      <c r="L110" s="20">
        <f>88+88+88+88+88</f>
        <v>440</v>
      </c>
      <c r="M110" s="21">
        <f t="shared" ref="M110" si="30">SUM(K110/L110)</f>
        <v>0.76818181818181819</v>
      </c>
      <c r="N110" s="22"/>
      <c r="P110" s="18" t="s">
        <v>33</v>
      </c>
      <c r="Q110" s="19" t="s">
        <v>25</v>
      </c>
      <c r="R110" s="20">
        <f>GETPIVOTDATA("Sum of PM FIELD",'Pivot Table'!$A$136,"DAY","Thu")</f>
        <v>286</v>
      </c>
      <c r="S110" s="20">
        <f>SUM(96+96+96+72)</f>
        <v>360</v>
      </c>
      <c r="T110" s="21">
        <f t="shared" ref="T110" si="31">SUM(R110/S110)</f>
        <v>0.7944444444444444</v>
      </c>
      <c r="U110" s="22"/>
    </row>
    <row r="111" spans="2:21" ht="18" thickTop="1" thickBot="1" x14ac:dyDescent="0.35">
      <c r="B111" s="23" t="s">
        <v>26</v>
      </c>
      <c r="C111" s="30"/>
      <c r="D111" s="31">
        <f>SUM(D108:D110)</f>
        <v>510</v>
      </c>
      <c r="E111" s="31">
        <f>SUM(E108:E110)</f>
        <v>688</v>
      </c>
      <c r="F111" s="32">
        <f>SUM(D111/E111)</f>
        <v>0.74127906976744184</v>
      </c>
      <c r="G111" s="33"/>
      <c r="I111" s="23" t="s">
        <v>26</v>
      </c>
      <c r="J111" s="30"/>
      <c r="K111" s="31">
        <f>SUM(K108:K110)</f>
        <v>735</v>
      </c>
      <c r="L111" s="31">
        <f>SUM(L108:L110)</f>
        <v>888</v>
      </c>
      <c r="M111" s="32">
        <f>SUM(K111/L111)</f>
        <v>0.82770270270270274</v>
      </c>
      <c r="N111" s="33"/>
      <c r="P111" s="23" t="s">
        <v>26</v>
      </c>
      <c r="Q111" s="30"/>
      <c r="R111" s="31">
        <f>SUM(R108:R110)</f>
        <v>621</v>
      </c>
      <c r="S111" s="31">
        <f>SUM(S108:S110)</f>
        <v>716</v>
      </c>
      <c r="T111" s="32">
        <f>SUM(R111/S111)</f>
        <v>0.86731843575418999</v>
      </c>
      <c r="U111" s="33"/>
    </row>
    <row r="112" spans="2:21" ht="17.25" thickBot="1" x14ac:dyDescent="0.35">
      <c r="C112" s="28"/>
      <c r="J112" s="28"/>
      <c r="K112" s="7"/>
      <c r="L112" s="7"/>
      <c r="M112" s="7"/>
      <c r="Q112" s="28"/>
      <c r="R112" s="7"/>
      <c r="S112" s="7"/>
      <c r="T112" s="7"/>
    </row>
    <row r="113" spans="2:21" x14ac:dyDescent="0.3">
      <c r="B113" s="13" t="s">
        <v>35</v>
      </c>
      <c r="C113" s="14" t="s">
        <v>29</v>
      </c>
      <c r="D113" s="15">
        <f>GETPIVOTDATA("Sum of AM FIELD",'Pivot Table'!$A$112,"DAY","Fri")</f>
        <v>358</v>
      </c>
      <c r="E113" s="15">
        <f>108+108+88+108</f>
        <v>412</v>
      </c>
      <c r="F113" s="16">
        <f t="shared" ref="F113:F114" si="32">SUM(D113/E113)</f>
        <v>0.8689320388349514</v>
      </c>
      <c r="G113" s="17"/>
      <c r="I113" s="13" t="s">
        <v>35</v>
      </c>
      <c r="J113" s="14" t="s">
        <v>29</v>
      </c>
      <c r="K113" s="15">
        <f>GETPIVOTDATA("Sum of AM FIELD",'Pivot Table'!$A$124,"DAY","Fri")</f>
        <v>355</v>
      </c>
      <c r="L113" s="15">
        <f>108+108+88+88</f>
        <v>392</v>
      </c>
      <c r="M113" s="16">
        <f t="shared" ref="M113:M114" si="33">SUM(K113/L113)</f>
        <v>0.90561224489795922</v>
      </c>
      <c r="N113" s="17"/>
      <c r="P113" s="13" t="s">
        <v>35</v>
      </c>
      <c r="Q113" s="14" t="s">
        <v>29</v>
      </c>
      <c r="R113" s="15">
        <f>GETPIVOTDATA("Sum of AM FIELD",'Pivot Table'!$A$136,"DAY","Fri")</f>
        <v>485</v>
      </c>
      <c r="S113" s="15">
        <f>SUM(96+112+144+108+108)</f>
        <v>568</v>
      </c>
      <c r="T113" s="16">
        <f t="shared" ref="T113:T114" si="34">SUM(R113/S113)</f>
        <v>0.85387323943661975</v>
      </c>
      <c r="U113" s="17"/>
    </row>
    <row r="114" spans="2:21" ht="17.25" thickBot="1" x14ac:dyDescent="0.35">
      <c r="B114" s="18" t="s">
        <v>35</v>
      </c>
      <c r="C114" s="19" t="s">
        <v>25</v>
      </c>
      <c r="D114" s="20">
        <f>GETPIVOTDATA("Sum of PM FIELD",'Pivot Table'!$A$112,"DAY","Fri")</f>
        <v>304</v>
      </c>
      <c r="E114" s="20">
        <f>88+88+88+88</f>
        <v>352</v>
      </c>
      <c r="F114" s="21">
        <f t="shared" si="32"/>
        <v>0.86363636363636365</v>
      </c>
      <c r="G114" s="22"/>
      <c r="I114" s="18" t="s">
        <v>35</v>
      </c>
      <c r="J114" s="19" t="s">
        <v>25</v>
      </c>
      <c r="K114" s="20">
        <f>GETPIVOTDATA("Sum of PM FIELD",'Pivot Table'!$A$124,"DAY","Fri")</f>
        <v>367</v>
      </c>
      <c r="L114" s="20">
        <f>88+88+92+144</f>
        <v>412</v>
      </c>
      <c r="M114" s="21">
        <f t="shared" si="33"/>
        <v>0.89077669902912626</v>
      </c>
      <c r="N114" s="22"/>
      <c r="P114" s="18" t="s">
        <v>35</v>
      </c>
      <c r="Q114" s="19" t="s">
        <v>25</v>
      </c>
      <c r="R114" s="20">
        <f>GETPIVOTDATA("Sum of PM FIELD",'Pivot Table'!$A$136,"DAY","Fri")</f>
        <v>416</v>
      </c>
      <c r="S114" s="20">
        <f>SUM(140+84+68+88+88)</f>
        <v>468</v>
      </c>
      <c r="T114" s="21">
        <f t="shared" si="34"/>
        <v>0.88888888888888884</v>
      </c>
      <c r="U114" s="22"/>
    </row>
    <row r="115" spans="2:21" ht="18" thickTop="1" thickBot="1" x14ac:dyDescent="0.35">
      <c r="B115" s="23" t="s">
        <v>26</v>
      </c>
      <c r="C115" s="30"/>
      <c r="D115" s="31">
        <f>SUM(D112:D114)</f>
        <v>662</v>
      </c>
      <c r="E115" s="31">
        <f>SUM(E112:E114)</f>
        <v>764</v>
      </c>
      <c r="F115" s="32">
        <f>SUM(D115/E115)</f>
        <v>0.86649214659685869</v>
      </c>
      <c r="G115" s="33"/>
      <c r="I115" s="23" t="s">
        <v>26</v>
      </c>
      <c r="J115" s="30"/>
      <c r="K115" s="31">
        <f>SUM(K112:K114)</f>
        <v>722</v>
      </c>
      <c r="L115" s="31">
        <f>SUM(L112:L114)</f>
        <v>804</v>
      </c>
      <c r="M115" s="32">
        <f>SUM(K115/L115)</f>
        <v>0.89800995024875618</v>
      </c>
      <c r="N115" s="33"/>
      <c r="P115" s="23" t="s">
        <v>26</v>
      </c>
      <c r="Q115" s="30"/>
      <c r="R115" s="31">
        <f>SUM(R112:R114)</f>
        <v>901</v>
      </c>
      <c r="S115" s="31">
        <f>SUM(S112:S114)</f>
        <v>1036</v>
      </c>
      <c r="T115" s="32">
        <f>SUM(R115/S115)</f>
        <v>0.86969111969111967</v>
      </c>
      <c r="U115" s="33"/>
    </row>
    <row r="116" spans="2:21" ht="17.25" thickBot="1" x14ac:dyDescent="0.35">
      <c r="C116" s="28"/>
      <c r="J116" s="28"/>
      <c r="K116" s="7"/>
      <c r="L116" s="7"/>
      <c r="M116" s="7"/>
      <c r="Q116" s="28"/>
      <c r="R116" s="7"/>
      <c r="S116" s="7"/>
      <c r="T116" s="7"/>
    </row>
    <row r="117" spans="2:21" x14ac:dyDescent="0.3">
      <c r="B117" s="13" t="s">
        <v>37</v>
      </c>
      <c r="C117" s="14" t="s">
        <v>29</v>
      </c>
      <c r="D117" s="15">
        <f>GETPIVOTDATA("Sum of AM FIELD",'Pivot Table'!$A$112,"DAY","Sat")</f>
        <v>305</v>
      </c>
      <c r="E117" s="15">
        <f>96+96+68+104</f>
        <v>364</v>
      </c>
      <c r="F117" s="16">
        <f t="shared" ref="F117:F118" si="35">SUM(D117/E117)</f>
        <v>0.83791208791208793</v>
      </c>
      <c r="G117" s="17"/>
      <c r="I117" s="13" t="s">
        <v>37</v>
      </c>
      <c r="J117" s="14" t="s">
        <v>29</v>
      </c>
      <c r="K117" s="15">
        <f>GETPIVOTDATA("Sum of AM FIELD",'Pivot Table'!$A$124,"DAY","Sat")</f>
        <v>368</v>
      </c>
      <c r="L117" s="15">
        <f>96+104+104+104</f>
        <v>408</v>
      </c>
      <c r="M117" s="16">
        <f t="shared" ref="M117:M118" si="36">SUM(K117/L117)</f>
        <v>0.90196078431372551</v>
      </c>
      <c r="N117" s="17"/>
      <c r="P117" s="13" t="s">
        <v>37</v>
      </c>
      <c r="Q117" s="14" t="s">
        <v>29</v>
      </c>
      <c r="R117" s="15">
        <f>GETPIVOTDATA("Sum of AM FIELD",'Pivot Table'!$A$136,"DAY","Sat")</f>
        <v>420</v>
      </c>
      <c r="S117" s="15">
        <f>SUM(104+104+104+104+104)</f>
        <v>520</v>
      </c>
      <c r="T117" s="16">
        <f t="shared" ref="T117:T118" si="37">SUM(R117/S117)</f>
        <v>0.80769230769230771</v>
      </c>
      <c r="U117" s="17"/>
    </row>
    <row r="118" spans="2:21" ht="17.25" thickBot="1" x14ac:dyDescent="0.35">
      <c r="B118" s="18" t="s">
        <v>37</v>
      </c>
      <c r="C118" s="19" t="s">
        <v>25</v>
      </c>
      <c r="D118" s="20">
        <f>GETPIVOTDATA("Sum of PM FIELD",'Pivot Table'!$A$112,"DAY","Sat")</f>
        <v>284</v>
      </c>
      <c r="E118" s="20">
        <f>88+64+88+88</f>
        <v>328</v>
      </c>
      <c r="F118" s="21">
        <f t="shared" si="35"/>
        <v>0.86585365853658536</v>
      </c>
      <c r="G118" s="22"/>
      <c r="I118" s="18" t="s">
        <v>37</v>
      </c>
      <c r="J118" s="19" t="s">
        <v>25</v>
      </c>
      <c r="K118" s="20">
        <f>GETPIVOTDATA("Sum of PM FIELD",'Pivot Table'!$A$124,"DAY","Sat")</f>
        <v>233</v>
      </c>
      <c r="L118" s="20">
        <f>88+88+88+88</f>
        <v>352</v>
      </c>
      <c r="M118" s="21">
        <f t="shared" si="36"/>
        <v>0.66193181818181823</v>
      </c>
      <c r="N118" s="22"/>
      <c r="P118" s="18" t="s">
        <v>37</v>
      </c>
      <c r="Q118" s="19" t="s">
        <v>25</v>
      </c>
      <c r="R118" s="20">
        <f>GETPIVOTDATA("Sum of PM FIELD",'Pivot Table'!$A$136,"DAY","Sat")</f>
        <v>245</v>
      </c>
      <c r="S118" s="20">
        <f>SUM(88+88+88+88+88)</f>
        <v>440</v>
      </c>
      <c r="T118" s="21">
        <f t="shared" si="37"/>
        <v>0.55681818181818177</v>
      </c>
      <c r="U118" s="22"/>
    </row>
    <row r="119" spans="2:21" ht="18" thickTop="1" thickBot="1" x14ac:dyDescent="0.35">
      <c r="B119" s="23" t="s">
        <v>26</v>
      </c>
      <c r="C119" s="30"/>
      <c r="D119" s="31">
        <f>SUM(D116:D118)</f>
        <v>589</v>
      </c>
      <c r="E119" s="31">
        <f>SUM(E116:E118)</f>
        <v>692</v>
      </c>
      <c r="F119" s="32">
        <f>SUM(D119/E119)</f>
        <v>0.85115606936416188</v>
      </c>
      <c r="G119" s="33"/>
      <c r="I119" s="23" t="s">
        <v>26</v>
      </c>
      <c r="J119" s="30"/>
      <c r="K119" s="31">
        <f>SUM(K116:K118)</f>
        <v>601</v>
      </c>
      <c r="L119" s="31">
        <f>SUM(L116:L118)</f>
        <v>760</v>
      </c>
      <c r="M119" s="32">
        <f>SUM(K119/L119)</f>
        <v>0.79078947368421049</v>
      </c>
      <c r="N119" s="33"/>
      <c r="P119" s="23" t="s">
        <v>26</v>
      </c>
      <c r="Q119" s="30"/>
      <c r="R119" s="31">
        <f>SUM(R116:R118)</f>
        <v>665</v>
      </c>
      <c r="S119" s="31">
        <f>SUM(S116:S118)</f>
        <v>960</v>
      </c>
      <c r="T119" s="32">
        <f>SUM(R119/S119)</f>
        <v>0.69270833333333337</v>
      </c>
      <c r="U119" s="33"/>
    </row>
    <row r="120" spans="2:21" ht="17.25" thickBot="1" x14ac:dyDescent="0.35">
      <c r="C120" s="28"/>
      <c r="F120" s="34"/>
      <c r="J120" s="28"/>
      <c r="K120" s="7"/>
      <c r="L120" s="7"/>
      <c r="M120" s="34"/>
      <c r="Q120" s="28"/>
      <c r="R120" s="7"/>
      <c r="S120" s="7"/>
      <c r="T120" s="34"/>
    </row>
    <row r="121" spans="2:21" x14ac:dyDescent="0.3">
      <c r="B121" s="13" t="s">
        <v>39</v>
      </c>
      <c r="C121" s="14" t="s">
        <v>29</v>
      </c>
      <c r="D121" s="15">
        <f>GETPIVOTDATA("Sum of AM FIELD",'Pivot Table'!$A$112,"DAY","Sun")</f>
        <v>303</v>
      </c>
      <c r="E121" s="15">
        <f>104+96+32+8+104</f>
        <v>344</v>
      </c>
      <c r="F121" s="16">
        <f t="shared" ref="F121:F122" si="38">SUM(D121/E121)</f>
        <v>0.8808139534883721</v>
      </c>
      <c r="G121" s="17"/>
      <c r="I121" s="13" t="s">
        <v>39</v>
      </c>
      <c r="J121" s="14" t="s">
        <v>29</v>
      </c>
      <c r="K121" s="15">
        <f>GETPIVOTDATA("Sum of AM FIELD",'Pivot Table'!$A$124,"DAY","Sun")</f>
        <v>381</v>
      </c>
      <c r="L121" s="15">
        <f>104+104+104+104</f>
        <v>416</v>
      </c>
      <c r="M121" s="16">
        <f t="shared" ref="M121:M122" si="39">SUM(K121/L121)</f>
        <v>0.91586538461538458</v>
      </c>
      <c r="N121" s="17"/>
      <c r="P121" s="13" t="s">
        <v>39</v>
      </c>
      <c r="Q121" s="14" t="s">
        <v>29</v>
      </c>
      <c r="R121" s="15">
        <f>GETPIVOTDATA("Sum of AM FIELD",'Pivot Table'!$A$136,"DAY","Sun")</f>
        <v>508</v>
      </c>
      <c r="S121" s="15">
        <f>SUM(104+120+104+104+104)</f>
        <v>536</v>
      </c>
      <c r="T121" s="16">
        <f t="shared" ref="T121:T122" si="40">SUM(R121/S121)</f>
        <v>0.94776119402985071</v>
      </c>
      <c r="U121" s="17"/>
    </row>
    <row r="122" spans="2:21" ht="17.25" thickBot="1" x14ac:dyDescent="0.35">
      <c r="B122" s="18" t="s">
        <v>39</v>
      </c>
      <c r="C122" s="19" t="s">
        <v>25</v>
      </c>
      <c r="D122" s="20">
        <f>GETPIVOTDATA("Sum of PM FIELD",'Pivot Table'!$A$112,"DAY","Sun")</f>
        <v>352</v>
      </c>
      <c r="E122" s="20">
        <f>88+88+124+0+96</f>
        <v>396</v>
      </c>
      <c r="F122" s="21">
        <f t="shared" si="38"/>
        <v>0.88888888888888884</v>
      </c>
      <c r="G122" s="22"/>
      <c r="I122" s="18" t="s">
        <v>39</v>
      </c>
      <c r="J122" s="19" t="s">
        <v>25</v>
      </c>
      <c r="K122" s="20">
        <f>GETPIVOTDATA("Sum of PM FIELD",'Pivot Table'!$A$124,"DAY","Sun")</f>
        <v>348</v>
      </c>
      <c r="L122" s="20">
        <f>92+92+96+88</f>
        <v>368</v>
      </c>
      <c r="M122" s="21">
        <f t="shared" si="39"/>
        <v>0.94565217391304346</v>
      </c>
      <c r="N122" s="22"/>
      <c r="P122" s="18" t="s">
        <v>39</v>
      </c>
      <c r="Q122" s="19" t="s">
        <v>25</v>
      </c>
      <c r="R122" s="20">
        <f>GETPIVOTDATA("Sum of PM FIELD",'Pivot Table'!$A$136,"DAY","Sun")</f>
        <v>358</v>
      </c>
      <c r="S122" s="20">
        <f>SUM(108+36+96+96+96)</f>
        <v>432</v>
      </c>
      <c r="T122" s="21">
        <f t="shared" si="40"/>
        <v>0.82870370370370372</v>
      </c>
      <c r="U122" s="22"/>
    </row>
    <row r="123" spans="2:21" ht="18" thickTop="1" thickBot="1" x14ac:dyDescent="0.35">
      <c r="B123" s="23" t="s">
        <v>26</v>
      </c>
      <c r="C123" s="30"/>
      <c r="D123" s="31">
        <f>SUM(D120:D122)</f>
        <v>655</v>
      </c>
      <c r="E123" s="31">
        <f>SUM(E120:E122)</f>
        <v>740</v>
      </c>
      <c r="F123" s="32">
        <f>SUM(D123/E123)</f>
        <v>0.88513513513513509</v>
      </c>
      <c r="G123" s="33"/>
      <c r="I123" s="23" t="s">
        <v>26</v>
      </c>
      <c r="J123" s="30"/>
      <c r="K123" s="31">
        <f>SUM(K120:K122)</f>
        <v>729</v>
      </c>
      <c r="L123" s="31">
        <f>SUM(L120:L122)</f>
        <v>784</v>
      </c>
      <c r="M123" s="32">
        <f>SUM(K123/L123)</f>
        <v>0.92984693877551017</v>
      </c>
      <c r="N123" s="33"/>
      <c r="P123" s="23" t="s">
        <v>26</v>
      </c>
      <c r="Q123" s="30"/>
      <c r="R123" s="31">
        <f>SUM(R120:R122)</f>
        <v>866</v>
      </c>
      <c r="S123" s="31">
        <f>SUM(S120:S122)</f>
        <v>968</v>
      </c>
      <c r="T123" s="32">
        <f>SUM(R123/S123)</f>
        <v>0.89462809917355368</v>
      </c>
      <c r="U123" s="33"/>
    </row>
  </sheetData>
  <pageMargins left="0.7" right="0.7" top="0.75" bottom="0.75" header="0.3" footer="0.3"/>
  <pageSetup paperSize="1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5B38-B72D-43D1-B892-AE32FCB63AB8}">
  <dimension ref="B1:O54"/>
  <sheetViews>
    <sheetView topLeftCell="A2" workbookViewId="0">
      <selection activeCell="I23" sqref="I23"/>
    </sheetView>
  </sheetViews>
  <sheetFormatPr defaultRowHeight="16.5" x14ac:dyDescent="0.3"/>
  <cols>
    <col min="1" max="1" width="9.140625" style="35"/>
    <col min="2" max="2" width="34.28515625" style="35" bestFit="1" customWidth="1"/>
    <col min="3" max="3" width="12.85546875" style="35" bestFit="1" customWidth="1"/>
    <col min="4" max="4" width="17.85546875" style="35" customWidth="1"/>
    <col min="5" max="5" width="16.5703125" style="35" bestFit="1" customWidth="1"/>
    <col min="6" max="6" width="18.140625" style="35" customWidth="1"/>
    <col min="7" max="7" width="10" style="35" bestFit="1" customWidth="1"/>
    <col min="8" max="9" width="9.140625" style="35"/>
    <col min="10" max="10" width="35.85546875" style="35" bestFit="1" customWidth="1"/>
    <col min="11" max="11" width="9.140625" style="35"/>
    <col min="12" max="12" width="15.140625" style="35" customWidth="1"/>
    <col min="13" max="13" width="14.5703125" style="35" customWidth="1"/>
    <col min="14" max="14" width="18.7109375" style="35" customWidth="1"/>
    <col min="15" max="15" width="10" style="35" bestFit="1" customWidth="1"/>
    <col min="16" max="16384" width="9.140625" style="35"/>
  </cols>
  <sheetData>
    <row r="1" spans="2:15" ht="17.25" thickBot="1" x14ac:dyDescent="0.35"/>
    <row r="2" spans="2:15" ht="68.25" thickBot="1" x14ac:dyDescent="0.35">
      <c r="B2" s="36" t="s">
        <v>113</v>
      </c>
      <c r="C2" s="37"/>
      <c r="D2" s="38" t="s">
        <v>18</v>
      </c>
      <c r="E2" s="38" t="s">
        <v>19</v>
      </c>
      <c r="F2" s="38" t="s">
        <v>91</v>
      </c>
      <c r="G2" s="37" t="s">
        <v>21</v>
      </c>
      <c r="J2" s="36" t="s">
        <v>112</v>
      </c>
      <c r="K2" s="37"/>
      <c r="L2" s="38" t="s">
        <v>18</v>
      </c>
      <c r="M2" s="38" t="s">
        <v>19</v>
      </c>
      <c r="N2" s="38" t="s">
        <v>91</v>
      </c>
      <c r="O2" s="37" t="s">
        <v>21</v>
      </c>
    </row>
    <row r="3" spans="2:15" ht="17.25" thickBot="1" x14ac:dyDescent="0.35">
      <c r="B3" s="4"/>
      <c r="C3" s="4"/>
      <c r="D3" s="7"/>
      <c r="E3" s="7"/>
      <c r="F3" s="7"/>
      <c r="G3" s="4"/>
    </row>
    <row r="4" spans="2:15" x14ac:dyDescent="0.3">
      <c r="B4" s="13" t="s">
        <v>23</v>
      </c>
      <c r="C4" s="14" t="s">
        <v>24</v>
      </c>
      <c r="D4" s="52">
        <f>'Occupancy Report'!D4+'Occupancy Report'!K4+'Occupancy Report'!R4+'Occupancy Report'!D35+'Occupancy Report'!K35+'Occupancy Report'!R35+'Occupancy Report'!D66+'Occupancy Report'!K66+'Occupancy Report'!R66+'Occupancy Report'!D97+'Occupancy Report'!K97+'Occupancy Report'!R97</f>
        <v>2343</v>
      </c>
      <c r="E4" s="52">
        <f>'Occupancy Report'!E4+'Occupancy Report'!L4+'Occupancy Report'!S4+'Occupancy Report'!S35+'Occupancy Report'!L35+'Occupancy Report'!E35+'Occupancy Report'!E66+'Occupancy Report'!L66+'Occupancy Report'!S66+'Occupancy Report'!S97+'Occupancy Report'!L97+'Occupancy Report'!E97</f>
        <v>3466</v>
      </c>
      <c r="F4" s="53">
        <f>SUM(D4/E4)</f>
        <v>0.6759953837276399</v>
      </c>
      <c r="G4" s="17"/>
      <c r="J4" s="13" t="s">
        <v>8</v>
      </c>
      <c r="K4" s="14" t="s">
        <v>29</v>
      </c>
      <c r="L4" s="15">
        <f>'Occupancy Report'!D4+'Occupancy Report'!D8+'Occupancy Report'!D12+'Occupancy Report'!D16+'Occupancy Report'!D20+'Occupancy Report'!D24+'Occupancy Report'!D28</f>
        <v>2614</v>
      </c>
      <c r="M4" s="15">
        <f>'Occupancy Report'!E4+'Occupancy Report'!E8+'Occupancy Report'!E12+'Occupancy Report'!E16+'Occupancy Report'!E20+'Occupancy Report'!E24+'Occupancy Report'!E28</f>
        <v>3320</v>
      </c>
      <c r="N4" s="53">
        <f t="shared" ref="N4:N5" si="0">SUM(L4/M4)</f>
        <v>0.78734939759036149</v>
      </c>
      <c r="O4" s="17"/>
    </row>
    <row r="5" spans="2:15" x14ac:dyDescent="0.3">
      <c r="B5" s="49" t="s">
        <v>23</v>
      </c>
      <c r="C5" s="5" t="s">
        <v>25</v>
      </c>
      <c r="D5" s="41">
        <f>'Occupancy Report'!D5+'Occupancy Report'!L5+'Occupancy Report'!R5+'Occupancy Report'!R36+'Occupancy Report'!K36+'Occupancy Report'!D36+'Occupancy Report'!D67+'Occupancy Report'!K67+'Occupancy Report'!R67+'Occupancy Report'!R98+'Occupancy Report'!K98+'Occupancy Report'!D98</f>
        <v>3329</v>
      </c>
      <c r="E5" s="41">
        <f>'Occupancy Report'!E5+'Occupancy Report'!L5+'Occupancy Report'!S4+'Occupancy Report'!S36+'Occupancy Report'!L36+'Occupancy Report'!E36+'Occupancy Report'!E67+'Occupancy Report'!L67+'Occupancy Report'!S67+'Occupancy Report'!S98+'Occupancy Report'!L98+'Occupancy Report'!E98</f>
        <v>4104</v>
      </c>
      <c r="F5" s="54">
        <f>SUM(D5/E5)</f>
        <v>0.81115984405458086</v>
      </c>
      <c r="G5" s="50"/>
      <c r="J5" s="49" t="s">
        <v>8</v>
      </c>
      <c r="K5" s="5" t="s">
        <v>25</v>
      </c>
      <c r="L5" s="5">
        <f>'Occupancy Report'!D5+'Occupancy Report'!D9+'Occupancy Report'!D13+'Occupancy Report'!D17+'Occupancy Report'!D21+'Occupancy Report'!D25+'Occupancy Report'!D29</f>
        <v>1773</v>
      </c>
      <c r="M5" s="41">
        <f>'Occupancy Report'!E5+'Occupancy Report'!E9+'Occupancy Report'!E13+'Occupancy Report'!E17+'Occupancy Report'!E21+'Occupancy Report'!E25+'Occupancy Report'!E29</f>
        <v>2804</v>
      </c>
      <c r="N5" s="54">
        <f t="shared" si="0"/>
        <v>0.63231098430813126</v>
      </c>
      <c r="O5" s="50"/>
    </row>
    <row r="6" spans="2:15" ht="17.25" thickBot="1" x14ac:dyDescent="0.35">
      <c r="B6" s="51" t="s">
        <v>27</v>
      </c>
      <c r="C6" s="30"/>
      <c r="D6" s="31">
        <f>SUM(D4:D5)</f>
        <v>5672</v>
      </c>
      <c r="E6" s="31">
        <f>SUM(E4:E5)</f>
        <v>7570</v>
      </c>
      <c r="F6" s="55">
        <f>SUM(D6/E6)</f>
        <v>0.74927344782034344</v>
      </c>
      <c r="G6" s="33"/>
      <c r="J6" s="51" t="s">
        <v>105</v>
      </c>
      <c r="K6" s="30"/>
      <c r="L6" s="31">
        <f>SUM(L4:L5)</f>
        <v>4387</v>
      </c>
      <c r="M6" s="31">
        <f>SUM(M4:M5)</f>
        <v>6124</v>
      </c>
      <c r="N6" s="55">
        <f>SUM(L6/M6)</f>
        <v>0.71636185499673422</v>
      </c>
      <c r="O6" s="33"/>
    </row>
    <row r="7" spans="2:15" ht="17.25" thickBot="1" x14ac:dyDescent="0.35">
      <c r="B7" s="4"/>
      <c r="C7" s="4"/>
      <c r="D7" s="4"/>
      <c r="E7" s="4"/>
      <c r="F7" s="57"/>
      <c r="G7" s="4"/>
      <c r="J7" s="4"/>
      <c r="K7" s="4"/>
      <c r="L7" s="4"/>
      <c r="M7" s="4"/>
      <c r="N7" s="29"/>
      <c r="O7" s="4"/>
    </row>
    <row r="8" spans="2:15" ht="15" customHeight="1" x14ac:dyDescent="0.3">
      <c r="B8" s="13" t="s">
        <v>28</v>
      </c>
      <c r="C8" s="14" t="s">
        <v>29</v>
      </c>
      <c r="D8" s="52">
        <f>'Occupancy Report'!D8+'Occupancy Report'!K8+'Occupancy Report'!R8+'Occupancy Report'!R39+'Occupancy Report'!K39+'Occupancy Report'!D39+'Occupancy Report'!D70+'Occupancy Report'!K70+'Occupancy Report'!R70+'Occupancy Report'!R101+'Occupancy Report'!L101+'Occupancy Report'!D101</f>
        <v>4480</v>
      </c>
      <c r="E8" s="52">
        <f>'Occupancy Report'!E8+'Occupancy Report'!L8+'Occupancy Report'!S8+'Occupancy Report'!S39+'Occupancy Report'!L39+'Occupancy Report'!E39+'Occupancy Report'!E70+'Occupancy Report'!L70+'Occupancy Report'!S70+'Occupancy Report'!S101+'Occupancy Report'!L101+'Occupancy Report'!E101</f>
        <v>5644</v>
      </c>
      <c r="F8" s="53">
        <f t="shared" ref="F8:F29" si="1">SUM(D8/E8)</f>
        <v>0.79376328844790933</v>
      </c>
      <c r="G8" s="17"/>
      <c r="J8" s="13" t="s">
        <v>83</v>
      </c>
      <c r="K8" s="14" t="s">
        <v>29</v>
      </c>
      <c r="L8" s="15">
        <f>'Occupancy Report'!K4+'Occupancy Report'!K8+'Occupancy Report'!K12+'Occupancy Report'!K16+'Occupancy Report'!K20+'Occupancy Report'!K24+'Occupancy Report'!K28</f>
        <v>2290</v>
      </c>
      <c r="M8" s="15">
        <f>'Occupancy Report'!L4+'Occupancy Report'!L8+'Occupancy Report'!L12+'Occupancy Report'!L16+'Occupancy Report'!L20+'Occupancy Report'!L24+'Occupancy Report'!L28</f>
        <v>2744</v>
      </c>
      <c r="N8" s="53">
        <f t="shared" ref="N8:N9" si="2">SUM(L8/M8)</f>
        <v>0.83454810495626819</v>
      </c>
      <c r="O8" s="17"/>
    </row>
    <row r="9" spans="2:15" ht="15" customHeight="1" x14ac:dyDescent="0.3">
      <c r="B9" s="49" t="s">
        <v>28</v>
      </c>
      <c r="C9" s="5" t="s">
        <v>25</v>
      </c>
      <c r="D9" s="41">
        <f>'Occupancy Report'!D9+'Occupancy Report'!K9+'Occupancy Report'!R9+'Occupancy Report'!R40+'Occupancy Report'!K40+'Occupancy Report'!D40+'Occupancy Report'!D71+'Occupancy Report'!K71+'Occupancy Report'!R71+'Occupancy Report'!R102+'Occupancy Report'!L102+'Occupancy Report'!D102</f>
        <v>1670</v>
      </c>
      <c r="E9" s="41">
        <f>'Occupancy Report'!E9+'Occupancy Report'!L9+'Occupancy Report'!S9+'Occupancy Report'!S40+'Occupancy Report'!L40+'Occupancy Report'!E40+'Occupancy Report'!E71+'Occupancy Report'!L71+'Occupancy Report'!S71+'Occupancy Report'!S102+'Occupancy Report'!L102+'Occupancy Report'!E102</f>
        <v>3720</v>
      </c>
      <c r="F9" s="54">
        <f t="shared" si="1"/>
        <v>0.44892473118279569</v>
      </c>
      <c r="G9" s="50"/>
      <c r="J9" s="49" t="s">
        <v>83</v>
      </c>
      <c r="K9" s="5" t="s">
        <v>25</v>
      </c>
      <c r="L9" s="5">
        <f>'Occupancy Report'!K5+'Occupancy Report'!K9+'Occupancy Report'!K13+'Occupancy Report'!K17+'Occupancy Report'!K21+'Occupancy Report'!K25+'Occupancy Report'!K29</f>
        <v>1998</v>
      </c>
      <c r="M9" s="41">
        <f>'Occupancy Report'!L5+'Occupancy Report'!L9+'Occupancy Report'!L13+'Occupancy Report'!L17+'Occupancy Report'!L21+'Occupancy Report'!L25+'Occupancy Report'!L29</f>
        <v>2680</v>
      </c>
      <c r="N9" s="54">
        <f t="shared" si="2"/>
        <v>0.7455223880597015</v>
      </c>
      <c r="O9" s="50"/>
    </row>
    <row r="10" spans="2:15" ht="16.5" customHeight="1" thickBot="1" x14ac:dyDescent="0.35">
      <c r="B10" s="51" t="s">
        <v>30</v>
      </c>
      <c r="C10" s="30"/>
      <c r="D10" s="31">
        <f>SUM(D8:D9)</f>
        <v>6150</v>
      </c>
      <c r="E10" s="31">
        <f>SUM(E8:E9)</f>
        <v>9364</v>
      </c>
      <c r="F10" s="55">
        <f>SUM(D10/E10)</f>
        <v>0.65677061085006405</v>
      </c>
      <c r="G10" s="33"/>
      <c r="J10" s="51" t="s">
        <v>89</v>
      </c>
      <c r="K10" s="30"/>
      <c r="L10" s="31">
        <f>SUM(L8:L9)</f>
        <v>4288</v>
      </c>
      <c r="M10" s="31">
        <f>SUM(M8:M9)</f>
        <v>5424</v>
      </c>
      <c r="N10" s="55">
        <f>SUM(L10/M10)</f>
        <v>0.79056047197640122</v>
      </c>
      <c r="O10" s="33"/>
    </row>
    <row r="11" spans="2:15" ht="15.75" customHeight="1" thickBot="1" x14ac:dyDescent="0.35">
      <c r="B11" s="4"/>
      <c r="C11" s="4"/>
      <c r="D11" s="4"/>
      <c r="E11" s="4"/>
      <c r="F11" s="57"/>
      <c r="G11" s="4"/>
      <c r="J11" s="4"/>
      <c r="K11" s="4"/>
      <c r="L11" s="4"/>
      <c r="M11" s="4"/>
      <c r="N11" s="57"/>
      <c r="O11" s="4"/>
    </row>
    <row r="12" spans="2:15" ht="15" customHeight="1" x14ac:dyDescent="0.3">
      <c r="B12" s="13" t="s">
        <v>31</v>
      </c>
      <c r="C12" s="14" t="s">
        <v>24</v>
      </c>
      <c r="D12" s="52">
        <f>'Occupancy Report'!D12+'Occupancy Report'!K12+'Occupancy Report'!R12+'Occupancy Report'!R43+'Occupancy Report'!K43+'Occupancy Report'!D43+'Occupancy Report'!D74+'Occupancy Report'!K74+'Occupancy Report'!R74+'Occupancy Report'!R105+'Occupancy Report'!L105+'Occupancy Report'!D105</f>
        <v>3429</v>
      </c>
      <c r="E12" s="52">
        <f>'Occupancy Report'!E12+'Occupancy Report'!L12+'Occupancy Report'!S12+'Occupancy Report'!S43+'Occupancy Report'!L43+'Occupancy Report'!E43+'Occupancy Report'!E74+'Occupancy Report'!L74+'Occupancy Report'!S74+'Occupancy Report'!S105+'Occupancy Report'!L105+'Occupancy Report'!E105</f>
        <v>4848</v>
      </c>
      <c r="F12" s="53">
        <f t="shared" si="1"/>
        <v>0.70730198019801982</v>
      </c>
      <c r="G12" s="17"/>
      <c r="J12" s="13" t="s">
        <v>9</v>
      </c>
      <c r="K12" s="14" t="s">
        <v>24</v>
      </c>
      <c r="L12" s="15">
        <f>GETPIVOTDATA("Sum of AM FIELD",'Pivot Table'!$A$28)</f>
        <v>2333</v>
      </c>
      <c r="M12" s="15">
        <f>'Occupancy Report'!S4+'Occupancy Report'!S8+'Occupancy Report'!S12+'Occupancy Report'!S16+'Occupancy Report'!S20+'Occupancy Report'!S24+'Occupancy Report'!S28</f>
        <v>2796</v>
      </c>
      <c r="N12" s="53">
        <f t="shared" ref="N12:N13" si="3">SUM(L12/M12)</f>
        <v>0.83440629470672389</v>
      </c>
      <c r="O12" s="17"/>
    </row>
    <row r="13" spans="2:15" ht="15" customHeight="1" x14ac:dyDescent="0.3">
      <c r="B13" s="49" t="s">
        <v>31</v>
      </c>
      <c r="C13" s="5" t="s">
        <v>25</v>
      </c>
      <c r="D13" s="41">
        <f>'Occupancy Report'!D13+'Occupancy Report'!K13+'Occupancy Report'!R13+'Occupancy Report'!R44+'Occupancy Report'!K44+'Occupancy Report'!D44+'Occupancy Report'!D75+'Occupancy Report'!K75+'Occupancy Report'!R75+'Occupancy Report'!R106+'Occupancy Report'!L106+'Occupancy Report'!D106</f>
        <v>3400</v>
      </c>
      <c r="E13" s="41">
        <f>'Occupancy Report'!E13+'Occupancy Report'!L13+'Occupancy Report'!S13+'Occupancy Report'!S44+'Occupancy Report'!L44+'Occupancy Report'!E44+'Occupancy Report'!E75+'Occupancy Report'!L75+'Occupancy Report'!S75+'Occupancy Report'!S106+'Occupancy Report'!L106+'Occupancy Report'!E106</f>
        <v>4822</v>
      </c>
      <c r="F13" s="54">
        <f t="shared" si="1"/>
        <v>0.70510161758606382</v>
      </c>
      <c r="G13" s="50"/>
      <c r="J13" s="49" t="s">
        <v>9</v>
      </c>
      <c r="K13" s="5" t="s">
        <v>25</v>
      </c>
      <c r="L13" s="5">
        <f>GETPIVOTDATA("Sum of PM FIELD",'Pivot Table'!$A$28)</f>
        <v>2302</v>
      </c>
      <c r="M13" s="41">
        <f>'Occupancy Report'!S5+'Occupancy Report'!S9+'Occupancy Report'!S13+'Occupancy Report'!S17+'Occupancy Report'!S21+'Occupancy Report'!S25+'Occupancy Report'!S29</f>
        <v>2934</v>
      </c>
      <c r="N13" s="54">
        <f t="shared" si="3"/>
        <v>0.78459441036128152</v>
      </c>
      <c r="O13" s="50"/>
    </row>
    <row r="14" spans="2:15" ht="16.5" customHeight="1" thickBot="1" x14ac:dyDescent="0.35">
      <c r="B14" s="51" t="s">
        <v>32</v>
      </c>
      <c r="C14" s="30"/>
      <c r="D14" s="31">
        <f>SUM(D12:D13)</f>
        <v>6829</v>
      </c>
      <c r="E14" s="31">
        <f>SUM(E12:E13)</f>
        <v>9670</v>
      </c>
      <c r="F14" s="55">
        <f>SUM(D14/E14)</f>
        <v>0.70620475698035157</v>
      </c>
      <c r="G14" s="33"/>
      <c r="J14" s="51" t="s">
        <v>90</v>
      </c>
      <c r="K14" s="30"/>
      <c r="L14" s="31">
        <f>SUM(L12:L13)</f>
        <v>4635</v>
      </c>
      <c r="M14" s="31">
        <f>SUM(M12:M13)</f>
        <v>5730</v>
      </c>
      <c r="N14" s="55">
        <f>SUM(L14/M14)</f>
        <v>0.80890052356020947</v>
      </c>
      <c r="O14" s="33"/>
    </row>
    <row r="15" spans="2:15" ht="17.25" thickBot="1" x14ac:dyDescent="0.35">
      <c r="B15" s="4"/>
      <c r="C15" s="4"/>
      <c r="D15" s="4"/>
      <c r="E15" s="4"/>
      <c r="F15" s="57"/>
      <c r="G15" s="4"/>
      <c r="J15" s="4"/>
      <c r="K15" s="4"/>
      <c r="L15" s="4"/>
      <c r="M15" s="4"/>
      <c r="N15" s="29"/>
      <c r="O15" s="4"/>
    </row>
    <row r="16" spans="2:15" ht="15" customHeight="1" x14ac:dyDescent="0.3">
      <c r="B16" s="13" t="s">
        <v>33</v>
      </c>
      <c r="C16" s="14" t="s">
        <v>29</v>
      </c>
      <c r="D16" s="52">
        <f>'Occupancy Report'!D16+'Occupancy Report'!K16+'Occupancy Report'!R16+'Occupancy Report'!R47+'Occupancy Report'!K47+'Occupancy Report'!D47+'Occupancy Report'!D78+'Occupancy Report'!K78+'Occupancy Report'!R78+'Occupancy Report'!R109+'Occupancy Report'!L109+'Occupancy Report'!D109</f>
        <v>3913</v>
      </c>
      <c r="E16" s="52">
        <f>'Occupancy Report'!E16+'Occupancy Report'!L16+'Occupancy Report'!S16+'Occupancy Report'!S47+'Occupancy Report'!L47+'Occupancy Report'!E47+'Occupancy Report'!E78+'Occupancy Report'!L78+'Occupancy Report'!S78+'Occupancy Report'!S109+'Occupancy Report'!L109+'Occupancy Report'!E109</f>
        <v>4300</v>
      </c>
      <c r="F16" s="53">
        <f t="shared" si="1"/>
        <v>0.91</v>
      </c>
      <c r="G16" s="17"/>
      <c r="J16" s="13" t="s">
        <v>10</v>
      </c>
      <c r="K16" s="14" t="s">
        <v>29</v>
      </c>
      <c r="L16" s="15">
        <f>GETPIVOTDATA("Sum of AM FIELD",'Pivot Table'!$A$40)</f>
        <v>2263</v>
      </c>
      <c r="M16" s="15">
        <f>'Occupancy Report'!E35+'Occupancy Report'!E39+'Occupancy Report'!E43+'Occupancy Report'!E47+'Occupancy Report'!E51+'Occupancy Report'!E55+'Occupancy Report'!E59</f>
        <v>2676</v>
      </c>
      <c r="N16" s="53">
        <f t="shared" ref="N16:N17" si="4">SUM(L16/M16)</f>
        <v>0.84566517189835577</v>
      </c>
      <c r="O16" s="17"/>
    </row>
    <row r="17" spans="2:15" ht="15" customHeight="1" x14ac:dyDescent="0.3">
      <c r="B17" s="49" t="s">
        <v>33</v>
      </c>
      <c r="C17" s="5" t="s">
        <v>25</v>
      </c>
      <c r="D17" s="41">
        <f>'Occupancy Report'!D17+'Occupancy Report'!K17+'Occupancy Report'!R17+'Occupancy Report'!R48+'Occupancy Report'!K48+'Occupancy Report'!D48+'Occupancy Report'!D79+'Occupancy Report'!K79+'Occupancy Report'!R79+'Occupancy Report'!R110+'Occupancy Report'!L110+'Occupancy Report'!D110</f>
        <v>3913</v>
      </c>
      <c r="E17" s="41">
        <f>'Occupancy Report'!E17+'Occupancy Report'!L17+'Occupancy Report'!S17+'Occupancy Report'!S48+'Occupancy Report'!L48+'Occupancy Report'!E48+'Occupancy Report'!E79+'Occupancy Report'!L79+'Occupancy Report'!S79+'Occupancy Report'!S110+'Occupancy Report'!L110+'Occupancy Report'!E110</f>
        <v>4776</v>
      </c>
      <c r="F17" s="54">
        <f t="shared" si="1"/>
        <v>0.81930485762144056</v>
      </c>
      <c r="G17" s="50"/>
      <c r="J17" s="49" t="s">
        <v>10</v>
      </c>
      <c r="K17" s="5" t="s">
        <v>25</v>
      </c>
      <c r="L17" s="5">
        <f>GETPIVOTDATA("Sum of PM FIELD",'Pivot Table'!$A$40)</f>
        <v>1923</v>
      </c>
      <c r="M17" s="41">
        <f>'Occupancy Report'!E36+'Occupancy Report'!E40+'Occupancy Report'!E44+'Occupancy Report'!E48+'Occupancy Report'!E52+'Occupancy Report'!E56+'Occupancy Report'!E60</f>
        <v>2512</v>
      </c>
      <c r="N17" s="54">
        <f t="shared" si="4"/>
        <v>0.76552547770700641</v>
      </c>
      <c r="O17" s="50"/>
    </row>
    <row r="18" spans="2:15" ht="16.5" customHeight="1" thickBot="1" x14ac:dyDescent="0.35">
      <c r="B18" s="51" t="s">
        <v>34</v>
      </c>
      <c r="C18" s="30"/>
      <c r="D18" s="31">
        <f>SUM(D16:D17)</f>
        <v>7826</v>
      </c>
      <c r="E18" s="31">
        <f>SUM(E16:E17)</f>
        <v>9076</v>
      </c>
      <c r="F18" s="55">
        <f>SUM(D18/E18)</f>
        <v>0.86227412957249894</v>
      </c>
      <c r="G18" s="33"/>
      <c r="J18" s="51" t="s">
        <v>92</v>
      </c>
      <c r="K18" s="30"/>
      <c r="L18" s="31">
        <f>SUM(L16:L17)</f>
        <v>4186</v>
      </c>
      <c r="M18" s="31">
        <f>SUM(M16:M17)</f>
        <v>5188</v>
      </c>
      <c r="N18" s="55">
        <f>SUM(L18/M18)</f>
        <v>0.80686198920585972</v>
      </c>
      <c r="O18" s="33"/>
    </row>
    <row r="19" spans="2:15" ht="17.25" thickBot="1" x14ac:dyDescent="0.35">
      <c r="B19" s="4"/>
      <c r="C19" s="4"/>
      <c r="D19" s="4"/>
      <c r="E19" s="4"/>
      <c r="F19" s="57"/>
      <c r="G19" s="4"/>
      <c r="J19" s="4"/>
      <c r="K19" s="4"/>
      <c r="L19" s="4"/>
      <c r="M19" s="4"/>
      <c r="N19" s="29"/>
      <c r="O19" s="4"/>
    </row>
    <row r="20" spans="2:15" ht="15" customHeight="1" x14ac:dyDescent="0.3">
      <c r="B20" s="13" t="s">
        <v>35</v>
      </c>
      <c r="C20" s="14" t="s">
        <v>29</v>
      </c>
      <c r="D20" s="52">
        <f>'Occupancy Report'!D20+'Occupancy Report'!K20+'Occupancy Report'!R20+'Occupancy Report'!R51+'Occupancy Report'!K51+'Occupancy Report'!D51+'Occupancy Report'!D82+'Occupancy Report'!K82+'Occupancy Report'!R82+'Occupancy Report'!R113+'Occupancy Report'!L113+'Occupancy Report'!D113</f>
        <v>4523</v>
      </c>
      <c r="E20" s="52">
        <f>'Occupancy Report'!E20+'Occupancy Report'!L20+'Occupancy Report'!S20+'Occupancy Report'!S51+'Occupancy Report'!L51+'Occupancy Report'!E51+'Occupancy Report'!E82+'Occupancy Report'!L82+'Occupancy Report'!S82+'Occupancy Report'!S113+'Occupancy Report'!L113+'Occupancy Report'!E113</f>
        <v>5200</v>
      </c>
      <c r="F20" s="53">
        <f t="shared" si="1"/>
        <v>0.86980769230769228</v>
      </c>
      <c r="G20" s="17"/>
      <c r="J20" s="13" t="s">
        <v>11</v>
      </c>
      <c r="K20" s="14" t="s">
        <v>29</v>
      </c>
      <c r="L20" s="15">
        <f>GETPIVOTDATA("Sum of AM FIELD",'Pivot Table'!$A$52)</f>
        <v>2308</v>
      </c>
      <c r="M20" s="15">
        <f>'Occupancy Report'!L35+'Occupancy Report'!L39+'Occupancy Report'!L43+'Occupancy Report'!L47+'Occupancy Report'!L51+'Occupancy Report'!L55+'Occupancy Report'!L59</f>
        <v>2768</v>
      </c>
      <c r="N20" s="53">
        <f t="shared" ref="N20:N21" si="5">SUM(L20/M20)</f>
        <v>0.83381502890173409</v>
      </c>
      <c r="O20" s="17"/>
    </row>
    <row r="21" spans="2:15" ht="15" customHeight="1" x14ac:dyDescent="0.3">
      <c r="B21" s="49" t="s">
        <v>35</v>
      </c>
      <c r="C21" s="5" t="s">
        <v>25</v>
      </c>
      <c r="D21" s="41">
        <f>'Occupancy Report'!D21+'Occupancy Report'!K21+'Occupancy Report'!R21+'Occupancy Report'!R52+'Occupancy Report'!K52+'Occupancy Report'!D52+'Occupancy Report'!D83+'Occupancy Report'!K83+'Occupancy Report'!R83+'Occupancy Report'!R114+'Occupancy Report'!L114+'Occupancy Report'!D114</f>
        <v>3891</v>
      </c>
      <c r="E21" s="41">
        <f>'Occupancy Report'!E21+'Occupancy Report'!L21+'Occupancy Report'!S21+'Occupancy Report'!S52+'Occupancy Report'!L52+'Occupancy Report'!E52+'Occupancy Report'!E83+'Occupancy Report'!L83+'Occupancy Report'!S83+'Occupancy Report'!S114+'Occupancy Report'!L114+'Occupancy Report'!E114</f>
        <v>4964</v>
      </c>
      <c r="F21" s="54">
        <f t="shared" si="1"/>
        <v>0.78384367445608383</v>
      </c>
      <c r="G21" s="50"/>
      <c r="J21" s="49" t="s">
        <v>11</v>
      </c>
      <c r="K21" s="5" t="s">
        <v>25</v>
      </c>
      <c r="L21" s="5">
        <f>GETPIVOTDATA("Sum of PM FIELD",'Pivot Table'!$A$52)</f>
        <v>1748</v>
      </c>
      <c r="M21" s="41">
        <f>'Occupancy Report'!L60+'Occupancy Report'!L56+'Occupancy Report'!L52+'Occupancy Report'!L48+'Occupancy Report'!L44+'Occupancy Report'!L40+'Occupancy Report'!L36</f>
        <v>2508</v>
      </c>
      <c r="N21" s="54">
        <f t="shared" si="5"/>
        <v>0.69696969696969702</v>
      </c>
      <c r="O21" s="50"/>
    </row>
    <row r="22" spans="2:15" ht="16.5" customHeight="1" thickBot="1" x14ac:dyDescent="0.35">
      <c r="B22" s="51" t="s">
        <v>36</v>
      </c>
      <c r="C22" s="30"/>
      <c r="D22" s="31">
        <f>SUM(D20:D21)</f>
        <v>8414</v>
      </c>
      <c r="E22" s="31">
        <f>SUM(E20:E21)</f>
        <v>10164</v>
      </c>
      <c r="F22" s="55">
        <f>SUM(D22/E22)</f>
        <v>0.82782369146005508</v>
      </c>
      <c r="G22" s="33"/>
      <c r="J22" s="51" t="s">
        <v>93</v>
      </c>
      <c r="K22" s="30"/>
      <c r="L22" s="31">
        <f>SUM(L20:L21)</f>
        <v>4056</v>
      </c>
      <c r="M22" s="31">
        <f>SUM(M20:M21)</f>
        <v>5276</v>
      </c>
      <c r="N22" s="55">
        <f>SUM(L22/M22)</f>
        <v>0.76876421531463235</v>
      </c>
      <c r="O22" s="33"/>
    </row>
    <row r="23" spans="2:15" ht="17.25" thickBot="1" x14ac:dyDescent="0.35">
      <c r="B23" s="4"/>
      <c r="C23" s="4"/>
      <c r="D23" s="4"/>
      <c r="E23" s="4"/>
      <c r="F23" s="57"/>
      <c r="G23" s="4"/>
      <c r="J23" s="4"/>
      <c r="K23" s="4"/>
      <c r="L23" s="4"/>
      <c r="M23" s="4"/>
      <c r="N23" s="29"/>
      <c r="O23" s="4"/>
    </row>
    <row r="24" spans="2:15" ht="15" customHeight="1" x14ac:dyDescent="0.3">
      <c r="B24" s="13" t="s">
        <v>37</v>
      </c>
      <c r="C24" s="14" t="s">
        <v>29</v>
      </c>
      <c r="D24" s="52">
        <f>'Occupancy Report'!D24+'Occupancy Report'!K24+'Occupancy Report'!R24+'Occupancy Report'!R55+'Occupancy Report'!K55+'Occupancy Report'!D55+'Occupancy Report'!D86+'Occupancy Report'!K86+'Occupancy Report'!R86+'Occupancy Report'!R117+'Occupancy Report'!L117+'Occupancy Report'!D117</f>
        <v>4271</v>
      </c>
      <c r="E24" s="52">
        <f>'Occupancy Report'!E24+'Occupancy Report'!L24+'Occupancy Report'!S24+'Occupancy Report'!S55+'Occupancy Report'!L55+'Occupancy Report'!E55+'Occupancy Report'!E86+'Occupancy Report'!L86+'Occupancy Report'!S86+'Occupancy Report'!S117+'Occupancy Report'!L117+'Occupancy Report'!E117</f>
        <v>4808</v>
      </c>
      <c r="F24" s="53">
        <f t="shared" si="1"/>
        <v>0.88831114808652245</v>
      </c>
      <c r="G24" s="17"/>
      <c r="J24" s="13" t="s">
        <v>12</v>
      </c>
      <c r="K24" s="14" t="s">
        <v>29</v>
      </c>
      <c r="L24" s="15">
        <f>GETPIVOTDATA("Sum of AM FIELD",'Pivot Table'!$A$64)</f>
        <v>1911</v>
      </c>
      <c r="M24" s="15">
        <f>'Occupancy Report'!S35+'Occupancy Report'!S39+'Occupancy Report'!S43+'Occupancy Report'!S47+'Occupancy Report'!S51+'Occupancy Report'!S55+'Occupancy Report'!S59</f>
        <v>2496</v>
      </c>
      <c r="N24" s="53">
        <f t="shared" ref="N24:N25" si="6">SUM(L24/M24)</f>
        <v>0.765625</v>
      </c>
      <c r="O24" s="17"/>
    </row>
    <row r="25" spans="2:15" ht="15" customHeight="1" x14ac:dyDescent="0.3">
      <c r="B25" s="49" t="s">
        <v>37</v>
      </c>
      <c r="C25" s="5" t="s">
        <v>25</v>
      </c>
      <c r="D25" s="41">
        <f>'Occupancy Report'!D25+'Occupancy Report'!K25+'Occupancy Report'!R25+'Occupancy Report'!R56+'Occupancy Report'!K56+'Occupancy Report'!D56+'Occupancy Report'!D87+'Occupancy Report'!K87+'Occupancy Report'!R87+'Occupancy Report'!R118+'Occupancy Report'!L118+'Occupancy Report'!D118</f>
        <v>2919</v>
      </c>
      <c r="E25" s="41">
        <f>'Occupancy Report'!E25+'Occupancy Report'!L25+'Occupancy Report'!S25+'Occupancy Report'!S56+'Occupancy Report'!L56+'Occupancy Report'!E56+'Occupancy Report'!E87+'Occupancy Report'!L87+'Occupancy Report'!S87+'Occupancy Report'!S118+'Occupancy Report'!L118+'Occupancy Report'!E118</f>
        <v>4272</v>
      </c>
      <c r="F25" s="54">
        <f t="shared" si="1"/>
        <v>0.6832865168539326</v>
      </c>
      <c r="G25" s="50"/>
      <c r="J25" s="49" t="s">
        <v>12</v>
      </c>
      <c r="K25" s="5" t="s">
        <v>25</v>
      </c>
      <c r="L25" s="5">
        <f>GETPIVOTDATA("Sum of PM FIELD",'Pivot Table'!$A$64)</f>
        <v>1890</v>
      </c>
      <c r="M25" s="41">
        <f>'Occupancy Report'!S36+'Occupancy Report'!S40+'Occupancy Report'!S44+'Occupancy Report'!S48+'Occupancy Report'!S52+'Occupancy Report'!S56+'Occupancy Report'!S60</f>
        <v>2564</v>
      </c>
      <c r="N25" s="54">
        <f t="shared" si="6"/>
        <v>0.73712948517940713</v>
      </c>
      <c r="O25" s="50"/>
    </row>
    <row r="26" spans="2:15" ht="16.5" customHeight="1" thickBot="1" x14ac:dyDescent="0.35">
      <c r="B26" s="51" t="s">
        <v>38</v>
      </c>
      <c r="C26" s="30"/>
      <c r="D26" s="31">
        <f>SUM(D24:D25)</f>
        <v>7190</v>
      </c>
      <c r="E26" s="31">
        <f>SUM(E24:E25)</f>
        <v>9080</v>
      </c>
      <c r="F26" s="55">
        <f>SUM(D26/E26)</f>
        <v>0.79185022026431717</v>
      </c>
      <c r="G26" s="33"/>
      <c r="J26" s="51" t="s">
        <v>94</v>
      </c>
      <c r="K26" s="30"/>
      <c r="L26" s="31">
        <f>SUM(L24:L25)</f>
        <v>3801</v>
      </c>
      <c r="M26" s="31">
        <f>SUM(M24:M25)</f>
        <v>5060</v>
      </c>
      <c r="N26" s="55">
        <f>SUM(L26/M26)</f>
        <v>0.75118577075098814</v>
      </c>
      <c r="O26" s="33"/>
    </row>
    <row r="27" spans="2:15" ht="17.25" thickBot="1" x14ac:dyDescent="0.35">
      <c r="B27" s="4"/>
      <c r="C27" s="4"/>
      <c r="D27" s="4"/>
      <c r="E27" s="4"/>
      <c r="F27" s="57"/>
      <c r="G27" s="4"/>
      <c r="J27" s="4"/>
      <c r="K27" s="4"/>
      <c r="L27" s="4"/>
      <c r="M27" s="4"/>
      <c r="N27" s="29"/>
      <c r="O27" s="4"/>
    </row>
    <row r="28" spans="2:15" ht="15" customHeight="1" x14ac:dyDescent="0.3">
      <c r="B28" s="13" t="s">
        <v>39</v>
      </c>
      <c r="C28" s="14" t="s">
        <v>29</v>
      </c>
      <c r="D28" s="52">
        <f>'Occupancy Report'!D28+'Occupancy Report'!K28+'Occupancy Report'!R28+'Occupancy Report'!R59+'Occupancy Report'!K59+'Occupancy Report'!D59+'Occupancy Report'!D90+'Occupancy Report'!K90+'Occupancy Report'!R90+'Occupancy Report'!R121+'Occupancy Report'!L121+'Occupancy Report'!D121</f>
        <v>4520</v>
      </c>
      <c r="E28" s="52">
        <f>'Occupancy Report'!E28+'Occupancy Report'!L28+'Occupancy Report'!S28+'Occupancy Report'!S59+'Occupancy Report'!L59+'Occupancy Report'!E59+'Occupancy Report'!E90+'Occupancy Report'!L90+'Occupancy Report'!S90+'Occupancy Report'!S121+'Occupancy Report'!L121+'Occupancy Report'!E121</f>
        <v>5048</v>
      </c>
      <c r="F28" s="53">
        <f t="shared" si="1"/>
        <v>0.89540412044374007</v>
      </c>
      <c r="G28" s="17"/>
      <c r="J28" s="13" t="s">
        <v>13</v>
      </c>
      <c r="K28" s="14" t="s">
        <v>29</v>
      </c>
      <c r="L28" s="15">
        <f>'Occupancy Report'!D66+'Occupancy Report'!D70+'Occupancy Report'!D74+'Occupancy Report'!D78+'Occupancy Report'!D82+'Occupancy Report'!D86+'Occupancy Report'!D90</f>
        <v>2160</v>
      </c>
      <c r="M28" s="15">
        <f>'Occupancy Report'!E66+'Occupancy Report'!E70+'Occupancy Report'!E74+'Occupancy Report'!E78+'Occupancy Report'!E82+'Occupancy Report'!E86+'Occupancy Report'!E90</f>
        <v>2668</v>
      </c>
      <c r="N28" s="53">
        <f t="shared" ref="N28:N29" si="7">SUM(L28/M28)</f>
        <v>0.80959520239880056</v>
      </c>
      <c r="O28" s="17"/>
    </row>
    <row r="29" spans="2:15" ht="15" customHeight="1" x14ac:dyDescent="0.3">
      <c r="B29" s="49" t="s">
        <v>39</v>
      </c>
      <c r="C29" s="5" t="s">
        <v>25</v>
      </c>
      <c r="D29" s="41">
        <f>'Occupancy Report'!D29+'Occupancy Report'!K29+'Occupancy Report'!R29+'Occupancy Report'!R60+'Occupancy Report'!K60+'Occupancy Report'!D60+'Occupancy Report'!D91+'Occupancy Report'!K91+'Occupancy Report'!R91+'Occupancy Report'!R122+'Occupancy Report'!L122+'Occupancy Report'!D122</f>
        <v>4206</v>
      </c>
      <c r="E29" s="41">
        <f>'Occupancy Report'!E29+'Occupancy Report'!L29+'Occupancy Report'!S29+'Occupancy Report'!S60+'Occupancy Report'!L60+'Occupancy Report'!E60+'Occupancy Report'!E91+'Occupancy Report'!L91+'Occupancy Report'!S91+'Occupancy Report'!S122+'Occupancy Report'!L122+'Occupancy Report'!E122</f>
        <v>4800</v>
      </c>
      <c r="F29" s="54">
        <f t="shared" si="1"/>
        <v>0.87624999999999997</v>
      </c>
      <c r="G29" s="50"/>
      <c r="J29" s="49" t="s">
        <v>13</v>
      </c>
      <c r="K29" s="5" t="s">
        <v>25</v>
      </c>
      <c r="L29" s="5">
        <f>'Occupancy Report'!D67+'Occupancy Report'!D71+'Occupancy Report'!D75+'Occupancy Report'!D79+'Occupancy Report'!D83+'Occupancy Report'!D87+'Occupancy Report'!D91</f>
        <v>1824</v>
      </c>
      <c r="M29" s="41">
        <f>'Occupancy Report'!E67+'Occupancy Report'!E71+'Occupancy Report'!E75+'Occupancy Report'!E79+'Occupancy Report'!E83++'Occupancy Report'!E87+'Occupancy Report'!E91</f>
        <v>2690</v>
      </c>
      <c r="N29" s="54">
        <f t="shared" si="7"/>
        <v>0.67806691449814127</v>
      </c>
      <c r="O29" s="50"/>
    </row>
    <row r="30" spans="2:15" ht="16.5" customHeight="1" thickBot="1" x14ac:dyDescent="0.35">
      <c r="B30" s="51" t="s">
        <v>40</v>
      </c>
      <c r="C30" s="30"/>
      <c r="D30" s="31">
        <f>SUM(D28:D29)</f>
        <v>8726</v>
      </c>
      <c r="E30" s="31">
        <f>SUM(E28:E29)</f>
        <v>9848</v>
      </c>
      <c r="F30" s="55">
        <f>SUM(D30/E30)</f>
        <v>0.88606823720552397</v>
      </c>
      <c r="G30" s="33"/>
      <c r="J30" s="51" t="s">
        <v>95</v>
      </c>
      <c r="K30" s="30"/>
      <c r="L30" s="31">
        <f>SUM(L28:L29)</f>
        <v>3984</v>
      </c>
      <c r="M30" s="31">
        <f>SUM(M28:M29)</f>
        <v>5358</v>
      </c>
      <c r="N30" s="55">
        <f>SUM(L30/M30)</f>
        <v>0.7435610302351624</v>
      </c>
      <c r="O30" s="33"/>
    </row>
    <row r="31" spans="2:15" ht="17.25" thickBot="1" x14ac:dyDescent="0.35">
      <c r="N31" s="56"/>
    </row>
    <row r="32" spans="2:15" x14ac:dyDescent="0.3">
      <c r="J32" s="13" t="s">
        <v>14</v>
      </c>
      <c r="K32" s="14" t="s">
        <v>29</v>
      </c>
      <c r="L32" s="15">
        <f>'Occupancy Report'!K66+'Occupancy Report'!K70+'Occupancy Report'!K74+'Occupancy Report'!K78+'Occupancy Report'!K82+'Occupancy Report'!K86+'Occupancy Report'!K90</f>
        <v>2166</v>
      </c>
      <c r="M32" s="15">
        <f>'Occupancy Report'!L66+'Occupancy Report'!L70+'Occupancy Report'!L74+'Occupancy Report'!L78+'Occupancy Report'!L82+'Occupancy Report'!L86+'Occupancy Report'!L90</f>
        <v>2780</v>
      </c>
      <c r="N32" s="53">
        <f t="shared" ref="N32:N33" si="8">SUM(L32/M32)</f>
        <v>0.77913669064748203</v>
      </c>
      <c r="O32" s="17"/>
    </row>
    <row r="33" spans="10:15" x14ac:dyDescent="0.3">
      <c r="J33" s="49" t="s">
        <v>14</v>
      </c>
      <c r="K33" s="5" t="s">
        <v>25</v>
      </c>
      <c r="L33" s="5">
        <f>'Occupancy Report'!K67+'Occupancy Report'!K71+'Occupancy Report'!K75+'Occupancy Report'!K79+'Occupancy Report'!K83+'Occupancy Report'!K87+'Occupancy Report'!K91</f>
        <v>1826</v>
      </c>
      <c r="M33" s="41">
        <f>'Occupancy Report'!L67+'Occupancy Report'!L71+'Occupancy Report'!L75+'Occupancy Report'!L79+'Occupancy Report'!L83+'Occupancy Report'!L87+'Occupancy Report'!L91</f>
        <v>2750</v>
      </c>
      <c r="N33" s="54">
        <f t="shared" si="8"/>
        <v>0.66400000000000003</v>
      </c>
      <c r="O33" s="50"/>
    </row>
    <row r="34" spans="10:15" ht="17.25" thickBot="1" x14ac:dyDescent="0.35">
      <c r="J34" s="51" t="s">
        <v>96</v>
      </c>
      <c r="K34" s="30"/>
      <c r="L34" s="31">
        <f>SUM(L32:L33)</f>
        <v>3992</v>
      </c>
      <c r="M34" s="31">
        <f>SUM(M32:M33)</f>
        <v>5530</v>
      </c>
      <c r="N34" s="55">
        <f>SUM(L34/M34)</f>
        <v>0.72188065099457499</v>
      </c>
      <c r="O34" s="33"/>
    </row>
    <row r="35" spans="10:15" ht="17.25" thickBot="1" x14ac:dyDescent="0.35">
      <c r="J35" s="4"/>
      <c r="K35" s="4"/>
      <c r="L35" s="4"/>
      <c r="M35" s="4"/>
      <c r="N35" s="29"/>
      <c r="O35" s="4"/>
    </row>
    <row r="36" spans="10:15" x14ac:dyDescent="0.3">
      <c r="J36" s="13" t="s">
        <v>15</v>
      </c>
      <c r="K36" s="14" t="s">
        <v>24</v>
      </c>
      <c r="L36" s="15">
        <f>'Occupancy Report'!R66+'Occupancy Report'!R70+'Occupancy Report'!R74+'Occupancy Report'!R78+'Occupancy Report'!R82+'Occupancy Report'!R86+'Occupancy Report'!R90</f>
        <v>2237</v>
      </c>
      <c r="M36" s="15">
        <f>'Occupancy Report'!S66+'Occupancy Report'!S70+'Occupancy Report'!S74+'Occupancy Report'!S78+'Occupancy Report'!S82+'Occupancy Report'!S86+'Occupancy Report'!S90</f>
        <v>2744</v>
      </c>
      <c r="N36" s="53">
        <f t="shared" ref="N36:N37" si="9">SUM(L36/M36)</f>
        <v>0.81523323615160348</v>
      </c>
      <c r="O36" s="17"/>
    </row>
    <row r="37" spans="10:15" x14ac:dyDescent="0.3">
      <c r="J37" s="49" t="s">
        <v>15</v>
      </c>
      <c r="K37" s="5" t="s">
        <v>25</v>
      </c>
      <c r="L37" s="41">
        <f>'Occupancy Report'!R67+'Occupancy Report'!R71+'Occupancy Report'!R75+'Occupancy Report'!R79+'Occupancy Report'!R83+'Occupancy Report'!R87+'Occupancy Report'!R91</f>
        <v>1826</v>
      </c>
      <c r="M37" s="41">
        <f>'Occupancy Report'!S67+'Occupancy Report'!S71+'Occupancy Report'!S75+'Occupancy Report'!S79+'Occupancy Report'!S83+'Occupancy Report'!S87+'Occupancy Report'!S91</f>
        <v>2548</v>
      </c>
      <c r="N37" s="54">
        <f t="shared" si="9"/>
        <v>0.71664050235478804</v>
      </c>
      <c r="O37" s="50"/>
    </row>
    <row r="38" spans="10:15" ht="17.25" thickBot="1" x14ac:dyDescent="0.35">
      <c r="J38" s="51" t="s">
        <v>97</v>
      </c>
      <c r="K38" s="30"/>
      <c r="L38" s="31">
        <f>SUM(L36:L37)</f>
        <v>4063</v>
      </c>
      <c r="M38" s="31">
        <f>SUM(M36:M37)</f>
        <v>5292</v>
      </c>
      <c r="N38" s="55">
        <f>SUM(L38/M38)</f>
        <v>0.76776266061980347</v>
      </c>
      <c r="O38" s="33"/>
    </row>
    <row r="39" spans="10:15" ht="17.25" thickBot="1" x14ac:dyDescent="0.35">
      <c r="J39" s="4"/>
      <c r="K39" s="4"/>
      <c r="L39" s="4"/>
      <c r="M39" s="4"/>
      <c r="N39" s="29"/>
      <c r="O39" s="4"/>
    </row>
    <row r="40" spans="10:15" x14ac:dyDescent="0.3">
      <c r="J40" s="13" t="s">
        <v>16</v>
      </c>
      <c r="K40" s="14" t="s">
        <v>29</v>
      </c>
      <c r="L40" s="15">
        <f>GETPIVOTDATA("Sum of AM FIELD",'Pivot Table'!$A$112)</f>
        <v>2147</v>
      </c>
      <c r="M40" s="15">
        <f>'Occupancy Report'!E97+'Occupancy Report'!E101+'Occupancy Report'!E105+'Occupancy Report'!E109+'Occupancy Report'!E113+'Occupancy Report'!E117+'Occupancy Report'!E121</f>
        <v>2762</v>
      </c>
      <c r="N40" s="53">
        <f t="shared" ref="N40:N41" si="10">SUM(L40/M40)</f>
        <v>0.77733526430123101</v>
      </c>
      <c r="O40" s="17"/>
    </row>
    <row r="41" spans="10:15" x14ac:dyDescent="0.3">
      <c r="J41" s="49" t="s">
        <v>16</v>
      </c>
      <c r="K41" s="5" t="s">
        <v>25</v>
      </c>
      <c r="L41" s="5">
        <f>GETPIVOTDATA("Sum of PM FIELD",'Pivot Table'!$A$112)</f>
        <v>1883</v>
      </c>
      <c r="M41" s="41">
        <f>'Occupancy Report'!E98+'Occupancy Report'!E102+'Occupancy Report'!E106+'Occupancy Report'!E110+'Occupancy Report'!E114+'Occupancy Report'!E118+'Occupancy Report'!E122</f>
        <v>2588</v>
      </c>
      <c r="N41" s="54">
        <f t="shared" si="10"/>
        <v>0.72758887171561049</v>
      </c>
      <c r="O41" s="50"/>
    </row>
    <row r="42" spans="10:15" ht="17.25" thickBot="1" x14ac:dyDescent="0.35">
      <c r="J42" s="51" t="s">
        <v>98</v>
      </c>
      <c r="K42" s="30"/>
      <c r="L42" s="31">
        <f>SUM(L40:L41)</f>
        <v>4030</v>
      </c>
      <c r="M42" s="31">
        <f>SUM(M40:M41)</f>
        <v>5350</v>
      </c>
      <c r="N42" s="55">
        <f>SUM(L42/M42)</f>
        <v>0.75327102803738322</v>
      </c>
      <c r="O42" s="33"/>
    </row>
    <row r="43" spans="10:15" ht="17.25" thickBot="1" x14ac:dyDescent="0.35">
      <c r="J43" s="4"/>
      <c r="K43" s="4"/>
      <c r="L43" s="4"/>
      <c r="M43" s="4"/>
      <c r="N43" s="29"/>
      <c r="O43" s="4"/>
    </row>
    <row r="44" spans="10:15" x14ac:dyDescent="0.3">
      <c r="J44" s="13" t="s">
        <v>68</v>
      </c>
      <c r="K44" s="14" t="s">
        <v>29</v>
      </c>
      <c r="L44" s="15">
        <f>GETPIVOTDATA("Sum of AM FIELD",'Pivot Table'!$A$124)</f>
        <v>2386</v>
      </c>
      <c r="M44" s="15">
        <f>'Occupancy Report'!L97+'Occupancy Report'!L101+'Occupancy Report'!L105+'Occupancy Report'!L109+'Occupancy Report'!L113+'Occupancy Report'!L117+'Occupancy Report'!L121</f>
        <v>2892</v>
      </c>
      <c r="N44" s="53">
        <f t="shared" ref="N44:N45" si="11">SUM(L44/M44)</f>
        <v>0.8250345781466113</v>
      </c>
      <c r="O44" s="17"/>
    </row>
    <row r="45" spans="10:15" x14ac:dyDescent="0.3">
      <c r="J45" s="49" t="s">
        <v>68</v>
      </c>
      <c r="K45" s="5" t="s">
        <v>25</v>
      </c>
      <c r="L45" s="5">
        <f>GETPIVOTDATA("Sum of PM FIELD",'Pivot Table'!$A$124)</f>
        <v>2031</v>
      </c>
      <c r="M45" s="41">
        <f>'Occupancy Report'!L98+'Occupancy Report'!L102+'Occupancy Report'!L106+'Occupancy Report'!L110+'Occupancy Report'!L114+'Occupancy Report'!L118+'Occupancy Report'!L122</f>
        <v>2632</v>
      </c>
      <c r="N45" s="54">
        <f t="shared" si="11"/>
        <v>0.77165653495440734</v>
      </c>
      <c r="O45" s="50"/>
    </row>
    <row r="46" spans="10:15" ht="17.25" thickBot="1" x14ac:dyDescent="0.35">
      <c r="J46" s="51" t="s">
        <v>99</v>
      </c>
      <c r="K46" s="30"/>
      <c r="L46" s="31">
        <f>SUM(L44:L45)</f>
        <v>4417</v>
      </c>
      <c r="M46" s="31">
        <f>SUM(M44:M45)</f>
        <v>5524</v>
      </c>
      <c r="N46" s="55">
        <f>SUM(L46/M46)</f>
        <v>0.79960173787110789</v>
      </c>
      <c r="O46" s="33"/>
    </row>
    <row r="47" spans="10:15" ht="17.25" thickBot="1" x14ac:dyDescent="0.35">
      <c r="J47" s="4"/>
      <c r="K47" s="4"/>
      <c r="L47" s="4"/>
      <c r="M47" s="4"/>
      <c r="N47" s="29"/>
      <c r="O47" s="4"/>
    </row>
    <row r="48" spans="10:15" x14ac:dyDescent="0.3">
      <c r="J48" s="13" t="s">
        <v>17</v>
      </c>
      <c r="K48" s="14" t="s">
        <v>29</v>
      </c>
      <c r="L48" s="15">
        <f>GETPIVOTDATA("Sum of AM FIELD",'Pivot Table'!$A$136)</f>
        <v>2270</v>
      </c>
      <c r="M48" s="15">
        <f>SUM('Occupancy Report'!S97+'Occupancy Report'!S101+'Occupancy Report'!S105+'Occupancy Report'!S109+'Occupancy Report'!S113+'Occupancy Report'!S117+'Occupancy Report'!S121)</f>
        <v>2668</v>
      </c>
      <c r="N48" s="53">
        <f t="shared" ref="N48:N49" si="12">SUM(L48/M48)</f>
        <v>0.85082458770614688</v>
      </c>
      <c r="O48" s="17"/>
    </row>
    <row r="49" spans="10:15" x14ac:dyDescent="0.3">
      <c r="J49" s="49" t="s">
        <v>17</v>
      </c>
      <c r="K49" s="5" t="s">
        <v>25</v>
      </c>
      <c r="L49" s="5">
        <f>GETPIVOTDATA("Sum of PM FIELD",'Pivot Table'!$A$136)</f>
        <v>1642</v>
      </c>
      <c r="M49" s="41">
        <f>SUM('Occupancy Report'!S98+'Occupancy Report'!S102+'Occupancy Report'!S106+'Occupancy Report'!S110+'Occupancy Report'!S114+'Occupancy Report'!S118+'Occupancy Report'!S122)</f>
        <v>2328</v>
      </c>
      <c r="N49" s="54">
        <f t="shared" si="12"/>
        <v>0.7053264604810997</v>
      </c>
      <c r="O49" s="50"/>
    </row>
    <row r="50" spans="10:15" ht="17.25" thickBot="1" x14ac:dyDescent="0.35">
      <c r="J50" s="51" t="s">
        <v>100</v>
      </c>
      <c r="K50" s="30"/>
      <c r="L50" s="31">
        <f>SUM(L48:L49)</f>
        <v>3912</v>
      </c>
      <c r="M50" s="31">
        <f>SUM(M48:M49)</f>
        <v>4996</v>
      </c>
      <c r="N50" s="55">
        <f>SUM(L50/M50)</f>
        <v>0.78302642113690957</v>
      </c>
      <c r="O50" s="33"/>
    </row>
    <row r="51" spans="10:15" x14ac:dyDescent="0.3">
      <c r="J51" s="4"/>
      <c r="K51" s="4"/>
      <c r="L51" s="4"/>
      <c r="M51" s="4"/>
      <c r="N51" s="29"/>
      <c r="O51" s="4"/>
    </row>
    <row r="52" spans="10:15" x14ac:dyDescent="0.3">
      <c r="J52" s="4"/>
      <c r="K52" s="28"/>
      <c r="L52" s="7"/>
      <c r="M52" s="7"/>
      <c r="N52" s="34"/>
      <c r="O52" s="4"/>
    </row>
    <row r="53" spans="10:15" x14ac:dyDescent="0.3">
      <c r="J53" s="4"/>
      <c r="K53" s="4"/>
      <c r="L53" s="4"/>
      <c r="M53" s="4"/>
      <c r="N53" s="29"/>
      <c r="O53" s="4"/>
    </row>
    <row r="54" spans="10:15" x14ac:dyDescent="0.3">
      <c r="J54" s="11"/>
      <c r="K54" s="28"/>
      <c r="L54" s="42"/>
      <c r="M54" s="42"/>
      <c r="N54" s="43"/>
      <c r="O54" s="4"/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EE92F-5421-439D-BC2B-62B0ECF3D46F}">
  <dimension ref="B2:U69"/>
  <sheetViews>
    <sheetView showGridLines="0" workbookViewId="0">
      <selection activeCell="K24" sqref="K24"/>
    </sheetView>
  </sheetViews>
  <sheetFormatPr defaultColWidth="9.140625" defaultRowHeight="16.5" x14ac:dyDescent="0.25"/>
  <cols>
    <col min="1" max="1" width="4.140625" style="8" customWidth="1"/>
    <col min="2" max="2" width="18.140625" style="8" customWidth="1"/>
    <col min="3" max="4" width="9.140625" style="8"/>
    <col min="5" max="5" width="18.140625" style="8" customWidth="1"/>
    <col min="6" max="7" width="9.140625" style="8"/>
    <col min="8" max="8" width="18.140625" style="8" customWidth="1"/>
    <col min="9" max="9" width="10.42578125" style="8" bestFit="1" customWidth="1"/>
    <col min="10" max="10" width="9.140625" style="8"/>
    <col min="11" max="11" width="18.140625" style="8" customWidth="1"/>
    <col min="12" max="12" width="9.5703125" style="8" bestFit="1" customWidth="1"/>
    <col min="13" max="13" width="9.140625" style="8"/>
    <col min="14" max="14" width="18.140625" style="8" customWidth="1"/>
    <col min="15" max="15" width="10.42578125" style="8" bestFit="1" customWidth="1"/>
    <col min="16" max="16" width="9.140625" style="8"/>
    <col min="17" max="17" width="18.140625" style="8" customWidth="1"/>
    <col min="18" max="19" width="9.140625" style="8"/>
    <col min="20" max="20" width="18.140625" style="8" customWidth="1"/>
    <col min="21" max="16384" width="9.140625" style="8"/>
  </cols>
  <sheetData>
    <row r="2" spans="2:21" s="39" customFormat="1" ht="21" x14ac:dyDescent="0.25">
      <c r="B2" s="39" t="s">
        <v>41</v>
      </c>
    </row>
    <row r="4" spans="2:21" s="39" customFormat="1" ht="21" x14ac:dyDescent="0.25">
      <c r="B4" s="39" t="s">
        <v>23</v>
      </c>
      <c r="E4" s="39" t="s">
        <v>28</v>
      </c>
      <c r="H4" s="39" t="s">
        <v>31</v>
      </c>
      <c r="K4" s="39" t="s">
        <v>33</v>
      </c>
      <c r="N4" s="39" t="s">
        <v>35</v>
      </c>
      <c r="Q4" s="39" t="s">
        <v>37</v>
      </c>
      <c r="T4" s="39" t="s">
        <v>39</v>
      </c>
    </row>
    <row r="6" spans="2:21" x14ac:dyDescent="0.25">
      <c r="B6" s="44" t="s">
        <v>1</v>
      </c>
      <c r="C6" s="44">
        <f>GETPIVOTDATA("Sum of AM FIELD",'Pivot Table'!$A$4,"DAY","Mon")+GETPIVOTDATA("Sum of AM FIELD",'Pivot Table'!$A$16,"DAY","Mon")+GETPIVOTDATA("Sum of AM FIELD",'Pivot Table'!$A$28,"DAY","Mon")+GETPIVOTDATA("Sum of AM FIELD",'Pivot Table'!$A$40,"DAY","Mon")+GETPIVOTDATA("Sum of AM FIELD",'Pivot Table'!$A$52,"DAY","Mon")+GETPIVOTDATA("Sum of AM FIELD",'Pivot Table'!$A$64,"DAY","Mon")+GETPIVOTDATA("Sum of AM FIELD",'Pivot Table'!$A$76,"DAY","Mon")+GETPIVOTDATA("Sum of AM FIELD",'Pivot Table'!$A$88,"DAY","Mon")+GETPIVOTDATA("Sum of AM FIELD",'Pivot Table'!$A$100,"DAY","Mon")+GETPIVOTDATA("Sum of AM FIELD",'Pivot Table'!$A$112,"DAY","Mon")+GETPIVOTDATA("Sum of AM FIELD",'Pivot Table'!$A$124,"DAY","Mon")+GETPIVOTDATA("Sum of AM FIELD",'Pivot Table'!$A$136,"DAY","Mon")</f>
        <v>2343</v>
      </c>
      <c r="E6" s="44" t="s">
        <v>1</v>
      </c>
      <c r="F6" s="44">
        <f>GETPIVOTDATA("Sum of AM FIELD",'Pivot Table'!$A$4,"DAY","Tue")+GETPIVOTDATA("Sum of AM FIELD",'Pivot Table'!$A$16,"DAY","Tue")+GETPIVOTDATA("Sum of AM FIELD",'Pivot Table'!$A$28,"DAY","Tue")+GETPIVOTDATA("Sum of AM FIELD",'Pivot Table'!$A$40,"DAY","Tue")+GETPIVOTDATA("Sum of AM FIELD",'Pivot Table'!$A$52,"DAY","Tue")+GETPIVOTDATA("Sum of AM FIELD",'Pivot Table'!$A$64,"DAY","Tue")+GETPIVOTDATA("Sum of AM FIELD",'Pivot Table'!$A$76,"DAY","Tue")+GETPIVOTDATA("Sum of AM FIELD",'Pivot Table'!$A$88,"DAY","Tue")+GETPIVOTDATA("Sum of AM FIELD",'Pivot Table'!$A$100,"DAY","Tue")+GETPIVOTDATA("Sum of AM FIELD",'Pivot Table'!$A$112,"DAY","Tue")+GETPIVOTDATA("Sum of AM FIELD",'Pivot Table'!$A$124,"DAY","Tue")+GETPIVOTDATA("Sum of AM FIELD",'Pivot Table'!$A$136,"DAY","Tue")</f>
        <v>4424</v>
      </c>
      <c r="H6" s="44" t="s">
        <v>1</v>
      </c>
      <c r="I6" s="44">
        <f>GETPIVOTDATA("Sum of AM FIELD",'Pivot Table'!$A$4,"DAY","Wed")+GETPIVOTDATA("Sum of AM FIELD",'Pivot Table'!$A$16,"DAY","Wed")+GETPIVOTDATA("Sum of AM FIELD",'Pivot Table'!$A$28,"DAY","Wed")+GETPIVOTDATA("Sum of AM FIELD",'Pivot Table'!$A$40,"DAY","Wed")+GETPIVOTDATA("Sum of AM FIELD",'Pivot Table'!$A$52,"DAY","Wed")+GETPIVOTDATA("Sum of AM FIELD",'Pivot Table'!$A$64,"DAY","Wed")+GETPIVOTDATA("Sum of AM FIELD",'Pivot Table'!$A$76,"DAY","Wed")+GETPIVOTDATA("Sum of AM FIELD",'Pivot Table'!$A$88,"DAY","Wed")+GETPIVOTDATA("Sum of AM FIELD",'Pivot Table'!$A$100,"DAY","Wed")+GETPIVOTDATA("Sum of AM FIELD",'Pivot Table'!$A$112,"DAY","Wed")+GETPIVOTDATA("Sum of AM FIELD",'Pivot Table'!$A$124,"DAY","Wed")+GETPIVOTDATA("Sum of AM FIELD",'Pivot Table'!$A$136,"DAY","Wed")</f>
        <v>3254</v>
      </c>
      <c r="K6" s="44" t="s">
        <v>1</v>
      </c>
      <c r="L6" s="44">
        <f>GETPIVOTDATA("Sum of AM FIELD",'Pivot Table'!$A$4,"DAY","Thu")+GETPIVOTDATA("Sum of AM FIELD",'Pivot Table'!$A$16,"DAY","Thu")+GETPIVOTDATA("Sum of AM FIELD",'Pivot Table'!$A$28,"DAY","Thu")+GETPIVOTDATA("Sum of AM FIELD",'Pivot Table'!$A$40,"DAY","Thu")+GETPIVOTDATA("Sum of AM FIELD",'Pivot Table'!$A$52,"DAY","Thu")+GETPIVOTDATA("Sum of AM FIELD",'Pivot Table'!$A$64,"DAY","Thu")+GETPIVOTDATA("Sum of AM FIELD",'Pivot Table'!$A$76,"DAY","Thu")+GETPIVOTDATA("Sum of AM FIELD",'Pivot Table'!$A$88,"DAY","Thu")+GETPIVOTDATA("Sum of AM FIELD",'Pivot Table'!$A$100,"DAY","Thu")+GETPIVOTDATA("Sum of AM FIELD",'Pivot Table'!$A$112,"DAY","Thu")+GETPIVOTDATA("Sum of AM FIELD",'Pivot Table'!$A$124,"DAY","Thu")+GETPIVOTDATA("Sum of AM FIELD",'Pivot Table'!$A$136,"DAY","Thu")</f>
        <v>3862</v>
      </c>
      <c r="N6" s="44" t="s">
        <v>1</v>
      </c>
      <c r="O6" s="44">
        <f>GETPIVOTDATA("Sum of AM FIELD",'Pivot Table'!$A$4,"DAY","Fri")+GETPIVOTDATA("Sum of AM FIELD",'Pivot Table'!$A$16,"DAY","Fri")+GETPIVOTDATA("Sum of AM FIELD",'Pivot Table'!$A$28,"DAY","Fri")+GETPIVOTDATA("Sum of AM FIELD",'Pivot Table'!$A$40,"DAY","Fri")+GETPIVOTDATA("Sum of AM FIELD",'Pivot Table'!$A$52,"DAY","Fri")+GETPIVOTDATA("Sum of AM FIELD",'Pivot Table'!$A$64,"DAY","Fri")+GETPIVOTDATA("Sum of AM FIELD",'Pivot Table'!$A$76,"DAY","Fri")+GETPIVOTDATA("Sum of AM FIELD",'Pivot Table'!$A$88,"DAY","Fri")+GETPIVOTDATA("Sum of AM FIELD",'Pivot Table'!$A$100,"DAY","Fri")+GETPIVOTDATA("Sum of AM FIELD",'Pivot Table'!$A$112,"DAY","Fri")+GETPIVOTDATA("Sum of AM FIELD",'Pivot Table'!$A$124,"DAY","Fri")+GETPIVOTDATA("Sum of AM FIELD",'Pivot Table'!$A$136,"DAY","Fri")</f>
        <v>4486</v>
      </c>
      <c r="Q6" s="44" t="s">
        <v>1</v>
      </c>
      <c r="R6" s="44">
        <f>GETPIVOTDATA("Sum of AM FIELD",'Pivot Table'!$A$4,"DAY","Sat")+GETPIVOTDATA("Sum of AM FIELD",'Pivot Table'!$A$16,"DAY","Sat")+GETPIVOTDATA("Sum of AM FIELD",'Pivot Table'!$A$28,"DAY","Sat")+GETPIVOTDATA("Sum of AM FIELD",'Pivot Table'!$A$40,"DAY","Sat")+GETPIVOTDATA("Sum of AM FIELD",'Pivot Table'!$A$52,"DAY","Sat")+GETPIVOTDATA("Sum of AM FIELD",'Pivot Table'!$A$64,"DAY","Sat")+GETPIVOTDATA("Sum of AM FIELD",'Pivot Table'!$A$76,"DAY","Sat")+GETPIVOTDATA("Sum of AM FIELD",'Pivot Table'!$A$88,"DAY","Sat")+GETPIVOTDATA("Sum of AM FIELD",'Pivot Table'!$A$100,"DAY","Sat")+GETPIVOTDATA("Sum of AM FIELD",'Pivot Table'!$A$112,"DAY","Sat")+GETPIVOTDATA("Sum of AM FIELD",'Pivot Table'!$A$124,"DAY","Sat")+GETPIVOTDATA("Sum of AM FIELD",'Pivot Table'!$A$136,"DAY","Sat")</f>
        <v>4231</v>
      </c>
      <c r="T6" s="44" t="s">
        <v>1</v>
      </c>
      <c r="U6" s="44">
        <f>GETPIVOTDATA("Sum of AM FIELD",'Pivot Table'!$A$4,"DAY","Sun")+GETPIVOTDATA("Sum of AM FIELD",'Pivot Table'!$A$16,"DAY","Sun")+GETPIVOTDATA("Sum of AM FIELD",'Pivot Table'!$A$28,"DAY","Sun")+GETPIVOTDATA("Sum of AM FIELD",'Pivot Table'!$A$40,"DAY","Sun")+GETPIVOTDATA("Sum of AM FIELD",'Pivot Table'!$A$52,"DAY","Sun")+GETPIVOTDATA("Sum of AM FIELD",'Pivot Table'!$A$64,"DAY","Sun")+GETPIVOTDATA("Sum of AM FIELD",'Pivot Table'!$A$76,"DAY","Sun")+GETPIVOTDATA("Sum of AM FIELD",'Pivot Table'!$A$88,"DAY","Sun")+GETPIVOTDATA("Sum of AM FIELD",'Pivot Table'!$A$100,"DAY","Sun")+GETPIVOTDATA("Sum of AM FIELD",'Pivot Table'!$A$112,"DAY","Sun")+GETPIVOTDATA("Sum of AM FIELD",'Pivot Table'!$A$124,"DAY","Sun")+GETPIVOTDATA("Sum of AM FIELD",'Pivot Table'!$A$136,"DAY","Sun")</f>
        <v>4485</v>
      </c>
    </row>
    <row r="7" spans="2:21" x14ac:dyDescent="0.25">
      <c r="B7" s="44" t="s">
        <v>2</v>
      </c>
      <c r="C7" s="44">
        <f>GETPIVOTDATA("Sum of PM FIELD",'Pivot Table'!$A$4,"DAY","Mon")+GETPIVOTDATA("Sum of PM FIELD",'Pivot Table'!$A$16,"DAY","Mon")+GETPIVOTDATA("Sum of PM FIELD",'Pivot Table'!$A$28,"DAY","Mon")+GETPIVOTDATA("Sum of PM FIELD",'Pivot Table'!$A$40,"DAY","Mon")+GETPIVOTDATA("Sum of PM FIELD",'Pivot Table'!$A$52,"DAY","Mon")+GETPIVOTDATA("Sum of PM FIELD",'Pivot Table'!$A$64,"DAY","Mon")+GETPIVOTDATA("Sum of PM FIELD",'Pivot Table'!$A$76,"DAY","Mon")+GETPIVOTDATA("Sum of PM FIELD",'Pivot Table'!$A$88,"DAY","Mon")++GETPIVOTDATA("Sum of PM FIELD",'Pivot Table'!$A$112,"DAY","Mon")+GETPIVOTDATA("Sum of PM FIELD",'Pivot Table'!$A$100,"DAY","Mon")+GETPIVOTDATA("Sum of PM FIELD",'Pivot Table'!$A$124,"DAY","Mon")+GETPIVOTDATA("Sum of PM FIELD",'Pivot Table'!$A$136,"DAY","Mon")</f>
        <v>3241</v>
      </c>
      <c r="E7" s="44" t="s">
        <v>2</v>
      </c>
      <c r="F7" s="44">
        <f>GETPIVOTDATA("Sum of PM FIELD",'Pivot Table'!$A$4,"DAY","Tue")+GETPIVOTDATA("Sum of PM FIELD",'Pivot Table'!$A$16,"DAY","Tue")+GETPIVOTDATA("Sum of PM FIELD",'Pivot Table'!$A$28,"DAY","Tue")+GETPIVOTDATA("Sum of PM FIELD",'Pivot Table'!$A$40,"DAY","Tue")+GETPIVOTDATA("Sum of PM FIELD",'Pivot Table'!$A$52,"DAY","Tue")+GETPIVOTDATA("Sum of PM FIELD",'Pivot Table'!$A$64,"DAY","Tue")+GETPIVOTDATA("Sum of PM FIELD",'Pivot Table'!$A$76,"DAY","Tue")+GETPIVOTDATA("Sum of PM FIELD",'Pivot Table'!$A$88,"DAY","Tue")+GETPIVOTDATA("Sum of PM FIELD",'Pivot Table'!$A$100,"DAY","Tue")+GETPIVOTDATA("Sum of PM FIELD",'Pivot Table'!$A$112,"DAY","Tue")+GETPIVOTDATA("Sum of PM FIELD",'Pivot Table'!$A$124,"DAY","Tue")+GETPIVOTDATA("Sum of PM FIELD",'Pivot Table'!$A$136,"DAY","Tue")</f>
        <v>1530</v>
      </c>
      <c r="H7" s="44" t="s">
        <v>2</v>
      </c>
      <c r="I7" s="44">
        <f>GETPIVOTDATA("Sum of PM FIELD",'Pivot Table'!$A$4,"DAY","Wed")+GETPIVOTDATA("Sum of PM FIELD",'Pivot Table'!$A$16,"DAY","Wed")+GETPIVOTDATA("Sum of PM FIELD",'Pivot Table'!$A$28,"DAY","Wed")+GETPIVOTDATA("Sum of PM FIELD",'Pivot Table'!$A$40,"DAY","Wed")+GETPIVOTDATA("Sum of PM FIELD",'Pivot Table'!$A$52,"DAY","Wed")+GETPIVOTDATA("Sum of PM FIELD",'Pivot Table'!$A$64,"DAY","Wed")+GETPIVOTDATA("Sum of PM FIELD",'Pivot Table'!$A$76,"DAY","Wed")+GETPIVOTDATA("Sum of PM FIELD",'Pivot Table'!$A$88,"DAY","Wed")+GETPIVOTDATA("Sum of PM FIELD",'Pivot Table'!$A$100,"DAY","Wed")+GETPIVOTDATA("Sum of PM FIELD",'Pivot Table'!$A$112,"DAY","Wed")+GETPIVOTDATA("Sum of PM FIELD",'Pivot Table'!$A$124,"DAY","Wed")+GETPIVOTDATA("Sum of PM FIELD",'Pivot Table'!$A$136,"DAY","Wed")</f>
        <v>3252</v>
      </c>
      <c r="K7" s="44" t="s">
        <v>2</v>
      </c>
      <c r="L7" s="44">
        <f>GETPIVOTDATA("Sum of PM FIELD",'Pivot Table'!$A$4,"DAY","Thu")+GETPIVOTDATA("Sum of PM FIELD",'Pivot Table'!$A$16,"DAY","Thu")+GETPIVOTDATA("Sum of PM FIELD",'Pivot Table'!$A$28,"DAY","Thu")+GETPIVOTDATA("Sum of PM FIELD",'Pivot Table'!$A$40,"DAY","Thu")+GETPIVOTDATA("Sum of PM FIELD",'Pivot Table'!$A$52,"DAY","Thu")+GETPIVOTDATA("Sum of PM FIELD",'Pivot Table'!$A$64,"DAY","Thu")+GETPIVOTDATA("Sum of PM FIELD",'Pivot Table'!$A$76,"DAY","Thu")+GETPIVOTDATA("Sum of PM FIELD",'Pivot Table'!$A$88,"DAY","Thu")+GETPIVOTDATA("Sum of PM FIELD",'Pivot Table'!$A$100,"DAY","Thu")+GETPIVOTDATA("Sum of PM FIELD",'Pivot Table'!$A$112,"DAY","Thu")+GETPIVOTDATA("Sum of PM FIELD",'Pivot Table'!$A$124,"DAY","Thu")+GETPIVOTDATA("Sum of PM FIELD",'Pivot Table'!$A$136,"DAY","Thu")</f>
        <v>3811</v>
      </c>
      <c r="N7" s="44" t="s">
        <v>2</v>
      </c>
      <c r="O7" s="44">
        <f>GETPIVOTDATA("Sum of PM FIELD",'Pivot Table'!$A$4,"DAY","Fri")+GETPIVOTDATA("Sum of PM FIELD",'Pivot Table'!$A$16,"DAY","Fri")+GETPIVOTDATA("Sum of PM FIELD",'Pivot Table'!$A$28,"DAY","Fri")+GETPIVOTDATA("Sum of PM FIELD",'Pivot Table'!$A$40,"DAY","Fri")+GETPIVOTDATA("Sum of PM FIELD",'Pivot Table'!$A$52,"DAY","Fri")+GETPIVOTDATA("Sum of PM FIELD",'Pivot Table'!$A$64,"DAY","Fri")+GETPIVOTDATA("Sum of PM FIELD",'Pivot Table'!$A$76,"DAY","Fri")+GETPIVOTDATA("Sum of PM FIELD",'Pivot Table'!$A$88,"DAY","Fri")+GETPIVOTDATA("Sum of PM FIELD",'Pivot Table'!$A$100,"DAY","Fri")+GETPIVOTDATA("Sum of PM FIELD",'Pivot Table'!$A$112,"DAY","Fri")+GETPIVOTDATA("Sum of PM FIELD",'Pivot Table'!$A$124,"DAY","Fri")+GETPIVOTDATA("Sum of PM FIELD",'Pivot Table'!$A$136,"DAY","Fri")</f>
        <v>3846</v>
      </c>
      <c r="Q7" s="44" t="s">
        <v>2</v>
      </c>
      <c r="R7" s="44">
        <f>GETPIVOTDATA("Sum of PM FIELD",'Pivot Table'!$A$4,"DAY","Sat")+GETPIVOTDATA("Sum of PM FIELD",'Pivot Table'!$A$16,"DAY","Sat")+GETPIVOTDATA("Sum of PM FIELD",'Pivot Table'!$A$28,"DAY","Sat")+GETPIVOTDATA("Sum of PM FIELD",'Pivot Table'!$A$40,"DAY","Sat")+GETPIVOTDATA("Sum of PM FIELD",'Pivot Table'!$A$52,"DAY","Sat")+GETPIVOTDATA("Sum of PM FIELD",'Pivot Table'!$A$64,"DAY","Sat")+GETPIVOTDATA("Sum of PM FIELD",'Pivot Table'!$A$76,"DAY","Sat")+GETPIVOTDATA("Sum of PM FIELD",'Pivot Table'!$A$88,"DAY","Sat")+GETPIVOTDATA("Sum of PM FIELD",'Pivot Table'!$A$100,"DAY","Sat")+GETPIVOTDATA("Sum of PM FIELD",'Pivot Table'!$A$112,"DAY","Sat")+GETPIVOTDATA("Sum of PM FIELD",'Pivot Table'!$A$124,"DAY","Sat")+GETPIVOTDATA("Sum of PM FIELD",'Pivot Table'!$A$136,"DAY","Sat")</f>
        <v>2800</v>
      </c>
      <c r="T7" s="44" t="s">
        <v>2</v>
      </c>
      <c r="U7" s="44">
        <f>GETPIVOTDATA("Sum of PM FIELD",'Pivot Table'!$A$4,"DAY","Sun")+GETPIVOTDATA("Sum of PM FIELD",'Pivot Table'!$A$16,"DAY","Sun")+GETPIVOTDATA("Sum of PM FIELD",'Pivot Table'!$A$28,"DAY","Sun")+GETPIVOTDATA("Sum of PM FIELD",'Pivot Table'!$A$40,"DAY","Sun")+GETPIVOTDATA("Sum of PM FIELD",'Pivot Table'!$A$52,"DAY","Sun")+GETPIVOTDATA("Sum of PM FIELD",'Pivot Table'!$A$64,"DAY","Sun")+GETPIVOTDATA("Sum of PM FIELD",'Pivot Table'!$A$76,"DAY","Sun")+GETPIVOTDATA("Sum of PM FIELD",'Pivot Table'!$A$88,"DAY","Sun")+GETPIVOTDATA("Sum of PM FIELD",'Pivot Table'!$A$100,"DAY","Sun")+GETPIVOTDATA("Sum of PM FIELD",'Pivot Table'!$A$112,"DAY","Sun")+GETPIVOTDATA("Sum of PM FIELD",'Pivot Table'!$A$124,"DAY","Sun")+GETPIVOTDATA("Sum of PM FIELD",'Pivot Table'!$A$136,"DAY","Sun")</f>
        <v>4186</v>
      </c>
    </row>
    <row r="8" spans="2:21" x14ac:dyDescent="0.25">
      <c r="B8" s="44" t="s">
        <v>3</v>
      </c>
      <c r="C8" s="44">
        <f>GETPIVOTDATA("Sum of TOTAL FIELD",'Pivot Table'!$A$4,"DAY","Mon")+GETPIVOTDATA("Sum of TOTAL FIELD",'Pivot Table'!$A$16,"DAY","Mon")+GETPIVOTDATA("Sum of TOTAL FIELD",'Pivot Table'!$A$28,"DAY","Mon")+GETPIVOTDATA("Sum of TOTAL FIELD",'Pivot Table'!$A$40,"DAY","Mon")+GETPIVOTDATA("Sum of TOTAL FIELD",'Pivot Table'!$A$52,"DAY","Mon")+GETPIVOTDATA("Sum of TOTAL FIELD",'Pivot Table'!$A$64,"DAY","Mon")+GETPIVOTDATA("Sum of TOTAL FIELD",'Pivot Table'!$A$76,"DAY","Mon")+GETPIVOTDATA("Sum of TOTAL FIELD",'Pivot Table'!$A$88,"DAY","Mon")+GETPIVOTDATA("Sum of TOTAL FIELD",'Pivot Table'!$A$100,"DAY","Mon")+GETPIVOTDATA("Sum of TOTAL FIELD",'Pivot Table'!$A$112,"DAY","Mon")+GETPIVOTDATA("Sum of TOTAL FIELD",'Pivot Table'!$A$124,"DAY","Mon")+GETPIVOTDATA("Sum of TOTAL FIELD",'Pivot Table'!$A$136,"DAY","Mon")</f>
        <v>5584</v>
      </c>
      <c r="E8" s="44" t="s">
        <v>3</v>
      </c>
      <c r="F8" s="44">
        <f>GETPIVOTDATA("Sum of TOTAL FIELD",'Pivot Table'!$A$4,"DAY","Tue")+GETPIVOTDATA("Sum of TOTAL FIELD",'Pivot Table'!$A$16,"DAY","Tue")+GETPIVOTDATA("Sum of TOTAL FIELD",'Pivot Table'!$A$28,"DAY","Tue")+GETPIVOTDATA("Sum of TOTAL FIELD",'Pivot Table'!$A$40,"DAY","Tue")+GETPIVOTDATA("Sum of TOTAL FIELD",'Pivot Table'!$A$52,"DAY","Tue")+GETPIVOTDATA("Sum of TOTAL FIELD",'Pivot Table'!$A$64,"DAY","Tue")+GETPIVOTDATA("Sum of TOTAL FIELD",'Pivot Table'!$A$76,"DAY","Tue")+GETPIVOTDATA("Sum of TOTAL FIELD",'Pivot Table'!$A$88,"DAY","Tue")+GETPIVOTDATA("Sum of TOTAL FIELD",'Pivot Table'!$A$100,"DAY","Tue")+GETPIVOTDATA("Sum of TOTAL FIELD",'Pivot Table'!$A$112,"DAY","Tue")+GETPIVOTDATA("Sum of TOTAL FIELD",'Pivot Table'!$A$124,"DAY","Tue")+GETPIVOTDATA("Sum of TOTAL FIELD",'Pivot Table'!$A$136,"DAY","Tue")</f>
        <v>5954</v>
      </c>
      <c r="H8" s="44" t="s">
        <v>3</v>
      </c>
      <c r="I8" s="44">
        <f>GETPIVOTDATA("Sum of TOTAL FIELD",'Pivot Table'!$A$4,"DAY","Wed")+GETPIVOTDATA("Sum of TOTAL FIELD",'Pivot Table'!$A$16,"DAY","Wed")+GETPIVOTDATA("Sum of TOTAL FIELD",'Pivot Table'!$A$28,"DAY","Wed")+GETPIVOTDATA("Sum of TOTAL FIELD",'Pivot Table'!$A$40,"DAY","Wed")+GETPIVOTDATA("Sum of TOTAL FIELD",'Pivot Table'!$A$52,"DAY","Wed")+GETPIVOTDATA("Sum of TOTAL FIELD",'Pivot Table'!$A$64,"DAY","Wed")+GETPIVOTDATA("Sum of TOTAL FIELD",'Pivot Table'!$A$76,"DAY","Wed")+GETPIVOTDATA("Sum of TOTAL FIELD",'Pivot Table'!$A$88,"DAY","Wed")+GETPIVOTDATA("Sum of TOTAL FIELD",'Pivot Table'!$A$100,"DAY","Wed")+GETPIVOTDATA("Sum of TOTAL FIELD",'Pivot Table'!$A$112,"DAY","Wed")+GETPIVOTDATA("Sum of TOTAL FIELD",'Pivot Table'!$A$124,"DAY","Wed")+GETPIVOTDATA("Sum of TOTAL FIELD",'Pivot Table'!$A$136,"DAY","Wed")</f>
        <v>6506</v>
      </c>
      <c r="K8" s="44" t="s">
        <v>3</v>
      </c>
      <c r="L8" s="44">
        <f>GETPIVOTDATA("Sum of TOTAL FIELD",'Pivot Table'!$A$4,"DAY","Thu")+GETPIVOTDATA("Sum of TOTAL FIELD",'Pivot Table'!$A$16,"DAY","Thu")+GETPIVOTDATA("Sum of TOTAL FIELD",'Pivot Table'!$A$28,"DAY","Thu")+GETPIVOTDATA("Sum of TOTAL FIELD",'Pivot Table'!$A$40,"DAY","Thu")+GETPIVOTDATA("Sum of TOTAL FIELD",'Pivot Table'!$A$52,"DAY","Thu")+GETPIVOTDATA("Sum of TOTAL FIELD",'Pivot Table'!$A$64,"DAY","Thu")+GETPIVOTDATA("Sum of TOTAL FIELD",'Pivot Table'!$A$76,"DAY","Thu")+GETPIVOTDATA("Sum of TOTAL FIELD",'Pivot Table'!$A$88,"DAY","Thu")+GETPIVOTDATA("Sum of TOTAL FIELD",'Pivot Table'!$A$100,"DAY","Thu")+GETPIVOTDATA("Sum of TOTAL FIELD",'Pivot Table'!$A$112,"DAY","Thu")+GETPIVOTDATA("Sum of TOTAL FIELD",'Pivot Table'!$A$124,"DAY","Thu")+GETPIVOTDATA("Sum of TOTAL FIELD",'Pivot Table'!$A$136,"DAY","Thu")</f>
        <v>7673</v>
      </c>
      <c r="N8" s="44" t="s">
        <v>3</v>
      </c>
      <c r="O8" s="44">
        <f>GETPIVOTDATA("Sum of TOTAL FIELD",'Pivot Table'!$A$4,"DAY","Fri")+GETPIVOTDATA("Sum of TOTAL FIELD",'Pivot Table'!$A$16,"DAY","Fri")+GETPIVOTDATA("Sum of TOTAL FIELD",'Pivot Table'!$A$28,"DAY","Fri")+GETPIVOTDATA("Sum of TOTAL FIELD",'Pivot Table'!$A$40,"DAY","Fri")+GETPIVOTDATA("Sum of TOTAL FIELD",'Pivot Table'!$A$52,"DAY","Fri")+GETPIVOTDATA("Sum of TOTAL FIELD",'Pivot Table'!$A$64,"DAY","Fri")+GETPIVOTDATA("Sum of TOTAL FIELD",'Pivot Table'!$A$76,"DAY","Fri")+GETPIVOTDATA("Sum of TOTAL FIELD",'Pivot Table'!$A$88,"DAY","Fri")+GETPIVOTDATA("Sum of TOTAL FIELD",'Pivot Table'!$A$100,"DAY","Fri")+GETPIVOTDATA("Sum of TOTAL FIELD",'Pivot Table'!$A$112,"DAY","Fri")+GETPIVOTDATA("Sum of TOTAL FIELD",'Pivot Table'!$A$124,"DAY","Fri")+GETPIVOTDATA("Sum of TOTAL FIELD",'Pivot Table'!$A$136,"DAY","Fri")</f>
        <v>8332</v>
      </c>
      <c r="Q8" s="44" t="s">
        <v>3</v>
      </c>
      <c r="R8" s="44">
        <f>GETPIVOTDATA("Sum of TOTAL FIELD",'Pivot Table'!$A$4,"DAY","Sat")+GETPIVOTDATA("Sum of TOTAL FIELD",'Pivot Table'!$A$16,"DAY","Sat")+GETPIVOTDATA("Sum of TOTAL FIELD",'Pivot Table'!$A$28,"DAY","Sat")+GETPIVOTDATA("Sum of TOTAL FIELD",'Pivot Table'!$A$40,"DAY","Sat")+GETPIVOTDATA("Sum of TOTAL FIELD",'Pivot Table'!$A$52,"DAY","Sat")+GETPIVOTDATA("Sum of TOTAL FIELD",'Pivot Table'!$A$64,"DAY","Sat")+GETPIVOTDATA("Sum of TOTAL FIELD",'Pivot Table'!$A$76,"DAY","Sat")+GETPIVOTDATA("Sum of TOTAL FIELD",'Pivot Table'!$A$88,"DAY","Sat")+GETPIVOTDATA("Sum of TOTAL FIELD",'Pivot Table'!$A$100,"DAY","Sat")+GETPIVOTDATA("Sum of TOTAL FIELD",'Pivot Table'!$A$112,"DAY","Sat")+GETPIVOTDATA("Sum of TOTAL FIELD",'Pivot Table'!$A$124,"DAY","Sat")+GETPIVOTDATA("Sum of TOTAL FIELD",'Pivot Table'!$A$136,"DAY","Sat")</f>
        <v>7031</v>
      </c>
      <c r="T8" s="44" t="s">
        <v>3</v>
      </c>
      <c r="U8" s="44">
        <f>GETPIVOTDATA("Sum of TOTAL FIELD",'Pivot Table'!$A$4,"DAY","Sun")+GETPIVOTDATA("Sum of TOTAL FIELD",'Pivot Table'!$A$16,"DAY","Sun")+GETPIVOTDATA("Sum of TOTAL FIELD",'Pivot Table'!$A$28,"DAY","Sun")+GETPIVOTDATA("Sum of TOTAL FIELD",'Pivot Table'!$A$40,"DAY","Sun")+GETPIVOTDATA("Sum of TOTAL FIELD",'Pivot Table'!$A$52,"DAY","Sun")+GETPIVOTDATA("Sum of TOTAL FIELD",'Pivot Table'!$A$64,"DAY","Sun")+GETPIVOTDATA("Sum of TOTAL FIELD",'Pivot Table'!$A$76,"DAY","Sun")+GETPIVOTDATA("Sum of TOTAL FIELD",'Pivot Table'!$A$88,"DAY","Sun")+GETPIVOTDATA("Sum of TOTAL FIELD",'Pivot Table'!$A$100,"DAY","Sun")+GETPIVOTDATA("Sum of TOTAL FIELD",'Pivot Table'!$A$112,"DAY","Sun")+GETPIVOTDATA("Sum of TOTAL FIELD",'Pivot Table'!$A$124,"DAY","Sun")+GETPIVOTDATA("Sum of TOTAL FIELD",'Pivot Table'!$A$136,"DAY","Sun")</f>
        <v>8671</v>
      </c>
    </row>
    <row r="9" spans="2:21" x14ac:dyDescent="0.25">
      <c r="B9" s="44" t="s">
        <v>84</v>
      </c>
      <c r="C9" s="44">
        <f>GETPIVOTDATA("Sum of No. GUESTS",'Pivot Table'!$A$4,"DAY","Mon")+GETPIVOTDATA("Sum of No. GUESTS",'Pivot Table'!$A$16,"DAY","Mon")+GETPIVOTDATA("Sum of No. GUESTS",'Pivot Table'!$A$28,"DAY","Mon")+GETPIVOTDATA("Sum of No. GUESTS",'Pivot Table'!$A$40,"DAY","Mon")+GETPIVOTDATA("Sum of No. GUESTS",'Pivot Table'!$A$52,"DAY","Mon")+GETPIVOTDATA("Sum of No. GUESTS",'Pivot Table'!$A$64,"DAY","Mon")+GETPIVOTDATA("Sum of No. GUESTS",'Pivot Table'!$A$76,"DAY","Mon")+GETPIVOTDATA("Sum of No. GUESTS",'Pivot Table'!$A$88,"DAY","Mon")+GETPIVOTDATA("Sum of No. GUESTS",'Pivot Table'!$A$100,"DAY","Mon")+GETPIVOTDATA("Sum of No. GUESTS",'Pivot Table'!$A$112,"DAY","Mon")+GETPIVOTDATA("Sum of No. GUESTS",'Pivot Table'!$A$124,"DAY","Mon")+GETPIVOTDATA("Sum of No. GUESTS",'Pivot Table'!$A$136,"DAY","Mon")</f>
        <v>1320</v>
      </c>
      <c r="E9" s="44" t="s">
        <v>84</v>
      </c>
      <c r="F9" s="44">
        <f>GETPIVOTDATA("Sum of No. GUESTS",'Pivot Table'!$A$4,"DAY","Tue")+GETPIVOTDATA("Sum of No. GUESTS",'Pivot Table'!$A$16,"DAY","Tue")+GETPIVOTDATA("Sum of No. GUESTS",'Pivot Table'!$A$28,"DAY","Tue")+GETPIVOTDATA("Sum of No. GUESTS",'Pivot Table'!$A$40,"DAY","Tue")+GETPIVOTDATA("Sum of No. GUESTS",'Pivot Table'!$A$52,"DAY","Tue")+GETPIVOTDATA("Sum of No. GUESTS",'Pivot Table'!$A$64,"DAY","Tue")+GETPIVOTDATA("Sum of No. GUESTS",'Pivot Table'!$A$76,"DAY","Tue")+GETPIVOTDATA("Sum of No. GUESTS",'Pivot Table'!$A$88,"DAY","Tue")+GETPIVOTDATA("Sum of No. GUESTS",'Pivot Table'!$A$100,"DAY","Tue")+GETPIVOTDATA("Sum of No. GUESTS",'Pivot Table'!$A$112,"DAY","Tue")+GETPIVOTDATA("Sum of No. GUESTS",'Pivot Table'!$A$124,"DAY","Tue")+GETPIVOTDATA("Sum of No. GUESTS",'Pivot Table'!$A$136,"DAY","Tue")</f>
        <v>242</v>
      </c>
      <c r="H9" s="44" t="s">
        <v>84</v>
      </c>
      <c r="I9" s="44">
        <f>GETPIVOTDATA("Sum of No. GUESTS",'Pivot Table'!$A$4,"DAY","Wed")+GETPIVOTDATA("Sum of No. GUESTS",'Pivot Table'!$A$16,"DAY","Wed")+GETPIVOTDATA("Sum of No. GUESTS",'Pivot Table'!$A$28,"DAY","Wed")+GETPIVOTDATA("Sum of No. GUESTS",'Pivot Table'!$A$40,"DAY","Wed")+GETPIVOTDATA("Sum of No. GUESTS",'Pivot Table'!$A$52,"DAY","Wed")+GETPIVOTDATA("Sum of No. GUESTS",'Pivot Table'!$A$64,"DAY","Wed")+GETPIVOTDATA("Sum of No. GUESTS",'Pivot Table'!$A$76,"DAY","Wed")+GETPIVOTDATA("Sum of No. GUESTS",'Pivot Table'!$A$88,"DAY","Wed")+GETPIVOTDATA("Sum of No. GUESTS",'Pivot Table'!$A$100,"DAY","Wed")+GETPIVOTDATA("Sum of No. GUESTS",'Pivot Table'!$A$112,"DAY","Wed")+GETPIVOTDATA("Sum of No. GUESTS",'Pivot Table'!$A$124,"DAY","Wed")+GETPIVOTDATA("Sum of No. GUESTS",'Pivot Table'!$A$136,"DAY","Wed")</f>
        <v>3133</v>
      </c>
      <c r="K9" s="44" t="s">
        <v>84</v>
      </c>
      <c r="L9" s="44">
        <f>GETPIVOTDATA("Sum of No. GUESTS",'Pivot Table'!$A$4,"DAY","Thu")+GETPIVOTDATA("Sum of No. GUESTS",'Pivot Table'!$A$16,"DAY","Thu")+GETPIVOTDATA("Sum of No. GUESTS",'Pivot Table'!$A$28,"DAY","Thu")+GETPIVOTDATA("Sum of No. GUESTS",'Pivot Table'!$A$40,"DAY","Thu")+GETPIVOTDATA("Sum of No. GUESTS",'Pivot Table'!$A$52,"DAY","Thu")+GETPIVOTDATA("Sum of No. GUESTS",'Pivot Table'!$A$64,"DAY","Thu")+GETPIVOTDATA("Sum of No. GUESTS",'Pivot Table'!$A$76,"DAY","Thu")+GETPIVOTDATA("Sum of No. GUESTS",'Pivot Table'!$A$88,"DAY","Thu")+GETPIVOTDATA("Sum of No. GUESTS",'Pivot Table'!$A$100,"DAY","Thu")+GETPIVOTDATA("Sum of No. GUESTS",'Pivot Table'!$A$112,"DAY","Thu")+GETPIVOTDATA("Sum of No. GUESTS",'Pivot Table'!$A$124,"DAY","Thu")+GETPIVOTDATA("Sum of No. GUESTS",'Pivot Table'!$A$136,"DAY","Thu")</f>
        <v>77</v>
      </c>
      <c r="N9" s="44" t="s">
        <v>84</v>
      </c>
      <c r="O9" s="44">
        <f>GETPIVOTDATA("Sum of No. GUESTS",'Pivot Table'!$A$4,"DAY","Fri")+GETPIVOTDATA("Sum of No. GUESTS",'Pivot Table'!$A$16,"DAY","Fri")+GETPIVOTDATA("Sum of No. GUESTS",'Pivot Table'!$A$28,"DAY","Fri")+GETPIVOTDATA("Sum of No. GUESTS",'Pivot Table'!$A$40,"DAY","Fri")+GETPIVOTDATA("Sum of No. GUESTS",'Pivot Table'!$A$52,"DAY","Fri")+GETPIVOTDATA("Sum of No. GUESTS",'Pivot Table'!$A$64,"DAY","Fri")+GETPIVOTDATA("Sum of No. GUESTS",'Pivot Table'!$A$76,"DAY","Fri")+GETPIVOTDATA("Sum of No. GUESTS",'Pivot Table'!$A$88,"DAY","Fri")+GETPIVOTDATA("Sum of No. GUESTS",'Pivot Table'!$A$100,"DAY","Fri")+GETPIVOTDATA("Sum of No. GUESTS",'Pivot Table'!$A$112,"DAY","Fri")+GETPIVOTDATA("Sum of No. GUESTS",'Pivot Table'!$A$124,"DAY","Fri")+GETPIVOTDATA("Sum of No. GUESTS",'Pivot Table'!$A$136,"DAY","Fri")</f>
        <v>2441</v>
      </c>
      <c r="Q9" s="44" t="s">
        <v>84</v>
      </c>
      <c r="R9" s="44">
        <f>GETPIVOTDATA("Sum of No. GUESTS",'Pivot Table'!$A$4,"DAY","Sat")+GETPIVOTDATA("Sum of No. GUESTS",'Pivot Table'!$A$16,"DAY","Sat")+GETPIVOTDATA("Sum of No. GUESTS",'Pivot Table'!$A$28,"DAY","Sat")+GETPIVOTDATA("Sum of No. GUESTS",'Pivot Table'!$A$40,"DAY","Sat")+GETPIVOTDATA("Sum of No. GUESTS",'Pivot Table'!$A$52,"DAY","Sat")+GETPIVOTDATA("Sum of No. GUESTS",'Pivot Table'!$A$64,"DAY","Sat")+GETPIVOTDATA("Sum of No. GUESTS",'Pivot Table'!$A$76,"DAY","Sat")+GETPIVOTDATA("Sum of No. GUESTS",'Pivot Table'!$A$88,"DAY","Sat")+GETPIVOTDATA("Sum of No. GUESTS",'Pivot Table'!$A$100,"DAY","Sat")+GETPIVOTDATA("Sum of No. GUESTS",'Pivot Table'!$A$112,"DAY","Sat")+GETPIVOTDATA("Sum of No. GUESTS",'Pivot Table'!$A$124,"DAY","Sat")+GETPIVOTDATA("Sum of No. GUESTS",'Pivot Table'!$A$136,"DAY","Sat")</f>
        <v>183</v>
      </c>
      <c r="T9" s="44" t="s">
        <v>84</v>
      </c>
      <c r="U9" s="44">
        <f>GETPIVOTDATA("Sum of No. GUESTS",'Pivot Table'!$A$4,"DAY","Sun")+GETPIVOTDATA("Sum of No. GUESTS",'Pivot Table'!$A$16,"DAY","Sun")+GETPIVOTDATA("Sum of No. GUESTS",'Pivot Table'!$A$28,"DAY","Sun")+GETPIVOTDATA("Sum of No. GUESTS",'Pivot Table'!$A$40,"DAY","Sun")+GETPIVOTDATA("Sum of No. GUESTS",'Pivot Table'!$A$52,"DAY","Sun")+GETPIVOTDATA("Sum of No. GUESTS",'Pivot Table'!$A$64,"DAY","Sun")+GETPIVOTDATA("Sum of No. GUESTS",'Pivot Table'!$A$76,"DAY","Sun")+GETPIVOTDATA("Sum of No. GUESTS",'Pivot Table'!$A$88,"DAY","Sun")+GETPIVOTDATA("Sum of No. GUESTS",'Pivot Table'!$A$100,"DAY","Sun")+GETPIVOTDATA("Sum of No. GUESTS",'Pivot Table'!$A$112,"DAY","Sun")+GETPIVOTDATA("Sum of No. GUESTS",'Pivot Table'!$A$124,"DAY","Sun")+GETPIVOTDATA("Sum of No. GUESTS",'Pivot Table'!$A$136,"DAY","Sun")</f>
        <v>1192</v>
      </c>
    </row>
    <row r="10" spans="2:21" s="62" customFormat="1" ht="33" customHeight="1" x14ac:dyDescent="0.25">
      <c r="B10" s="61" t="s">
        <v>76</v>
      </c>
      <c r="C10" s="64">
        <f>SUM(C9/C8)</f>
        <v>0.23638968481375358</v>
      </c>
      <c r="E10" s="61" t="s">
        <v>76</v>
      </c>
      <c r="F10" s="64">
        <f>SUM(F9/F8)</f>
        <v>4.064494457507558E-2</v>
      </c>
      <c r="H10" s="61" t="s">
        <v>76</v>
      </c>
      <c r="I10" s="64">
        <f>SUM(I9/I8)</f>
        <v>0.48155548724254532</v>
      </c>
      <c r="K10" s="61" t="s">
        <v>76</v>
      </c>
      <c r="L10" s="64">
        <f>SUM(L9/L8)</f>
        <v>1.0035188322689952E-2</v>
      </c>
      <c r="N10" s="61" t="s">
        <v>76</v>
      </c>
      <c r="O10" s="64">
        <f>SUM(O9/O8)</f>
        <v>0.29296687469995197</v>
      </c>
      <c r="Q10" s="61" t="s">
        <v>76</v>
      </c>
      <c r="R10" s="64">
        <f>SUM(R9/R8)</f>
        <v>2.6027592092163276E-2</v>
      </c>
      <c r="T10" s="61" t="s">
        <v>76</v>
      </c>
      <c r="U10" s="64">
        <f>SUM(U9/U8)</f>
        <v>0.13746972667512397</v>
      </c>
    </row>
    <row r="11" spans="2:21" x14ac:dyDescent="0.25">
      <c r="B11" s="40" t="s">
        <v>4</v>
      </c>
      <c r="C11" s="44">
        <f>GETPIVOTDATA("Sum of MEMBER",'Pivot Table'!$A$4,"DAY","Mon")+GETPIVOTDATA("Sum of MEMBER",'Pivot Table'!$A$16,"DAY","Mon")+GETPIVOTDATA("Sum of MEMBER",'Pivot Table'!$A$28,"DAY","Mon")+GETPIVOTDATA("Sum of MEMBER",'Pivot Table'!$A$40,"DAY","Mon")+GETPIVOTDATA("Sum of MEMBER",'Pivot Table'!$A$52,"DAY","Mon")+GETPIVOTDATA("Sum of MEMBER",'Pivot Table'!$A$64,"DAY","Mon")+GETPIVOTDATA("Sum of MEMBER",'Pivot Table'!$A$76,"DAY","Mon")+GETPIVOTDATA("Sum of MEMBER",'Pivot Table'!$A$88,"DAY","Mon")+GETPIVOTDATA("Sum of MEMBER",'Pivot Table'!$A$100,"DAY","Mon")+GETPIVOTDATA("Sum of MEMBER",'Pivot Table'!$A$112,"DAY","Mon")+GETPIVOTDATA("Sum of MEMBER",'Pivot Table'!$A$124,"DAY","Mon")+GETPIVOTDATA("Sum of MEMBER",'Pivot Table'!$A$136,"DAY","Mon")</f>
        <v>4176</v>
      </c>
      <c r="E11" s="40" t="s">
        <v>4</v>
      </c>
      <c r="F11" s="44">
        <f>GETPIVOTDATA("Sum of MEMBER",'Pivot Table'!$A$4,"DAY","Tue")+GETPIVOTDATA("Sum of MEMBER",'Pivot Table'!$A$16,"DAY","Tue")+GETPIVOTDATA("Sum of MEMBER",'Pivot Table'!$A$28,"DAY","Tue")+GETPIVOTDATA("Sum of MEMBER",'Pivot Table'!$A$40,"DAY","Tue")+GETPIVOTDATA("Sum of MEMBER",'Pivot Table'!$A$52,"DAY","Tue")+GETPIVOTDATA("Sum of MEMBER",'Pivot Table'!$A$64,"DAY","Tue")+GETPIVOTDATA("Sum of MEMBER",'Pivot Table'!$A$76,"DAY","Tue")+GETPIVOTDATA("Sum of MEMBER",'Pivot Table'!$A$88,"DAY","Tue")+GETPIVOTDATA("Sum of MEMBER",'Pivot Table'!$A$100,"DAY","Tue")+GETPIVOTDATA("Sum of MEMBER",'Pivot Table'!$A$112,"DAY","Tue")+GETPIVOTDATA("Sum of MEMBER",'Pivot Table'!$A$124,"DAY","Tue")+GETPIVOTDATA("Sum of MEMBER",'Pivot Table'!$A$136,"DAY","Tue")</f>
        <v>5667</v>
      </c>
      <c r="H11" s="40" t="s">
        <v>4</v>
      </c>
      <c r="I11" s="44">
        <f>GETPIVOTDATA("Sum of MEMBER",'Pivot Table'!$A$4,"DAY","Wed")+GETPIVOTDATA("Sum of MEMBER",'Pivot Table'!$A$16,"DAY","Wed")+GETPIVOTDATA("Sum of MEMBER",'Pivot Table'!$A$28,"DAY","Wed")+GETPIVOTDATA("Sum of MEMBER",'Pivot Table'!$A$40,"DAY","Wed")+GETPIVOTDATA("Sum of MEMBER",'Pivot Table'!$A$52,"DAY","Wed")+GETPIVOTDATA("Sum of MEMBER",'Pivot Table'!$A$64,"DAY","Wed")+GETPIVOTDATA("Sum of MEMBER",'Pivot Table'!$A$76,"DAY","Wed")+GETPIVOTDATA("Sum of MEMBER",'Pivot Table'!$A$88,"DAY","Wed")+GETPIVOTDATA("Sum of MEMBER",'Pivot Table'!$A$100,"DAY","Wed")+GETPIVOTDATA("Sum of MEMBER",'Pivot Table'!$A$112,"DAY","Wed")+GETPIVOTDATA("Sum of MEMBER",'Pivot Table'!$A$124,"DAY","Wed")+GETPIVOTDATA("Sum of MEMBER",'Pivot Table'!$A$136,"DAY","Wed")</f>
        <v>3349</v>
      </c>
      <c r="K11" s="40" t="s">
        <v>4</v>
      </c>
      <c r="L11" s="44">
        <f>GETPIVOTDATA("Sum of MEMBER",'Pivot Table'!$A$4,"DAY","Thu")+GETPIVOTDATA("Sum of MEMBER",'Pivot Table'!$A$16,"DAY","Thu")++GETPIVOTDATA("Sum of MEMBER",'Pivot Table'!$A$28,"DAY","Thu")+GETPIVOTDATA("Sum of MEMBER",'Pivot Table'!$A$40,"DAY","Thu")+GETPIVOTDATA("Sum of MEMBER",'Pivot Table'!$A$52,"DAY","Thu")+GETPIVOTDATA("Sum of MEMBER",'Pivot Table'!$A$64,"DAY","Thu")+GETPIVOTDATA("Sum of MEMBER",'Pivot Table'!$A$76,"DAY","Thu")+GETPIVOTDATA("Sum of MEMBER",'Pivot Table'!$A$88,"DAY","Thu")+GETPIVOTDATA("Sum of MEMBER",'Pivot Table'!$A$100,"DAY","Thu")+GETPIVOTDATA("Sum of MEMBER",'Pivot Table'!$A$112,"DAY","Thu")+GETPIVOTDATA("Sum of MEMBER",'Pivot Table'!$A$124,"DAY","Thu")+GETPIVOTDATA("Sum of MEMBER",'Pivot Table'!$A$136,"DAY","Thu")</f>
        <v>7527</v>
      </c>
      <c r="N11" s="40" t="s">
        <v>4</v>
      </c>
      <c r="O11" s="44">
        <f>GETPIVOTDATA("Sum of MEMBER",'Pivot Table'!$A$4,"DAY","Fri")+GETPIVOTDATA("Sum of MEMBER",'Pivot Table'!$A$16,"DAY","Fri")+GETPIVOTDATA("Sum of MEMBER",'Pivot Table'!$A$28,"DAY","Fri")+GETPIVOTDATA("Sum of MEMBER",'Pivot Table'!$A$40,"DAY","Fri")+GETPIVOTDATA("Sum of MEMBER",'Pivot Table'!$A$52,"DAY","Fri")+GETPIVOTDATA("Sum of MEMBER",'Pivot Table'!$A$64,"DAY","Fri")+GETPIVOTDATA("Sum of MEMBER",'Pivot Table'!$A$76,"DAY","Fri")+GETPIVOTDATA("Sum of MEMBER",'Pivot Table'!$A$88,"DAY","Fri")+GETPIVOTDATA("Sum of MEMBER",'Pivot Table'!$A$100,"DAY","Fri")+GETPIVOTDATA("Sum of MEMBER",'Pivot Table'!$A$112,"DAY","Fri")+GETPIVOTDATA("Sum of MEMBER",'Pivot Table'!$A$124,"DAY","Fri")+GETPIVOTDATA("Sum of MEMBER",'Pivot Table'!$A$136,"DAY","Fri")</f>
        <v>5697</v>
      </c>
      <c r="Q11" s="40" t="s">
        <v>4</v>
      </c>
      <c r="R11" s="44">
        <f>GETPIVOTDATA("Sum of MEMBER",'Pivot Table'!$A$4,"DAY","Sat")+GETPIVOTDATA("Sum of MEMBER",'Pivot Table'!$A$16,"DAY","Sat")+GETPIVOTDATA("Sum of MEMBER",'Pivot Table'!$A$28,"DAY","Sat")+GETPIVOTDATA("Sum of MEMBER",'Pivot Table'!$A$40,"DAY","Sat")+GETPIVOTDATA("Sum of MEMBER",'Pivot Table'!$A$52,"DAY","Sat")+GETPIVOTDATA("Sum of MEMBER",'Pivot Table'!$A$64,"DAY","Sat")+GETPIVOTDATA("Sum of MEMBER",'Pivot Table'!$A$76,"DAY","Sat")+GETPIVOTDATA("Sum of MEMBER",'Pivot Table'!$A$88,"DAY","Sat")+GETPIVOTDATA("Sum of MEMBER",'Pivot Table'!$A$100,"DAY","Sat")+GETPIVOTDATA("Sum of MEMBER",'Pivot Table'!$A$112,"DAY","Sat")+GETPIVOTDATA("Sum of MEMBER",'Pivot Table'!$A$124,"DAY","Sat")+GETPIVOTDATA("Sum of MEMBER",'Pivot Table'!$A$136,"DAY","Sat")</f>
        <v>6818</v>
      </c>
      <c r="T11" s="40" t="s">
        <v>4</v>
      </c>
      <c r="U11" s="44">
        <f>GETPIVOTDATA("Sum of MEMBER",'Pivot Table'!$A$4,"DAY","Sun")+GETPIVOTDATA("Sum of MEMBER",'Pivot Table'!$A$16,"DAY","Sun")+GETPIVOTDATA("Sum of MEMBER",'Pivot Table'!$A$28,"DAY","Sun")+GETPIVOTDATA("Sum of MEMBER",'Pivot Table'!$A$40,"DAY","Sun")+GETPIVOTDATA("Sum of MEMBER",'Pivot Table'!$A$52,"DAY","Sun")+GETPIVOTDATA("Sum of MEMBER",'Pivot Table'!$A$64,"DAY","Sun")+GETPIVOTDATA("Sum of MEMBER",'Pivot Table'!$A$76,"DAY","Sun")+GETPIVOTDATA("Sum of MEMBER",'Pivot Table'!$A$88,"DAY","Sun")+GETPIVOTDATA("Sum of MEMBER",'Pivot Table'!$A$100,"DAY","Sun")+GETPIVOTDATA("Sum of MEMBER",'Pivot Table'!$A$112,"DAY","Sun")+GETPIVOTDATA("Sum of MEMBER",'Pivot Table'!$A$124,"DAY","Sun")+GETPIVOTDATA("Sum of MEMBER",'Pivot Table'!$A$136,"DAY","Sun")</f>
        <v>7245</v>
      </c>
    </row>
    <row r="12" spans="2:21" x14ac:dyDescent="0.25">
      <c r="B12" s="44" t="s">
        <v>85</v>
      </c>
      <c r="C12" s="44">
        <f>GETPIVOTDATA("Sum of MANAGER INTRO",'Pivot Table'!$A$4,"DAY","Mon")+GETPIVOTDATA("Sum of MANAGER INTRO",'Pivot Table'!$A$16,"DAY","Mon")+GETPIVOTDATA("Sum of MANAGER INTRO",'Pivot Table'!$A$28,"DAY","Mon")+GETPIVOTDATA("Sum of MANAGER INTRO",'Pivot Table'!$A$40,"DAY","Mon")+GETPIVOTDATA("Sum of MANAGER INTRO",'Pivot Table'!$A$52,"DAY","Mon")+GETPIVOTDATA("Sum of MANAGER INTRO",'Pivot Table'!$A$64,"DAY","Mon")+GETPIVOTDATA("Sum of MANAGER INTRO",'Pivot Table'!$A$76,"DAY","Mon")+GETPIVOTDATA("Sum of MANAGER INTRO",'Pivot Table'!$A$88,"DAY","Mon")+GETPIVOTDATA("Sum of MANAGER INTRO",'Pivot Table'!$A$100,"DAY","Mon")+GETPIVOTDATA("Sum of MANAGER INTRO",'Pivot Table'!$A$112,"DAY","Mon")+GETPIVOTDATA("Sum of MANAGER INTRO",'Pivot Table'!$A$124,"DAY","Mon")+GETPIVOTDATA("Sum of MANAGER INTRO",'Pivot Table'!$A$136,"DAY","Mon")</f>
        <v>2</v>
      </c>
      <c r="E12" s="44" t="s">
        <v>85</v>
      </c>
      <c r="F12" s="44">
        <f>GETPIVOTDATA("Sum of MANAGER INTRO",'Pivot Table'!$A$4,"DAY","Tue")+GETPIVOTDATA("Sum of MANAGER INTRO",'Pivot Table'!$A$16,"DAY","Tue")+GETPIVOTDATA("Sum of MANAGER INTRO",'Pivot Table'!$A$28,"DAY","Tue")+GETPIVOTDATA("Sum of MANAGER INTRO",'Pivot Table'!$A$40,"DAY","Tue")+GETPIVOTDATA("Sum of MANAGER INTRO",'Pivot Table'!$A$52,"DAY","Tue")+GETPIVOTDATA("Sum of MANAGER INTRO",'Pivot Table'!$A$64,"DAY","Tue")+GETPIVOTDATA("Sum of MANAGER INTRO",'Pivot Table'!$A$76,"DAY","Tue")+GETPIVOTDATA("Sum of MANAGER INTRO",'Pivot Table'!$A$88,"DAY","Tue")+GETPIVOTDATA("Sum of MANAGER INTRO",'Pivot Table'!$A$100,"DAY","Tue")+GETPIVOTDATA("Sum of MANAGER INTRO",'Pivot Table'!$A$112,"DAY","Tue")+GETPIVOTDATA("Sum of MANAGER INTRO",'Pivot Table'!$A$124,"DAY","Tue")+GETPIVOTDATA("Sum of MANAGER INTRO",'Pivot Table'!$A$136,"DAY","Tue")</f>
        <v>2</v>
      </c>
      <c r="H12" s="44" t="s">
        <v>85</v>
      </c>
      <c r="I12" s="44">
        <f>GETPIVOTDATA("Sum of MANAGER INTRO",'Pivot Table'!$A$4,"DAY","Wed")+GETPIVOTDATA("Sum of MANAGER INTRO",'Pivot Table'!$A$16,"DAY","Wed")+GETPIVOTDATA("Sum of MANAGER INTRO",'Pivot Table'!$A$28,"DAY","Wed")+GETPIVOTDATA("Sum of MANAGER INTRO",'Pivot Table'!$A$40,"DAY","Wed")+GETPIVOTDATA("Sum of MANAGER INTRO",'Pivot Table'!$A$52,"DAY","Wed")+GETPIVOTDATA("Sum of MANAGER INTRO",'Pivot Table'!$A$64,"DAY","Wed")+GETPIVOTDATA("Sum of MANAGER INTRO",'Pivot Table'!$A$76,"DAY","Wed")+GETPIVOTDATA("Sum of MANAGER INTRO",'Pivot Table'!$A$88,"DAY","Wed")+GETPIVOTDATA("Sum of MANAGER INTRO",'Pivot Table'!$A$100,"DAY","Wed")+GETPIVOTDATA("Sum of MANAGER INTRO",'Pivot Table'!$A$112,"DAY","Wed")+GETPIVOTDATA("Sum of MANAGER INTRO",'Pivot Table'!$A$124,"DAY","Wed")+GETPIVOTDATA("Sum of MANAGER INTRO",'Pivot Table'!$A$136,"DAY","Wed")</f>
        <v>13</v>
      </c>
      <c r="K12" s="44" t="s">
        <v>85</v>
      </c>
      <c r="L12" s="44">
        <f>GETPIVOTDATA("Sum of MANAGER INTRO",'Pivot Table'!$A$4,"DAY","Thu")+GETPIVOTDATA("Sum of MANAGER INTRO",'Pivot Table'!$A$16,"DAY","Thu")+GETPIVOTDATA("Sum of MANAGER INTRO",'Pivot Table'!$A$28,"DAY","Thu")+GETPIVOTDATA("Sum of MANAGER INTRO",'Pivot Table'!$A$40,"DAY","Thu")+GETPIVOTDATA("Sum of MANAGER INTRO",'Pivot Table'!$A$52,"DAY","Thu")+GETPIVOTDATA("Sum of MANAGER INTRO",'Pivot Table'!$A$64,"DAY","Thu")+GETPIVOTDATA("Sum of MANAGER INTRO",'Pivot Table'!$A$76,"DAY","Thu")+GETPIVOTDATA("Sum of MANAGER INTRO",'Pivot Table'!$A$88,"DAY","Thu")+GETPIVOTDATA("Sum of MANAGER INTRO",'Pivot Table'!$A$100,"DAY","Thu")+GETPIVOTDATA("Sum of MANAGER INTRO",'Pivot Table'!$A$112,"DAY","Thu")+GETPIVOTDATA("Sum of MANAGER INTRO",'Pivot Table'!$A$124,"DAY","Thu")+GETPIVOTDATA("Sum of MANAGER INTRO",'Pivot Table'!$A$136,"DAY","Thu")</f>
        <v>11</v>
      </c>
      <c r="N12" s="44" t="s">
        <v>85</v>
      </c>
      <c r="O12" s="44">
        <f>GETPIVOTDATA("Sum of MANAGER INTRO",'Pivot Table'!$A$4,"DAY","Fri")+GETPIVOTDATA("Sum of MANAGER INTRO",'Pivot Table'!$A$16,"DAY","Fri")+GETPIVOTDATA("Sum of MANAGER INTRO",'Pivot Table'!$A$28,"DAY","Fri")+GETPIVOTDATA("Sum of MANAGER INTRO",'Pivot Table'!$A$40,"DAY","Fri")+GETPIVOTDATA("Sum of MANAGER INTRO",'Pivot Table'!$A$52,"DAY","Fri")+GETPIVOTDATA("Sum of MANAGER INTRO",'Pivot Table'!$A$64,"DAY","Fri")+GETPIVOTDATA("Sum of MANAGER INTRO",'Pivot Table'!$A$76,"DAY","Fri")+GETPIVOTDATA("Sum of MANAGER INTRO",'Pivot Table'!$A$88,"DAY","Fri")+GETPIVOTDATA("Sum of MANAGER INTRO",'Pivot Table'!$A$100,"DAY","Fri")+GETPIVOTDATA("Sum of MANAGER INTRO",'Pivot Table'!$A$112,"DAY","Fri")+GETPIVOTDATA("Sum of MANAGER INTRO",'Pivot Table'!$A$124,"DAY","Fri")+GETPIVOTDATA("Sum of MANAGER INTRO",'Pivot Table'!$A$136,"DAY","Fri")</f>
        <v>12</v>
      </c>
      <c r="Q12" s="44" t="s">
        <v>85</v>
      </c>
      <c r="R12" s="44">
        <f>GETPIVOTDATA("Sum of MANAGER INTRO",'Pivot Table'!$A$4,"DAY","Sat")+GETPIVOTDATA("Sum of MANAGER INTRO",'Pivot Table'!$A$16,"DAY","Sat")+GETPIVOTDATA("Sum of MANAGER INTRO",'Pivot Table'!$A$28,"DAY","Sat")+GETPIVOTDATA("Sum of MANAGER INTRO",'Pivot Table'!$A$40,"DAY","Sat")+GETPIVOTDATA("Sum of MANAGER INTRO",'Pivot Table'!$A$52,"DAY","Sat")+GETPIVOTDATA("Sum of MANAGER INTRO",'Pivot Table'!$A$64,"DAY","Sat")++GETPIVOTDATA("Sum of MANAGER INTRO",'Pivot Table'!$A$76,"DAY","Sat")+GETPIVOTDATA("Sum of MANAGER INTRO",'Pivot Table'!$A$88,"DAY","Sat")+GETPIVOTDATA("Sum of MANAGER INTRO",'Pivot Table'!$A$100,"DAY","Sat")+GETPIVOTDATA("Sum of MANAGER INTRO",'Pivot Table'!$A$112,"DAY","Sat")+GETPIVOTDATA("Sum of MANAGER INTRO",'Pivot Table'!$A$124,"DAY","Sat")+GETPIVOTDATA("Sum of MANAGER INTRO",'Pivot Table'!$A$136,"DAY","Sat")</f>
        <v>0</v>
      </c>
      <c r="T12" s="44" t="s">
        <v>85</v>
      </c>
      <c r="U12" s="44">
        <f>GETPIVOTDATA("Sum of MANAGER INTRO",'Pivot Table'!$A$4,"DAY","Sun")+GETPIVOTDATA("Sum of MANAGER INTRO",'Pivot Table'!$A$16,"DAY","Sun")+GETPIVOTDATA("Sum of MANAGER INTRO",'Pivot Table'!$A$28,"DAY","Sun")+GETPIVOTDATA("Sum of MANAGER INTRO",'Pivot Table'!$A$40,"DAY","Sun")+GETPIVOTDATA("Sum of MANAGER INTRO",'Pivot Table'!$A$52,"DAY","Sun")+GETPIVOTDATA("Sum of MANAGER INTRO",'Pivot Table'!$A$64,"DAY","Sun")+GETPIVOTDATA("Sum of MANAGER INTRO",'Pivot Table'!$A$76,"DAY","Sun")+GETPIVOTDATA("Sum of MANAGER INTRO",'Pivot Table'!$A$88,"DAY","Sun")+GETPIVOTDATA("Sum of MANAGER INTRO",'Pivot Table'!$A$100,"DAY","Sun")+GETPIVOTDATA("Sum of MANAGER INTRO",'Pivot Table'!$A$112,"DAY","Sun")+GETPIVOTDATA("Sum of MANAGER INTRO",'Pivot Table'!$A$124,"DAY","Sun")+GETPIVOTDATA("Sum of MANAGER INTRO",'Pivot Table'!$A$136,"DAY","Sun")</f>
        <v>3</v>
      </c>
    </row>
    <row r="13" spans="2:21" x14ac:dyDescent="0.25">
      <c r="B13" s="44" t="s">
        <v>77</v>
      </c>
      <c r="C13" s="44">
        <f>GETPIVOTDATA("Sum of INTERSTATE",'Pivot Table'!$A$4,"DAY","Mon")+GETPIVOTDATA("Sum of INTERSTATE",'Pivot Table'!$A$16,"DAY","Mon")+GETPIVOTDATA("Sum of INTERSTATE",'Pivot Table'!$A$28,"DAY","Mon")+GETPIVOTDATA("Sum of INTERSTATE",'Pivot Table'!$A$40,"DAY","Mon")+GETPIVOTDATA("Sum of INTERSTATE",'Pivot Table'!$A$52,"DAY","Mon")+GETPIVOTDATA("Sum of INTERSTATE",'Pivot Table'!$A$64,"DAY","Mon")+GETPIVOTDATA("Sum of INTERSTATE",'Pivot Table'!$A$76,"DAY","Mon")+GETPIVOTDATA("Sum of INTERSTATE",'Pivot Table'!$A$88,"DAY","Mon")+GETPIVOTDATA("Sum of INTERSTATE",'Pivot Table'!$A$100,"DAY","Mon")+GETPIVOTDATA("Sum of INTERSTATE",'Pivot Table'!$A$112,"DAY","Mon")+GETPIVOTDATA("Sum of INTERSTATE",'Pivot Table'!$A$124,"DAY","Mon")+GETPIVOTDATA("Sum of INTERSTATE",'Pivot Table'!$A$136,"DAY","Mon")</f>
        <v>54</v>
      </c>
      <c r="E13" s="44" t="s">
        <v>77</v>
      </c>
      <c r="F13" s="44">
        <f>GETPIVOTDATA("Sum of INTERSTATE",'Pivot Table'!$A$4,"DAY","Tue")+GETPIVOTDATA("Sum of INTERSTATE",'Pivot Table'!$A$16,"DAY","Tue")+GETPIVOTDATA("Sum of INTERSTATE",'Pivot Table'!$A$28,"DAY","Tue")+GETPIVOTDATA("Sum of INTERSTATE",'Pivot Table'!$A$40,"DAY","Tue")+GETPIVOTDATA("Sum of INTERSTATE",'Pivot Table'!$A$52,"DAY","Tue")+GETPIVOTDATA("Sum of INTERSTATE",'Pivot Table'!$A$64,"DAY","Tue")+GETPIVOTDATA("Sum of INTERSTATE",'Pivot Table'!$A$76,"DAY","Tue")+GETPIVOTDATA("Sum of INTERSTATE",'Pivot Table'!$A$88,"DAY","Tue")+GETPIVOTDATA("Sum of INTERSTATE",'Pivot Table'!$A$100,"DAY","Tue")+GETPIVOTDATA("Sum of INTERSTATE",'Pivot Table'!$A$112,"DAY","Tue")+GETPIVOTDATA("Sum of INTERSTATE",'Pivot Table'!$A$124,"DAY","Tue")+GETPIVOTDATA("Sum of INTERSTATE",'Pivot Table'!$A$136,"DAY","Tue")</f>
        <v>2</v>
      </c>
      <c r="H13" s="44" t="s">
        <v>77</v>
      </c>
      <c r="I13" s="44">
        <f>GETPIVOTDATA("Sum of INTERSTATE",'Pivot Table'!$A$4,"DAY","Wed")+GETPIVOTDATA("Sum of INTERSTATE",'Pivot Table'!$A$16,"DAY","Wed")+GETPIVOTDATA("Sum of INTERSTATE",'Pivot Table'!$A$28,"DAY","Wed")+GETPIVOTDATA("Sum of INTERSTATE",'Pivot Table'!$A$40,"DAY","Wed")+GETPIVOTDATA("Sum of INTERSTATE",'Pivot Table'!$A$52,"DAY","Wed")+GETPIVOTDATA("Sum of INTERSTATE",'Pivot Table'!$A$64,"DAY","Wed")+GETPIVOTDATA("Sum of INTERSTATE",'Pivot Table'!$A$76,"DAY","Wed")+GETPIVOTDATA("Sum of INTERSTATE",'Pivot Table'!$A$88,"DAY","Wed")+GETPIVOTDATA("Sum of INTERSTATE",'Pivot Table'!$A$100,"DAY","Wed")+GETPIVOTDATA("Sum of INTERSTATE",'Pivot Table'!$A$112,"DAY","Wed")+GETPIVOTDATA("Sum of INTERSTATE",'Pivot Table'!$A$124,"DAY","Wed")+GETPIVOTDATA("Sum of INTERSTATE",'Pivot Table'!$A$136,"DAY","Wed")</f>
        <v>43</v>
      </c>
      <c r="K13" s="44" t="s">
        <v>77</v>
      </c>
      <c r="L13" s="44">
        <f>GETPIVOTDATA("Sum of INTERSTATE",'Pivot Table'!$A$4,"DAY","Thu")+GETPIVOTDATA("Sum of INTERSTATE",'Pivot Table'!$A$16,"DAY","Thu")+GETPIVOTDATA("Sum of INTERSTATE",'Pivot Table'!$A$28,"DAY","Thu")+GETPIVOTDATA("Sum of INTERSTATE",'Pivot Table'!$A$40,"DAY","Thu")+GETPIVOTDATA("Sum of INTERSTATE",'Pivot Table'!$A$52,"DAY","Thu")+GETPIVOTDATA("Sum of INTERSTATE",'Pivot Table'!$A$64,"DAY","Thu")+GETPIVOTDATA("Sum of INTERSTATE",'Pivot Table'!$A$76,"DAY","Thu")+GETPIVOTDATA("Sum of INTERSTATE",'Pivot Table'!$A$88,"DAY","Thu")+GETPIVOTDATA("Sum of INTERSTATE",'Pivot Table'!$A$100,"DAY","Thu")+GETPIVOTDATA("Sum of INTERSTATE",'Pivot Table'!$A$112,"DAY","Thu")+GETPIVOTDATA("Sum of INTERSTATE",'Pivot Table'!$A$124,"DAY","Thu")+GETPIVOTDATA("Sum of INTERSTATE",'Pivot Table'!$A$136,"DAY","Thu")</f>
        <v>0</v>
      </c>
      <c r="N13" s="44" t="s">
        <v>77</v>
      </c>
      <c r="O13" s="44">
        <f>GETPIVOTDATA("Sum of INTERSTATE",'Pivot Table'!$A$4,"DAY","Fri")+GETPIVOTDATA("Sum of INTERSTATE",'Pivot Table'!$A$16,"DAY","Fri")+GETPIVOTDATA("Sum of INTERSTATE",'Pivot Table'!$A$28,"DAY","Fri")+GETPIVOTDATA("Sum of INTERSTATE",'Pivot Table'!$A$40,"DAY","Fri")+GETPIVOTDATA("Sum of INTERSTATE",'Pivot Table'!$A$52,"DAY","Fri")+GETPIVOTDATA("Sum of INTERSTATE",'Pivot Table'!$A$64,"DAY","Fri")+GETPIVOTDATA("Sum of INTERSTATE",'Pivot Table'!$A$76,"DAY","Fri")+GETPIVOTDATA("Sum of INTERSTATE",'Pivot Table'!$A$88,"DAY","Fri")+GETPIVOTDATA("Sum of INTERSTATE",'Pivot Table'!$A$100,"DAY","Fri")+GETPIVOTDATA("Sum of INTERSTATE",'Pivot Table'!$A$112,"DAY","Fri")+GETPIVOTDATA("Sum of INTERSTATE",'Pivot Table'!$A$124,"DAY","Fri")+GETPIVOTDATA("Sum of INTERSTATE",'Pivot Table'!$A$136,"DAY","Fri")</f>
        <v>75</v>
      </c>
      <c r="Q13" s="44" t="s">
        <v>77</v>
      </c>
      <c r="R13" s="44">
        <f>GETPIVOTDATA("Sum of INTERSTATE",'Pivot Table'!$A$4,"DAY","Sat")+GETPIVOTDATA("Sum of INTERSTATE",'Pivot Table'!$A$16,"DAY","Sat")+GETPIVOTDATA("Sum of INTERSTATE",'Pivot Table'!$A$28,"DAY","Sat")+GETPIVOTDATA("Sum of INTERSTATE",'Pivot Table'!$A$40,"DAY","Sat")+GETPIVOTDATA("Sum of INTERSTATE",'Pivot Table'!$A$52,"DAY","Sat")+GETPIVOTDATA("Sum of INTERSTATE",'Pivot Table'!$A$64,"DAY","Sat")+GETPIVOTDATA("Sum of INTERSTATE",'Pivot Table'!$A$76,"DAY","Sat")+GETPIVOTDATA("Sum of INTERSTATE",'Pivot Table'!$A$88,"DAY","Sat")+GETPIVOTDATA("Sum of INTERSTATE",'Pivot Table'!$A$100,"DAY","Sat")+GETPIVOTDATA("Sum of INTERSTATE",'Pivot Table'!$A$112,"DAY","Sat")+GETPIVOTDATA("Sum of INTERSTATE",'Pivot Table'!$A$124,"DAY","Sat")+GETPIVOTDATA("Sum of INTERSTATE",'Pivot Table'!$A$136,"DAY","Sat")</f>
        <v>0</v>
      </c>
      <c r="T13" s="44" t="s">
        <v>77</v>
      </c>
      <c r="U13" s="44">
        <f>GETPIVOTDATA("Sum of INTERSTATE",'Pivot Table'!$A$4,"DAY","Sun")+GETPIVOTDATA("Sum of INTERSTATE",'Pivot Table'!$A$16,"DAY","Sun")+GETPIVOTDATA("Sum of INTERSTATE",'Pivot Table'!$A$28,"DAY","Sun")+GETPIVOTDATA("Sum of INTERSTATE",'Pivot Table'!$A$40,"DAY","Sun")+GETPIVOTDATA("Sum of INTERSTATE",'Pivot Table'!$A$52,"DAY","Sun")+GETPIVOTDATA("Sum of INTERSTATE",'Pivot Table'!$A$64,"DAY","Sun")+GETPIVOTDATA("Sum of INTERSTATE",'Pivot Table'!$A$76,"DAY","Sun")+GETPIVOTDATA("Sum of INTERSTATE",'Pivot Table'!$A$88,"DAY","Sun")+GETPIVOTDATA("Sum of INTERSTATE",'Pivot Table'!$A$100,"DAY","Sun")+GETPIVOTDATA("Sum of INTERSTATE",'Pivot Table'!$A$112,"DAY","Sun")+GETPIVOTDATA("Sum of INTERSTATE",'Pivot Table'!$A$124,"DAY","Sun")+GETPIVOTDATA("Sum of INTERSTATE",'Pivot Table'!$A$136,"DAY","Sun")</f>
        <v>0</v>
      </c>
    </row>
    <row r="14" spans="2:21" x14ac:dyDescent="0.25">
      <c r="B14" s="44" t="s">
        <v>78</v>
      </c>
      <c r="C14" s="44">
        <f>GETPIVOTDATA("Sum of INTERNATIONAL",'Pivot Table'!$A$4,"DAY","Mon")+GETPIVOTDATA("Sum of INTERNATIONAL",'Pivot Table'!$A$16,"DAY","Mon")+GETPIVOTDATA("Sum of INTERNATIONAL",'Pivot Table'!$A$28,"DAY","Mon")+GETPIVOTDATA("Sum of INTERNATIONAL",'Pivot Table'!$A$40,"DAY","Mon")+GETPIVOTDATA("Sum of INTERNATIONAL",'Pivot Table'!$A$52,"DAY","Mon")+GETPIVOTDATA("Sum of INTERNATIONAL",'Pivot Table'!$A$64,"DAY","Mon")+GETPIVOTDATA("Sum of INTERNATIONAL",'Pivot Table'!$A$76,"DAY","Mon")+GETPIVOTDATA("Sum of INTERNATIONAL",'Pivot Table'!$A$88,"DAY","Mon")+GETPIVOTDATA("Sum of INTERNATIONAL",'Pivot Table'!$A$100,"DAY","Mon")+GETPIVOTDATA("Sum of INTERNATIONAL",'Pivot Table'!$A$112,"DAY","Mon")+GETPIVOTDATA("Sum of INTERNATIONAL",'Pivot Table'!$A$124,"DAY","Mon")+GETPIVOTDATA("Sum of INTERNATIONAL",'Pivot Table'!$A$136,"DAY","Mon")</f>
        <v>158</v>
      </c>
      <c r="E14" s="44" t="s">
        <v>78</v>
      </c>
      <c r="F14" s="44">
        <f>GETPIVOTDATA("Sum of INTERNATIONAL",'Pivot Table'!$A$4,"DAY","Tue")+GETPIVOTDATA("Sum of INTERNATIONAL",'Pivot Table'!$A$16,"DAY","Tue")+GETPIVOTDATA("Sum of INTERNATIONAL",'Pivot Table'!$A$28,"DAY","Tue")+GETPIVOTDATA("Sum of INTERNATIONAL",'Pivot Table'!$A$40,"DAY","Tue")+GETPIVOTDATA("Sum of INTERNATIONAL",'Pivot Table'!$A$52,"DAY","Tue")+GETPIVOTDATA("Sum of INTERNATIONAL",'Pivot Table'!$A$64,"DAY","Tue")+GETPIVOTDATA("Sum of INTERNATIONAL",'Pivot Table'!$A$76,"DAY","Tue")+GETPIVOTDATA("Sum of INTERNATIONAL",'Pivot Table'!$A$88,"DAY","Tue")+GETPIVOTDATA("Sum of INTERNATIONAL",'Pivot Table'!$A$100,"DAY","Tue")+GETPIVOTDATA("Sum of INTERNATIONAL",'Pivot Table'!$A$112,"DAY","Tue")+GETPIVOTDATA("Sum of INTERNATIONAL",'Pivot Table'!$A$124,"DAY","Tue")+GETPIVOTDATA("Sum of INTERNATIONAL",'Pivot Table'!$A$136,"DAY","Tue")</f>
        <v>9</v>
      </c>
      <c r="H14" s="44" t="s">
        <v>78</v>
      </c>
      <c r="I14" s="44">
        <f>GETPIVOTDATA("Sum of INTERNATIONAL",'Pivot Table'!$A$4,"DAY","Wed")+GETPIVOTDATA("Sum of INTERNATIONAL",'Pivot Table'!$A$16,"DAY","Wed")+GETPIVOTDATA("Sum of INTERNATIONAL",'Pivot Table'!$A$28,"DAY","Wed")+GETPIVOTDATA("Sum of INTERNATIONAL",'Pivot Table'!$A$40,"DAY","Wed")+GETPIVOTDATA("Sum of INTERNATIONAL",'Pivot Table'!$A$52,"DAY","Wed")+GETPIVOTDATA("Sum of INTERNATIONAL",'Pivot Table'!$A$64,"DAY","Wed")+GETPIVOTDATA("Sum of INTERNATIONAL",'Pivot Table'!$A$76,"DAY","Wed")+GETPIVOTDATA("Sum of INTERNATIONAL",'Pivot Table'!$A$88,"DAY","Wed")+GETPIVOTDATA("Sum of INTERNATIONAL",'Pivot Table'!$A$100,"DAY","Wed")+GETPIVOTDATA("Sum of INTERNATIONAL",'Pivot Table'!$A$112,"DAY","Wed")+GETPIVOTDATA("Sum of INTERNATIONAL",'Pivot Table'!$A$124,"DAY","Wed")+GETPIVOTDATA("Sum of INTERNATIONAL",'Pivot Table'!$A$136,"DAY","Wed")</f>
        <v>181</v>
      </c>
      <c r="K14" s="44" t="s">
        <v>78</v>
      </c>
      <c r="L14" s="44">
        <f>GETPIVOTDATA("Sum of INTERNATIONAL",'Pivot Table'!$A$4,"DAY","Thu")+GETPIVOTDATA("Sum of INTERNATIONAL",'Pivot Table'!$A$16,"DAY","Thu")+GETPIVOTDATA("Sum of INTERNATIONAL",'Pivot Table'!$A$28,"DAY","Thu")+GETPIVOTDATA("Sum of INTERNATIONAL",'Pivot Table'!$A$40,"DAY","Thu")+GETPIVOTDATA("Sum of INTERNATIONAL",'Pivot Table'!$A$52,"DAY","Thu")+GETPIVOTDATA("Sum of INTERNATIONAL",'Pivot Table'!$A$64,"DAY","Thu")+GETPIVOTDATA("Sum of INTERNATIONAL",'Pivot Table'!$A$76,"DAY","Thu")+GETPIVOTDATA("Sum of INTERNATIONAL",'Pivot Table'!$A$88,"DAY","Thu")+GETPIVOTDATA("Sum of INTERNATIONAL",'Pivot Table'!$A$100,"DAY","Thu")+GETPIVOTDATA("Sum of INTERNATIONAL",'Pivot Table'!$A$112,"DAY","Thu")+GETPIVOTDATA("Sum of INTERNATIONAL",'Pivot Table'!$A$124,"DAY","Thu")+GETPIVOTDATA("Sum of INTERNATIONAL",'Pivot Table'!$A$136,"DAY","Thu")</f>
        <v>2</v>
      </c>
      <c r="N14" s="44" t="s">
        <v>78</v>
      </c>
      <c r="O14" s="44">
        <f>GETPIVOTDATA("Sum of INTERNATIONAL",'Pivot Table'!$A$4,"DAY","Fri")+GETPIVOTDATA("Sum of INTERNATIONAL",'Pivot Table'!$A$16,"DAY","Fri")+GETPIVOTDATA("Sum of INTERNATIONAL",'Pivot Table'!$A$28,"DAY","Fri")+GETPIVOTDATA("Sum of INTERNATIONAL",'Pivot Table'!$A$40,"DAY","Fri")+GETPIVOTDATA("Sum of INTERNATIONAL",'Pivot Table'!$A$52,"DAY","Fri")+GETPIVOTDATA("Sum of INTERNATIONAL",'Pivot Table'!$A$64,"DAY","Fri")+GETPIVOTDATA("Sum of INTERNATIONAL",'Pivot Table'!$A$76,"DAY","Fri")+GETPIVOTDATA("Sum of INTERNATIONAL",'Pivot Table'!$A$88,"DAY","Fri")+GETPIVOTDATA("Sum of INTERNATIONAL",'Pivot Table'!$A$100,"DAY","Fri")+GETPIVOTDATA("Sum of INTERNATIONAL",'Pivot Table'!$A$112,"DAY","Fri")+GETPIVOTDATA("Sum of INTERNATIONAL",'Pivot Table'!$A$124,"DAY","Fri")+GETPIVOTDATA("Sum of INTERNATIONAL",'Pivot Table'!$A$136,"DAY","Fri")</f>
        <v>128</v>
      </c>
      <c r="Q14" s="44" t="s">
        <v>78</v>
      </c>
      <c r="R14" s="44">
        <f>GETPIVOTDATA("Sum of INTERNATIONAL",'Pivot Table'!$A$4,"DAY","Sat")+GETPIVOTDATA("Sum of INTERNATIONAL",'Pivot Table'!$A$16,"DAY","Sat")+GETPIVOTDATA("Sum of INTERNATIONAL",'Pivot Table'!$A$28,"DAY","Sat")+GETPIVOTDATA("Sum of INTERNATIONAL",'Pivot Table'!$A$40,"DAY","Sat")+GETPIVOTDATA("Sum of INTERNATIONAL",'Pivot Table'!$A$52,"DAY","Sat")+GETPIVOTDATA("Sum of INTERNATIONAL",'Pivot Table'!$A$64,"DAY","Sat")+GETPIVOTDATA("Sum of INTERNATIONAL",'Pivot Table'!$A$76,"DAY","Sat")+GETPIVOTDATA("Sum of INTERNATIONAL",'Pivot Table'!$A$88,"DAY","Sat")+GETPIVOTDATA("Sum of INTERNATIONAL",'Pivot Table'!$A$100,"DAY","Sat")+GETPIVOTDATA("Sum of INTERNATIONAL",'Pivot Table'!$A$112,"DAY","Sat")+GETPIVOTDATA("Sum of INTERNATIONAL",'Pivot Table'!$A$124,"DAY","Sat")+GETPIVOTDATA("Sum of INTERNATIONAL",'Pivot Table'!$A$136,"DAY","Sat")</f>
        <v>3</v>
      </c>
      <c r="T14" s="44" t="s">
        <v>78</v>
      </c>
      <c r="U14" s="44">
        <f>GETPIVOTDATA("Sum of INTERNATIONAL",'Pivot Table'!$A$4,"DAY","Sun")+GETPIVOTDATA("Sum of INTERNATIONAL",'Pivot Table'!$A$16,"DAY","Sun")+GETPIVOTDATA("Sum of INTERNATIONAL",'Pivot Table'!$A$28,"DAY","Sun")+GETPIVOTDATA("Sum of INTERNATIONAL",'Pivot Table'!$A$40,"DAY","Sun")+GETPIVOTDATA("Sum of INTERNATIONAL",'Pivot Table'!$A$52,"DAY","Sun")+GETPIVOTDATA("Sum of INTERNATIONAL",'Pivot Table'!$A$64,"DAY","Sun")+GETPIVOTDATA("Sum of INTERNATIONAL",'Pivot Table'!$A$76,"DAY","Sun")+GETPIVOTDATA("Sum of INTERNATIONAL",'Pivot Table'!$A$88,"DAY","Sun")+GETPIVOTDATA("Sum of INTERNATIONAL",'Pivot Table'!$A$100,"DAY","Sun")+GETPIVOTDATA("Sum of INTERNATIONAL",'Pivot Table'!$A$112,"DAY","Sun")+GETPIVOTDATA("Sum of INTERNATIONAL",'Pivot Table'!$A$124,"DAY","Sun")+GETPIVOTDATA("Sum of INTERNATIONAL",'Pivot Table'!$A$136,"DAY","Sun")</f>
        <v>27</v>
      </c>
    </row>
    <row r="15" spans="2:21" x14ac:dyDescent="0.25">
      <c r="B15" s="44" t="s">
        <v>79</v>
      </c>
      <c r="C15" s="44">
        <f>GETPIVOTDATA("Sum of INDUSTRY GUEST",'Pivot Table'!$A$4,"DAY","Mon")+GETPIVOTDATA("Sum of INDUSTRY GUEST",'Pivot Table'!$A$16,"DAY","Mon")+GETPIVOTDATA("Sum of INDUSTRY GUEST",'Pivot Table'!$A$28,"DAY","Mon")+GETPIVOTDATA("Sum of INDUSTRY GUEST",'Pivot Table'!$A$40,"DAY","Mon")+GETPIVOTDATA("Sum of INDUSTRY GUEST",'Pivot Table'!$A$52,"DAY","Mon")+GETPIVOTDATA("Sum of INDUSTRY GUEST",'Pivot Table'!$A$64,"DAY","Mon")+GETPIVOTDATA("Sum of INDUSTRY GUEST",'Pivot Table'!$A$76,"DAY","Mon")+GETPIVOTDATA("Sum of INDUSTRY GUEST",'Pivot Table'!$A$88,"DAY","Mon")+GETPIVOTDATA("Sum of INDUSTRY GUEST",'Pivot Table'!$A$100,"DAY","Mon")+GETPIVOTDATA("Sum of INDUSTRY GUEST",'Pivot Table'!$A$112,"DAY","Mon")+GETPIVOTDATA("Sum of INDUSTRY GUEST",'Pivot Table'!$A$124,"DAY","Mon")+GETPIVOTDATA("Sum of INDUSTRY GUEST",'Pivot Table'!$A$136,"DAY","Mon")</f>
        <v>7</v>
      </c>
      <c r="E15" s="44" t="s">
        <v>79</v>
      </c>
      <c r="F15" s="44">
        <f>GETPIVOTDATA("Sum of INDUSTRY GUEST",'Pivot Table'!$A$4,"DAY","Tue")+GETPIVOTDATA("Sum of INDUSTRY GUEST",'Pivot Table'!$A$16,"DAY","Tue")+GETPIVOTDATA("Sum of INDUSTRY GUEST",'Pivot Table'!$A$28,"DAY","Tue")+GETPIVOTDATA("Sum of INDUSTRY GUEST",'Pivot Table'!$A$40,"DAY","Tue")+GETPIVOTDATA("Sum of INDUSTRY GUEST",'Pivot Table'!$A$52,"DAY","Tue")+GETPIVOTDATA("Sum of INDUSTRY GUEST",'Pivot Table'!$A$64,"DAY","Tue")+GETPIVOTDATA("Sum of INDUSTRY GUEST",'Pivot Table'!$A$76,"DAY","Tue")+GETPIVOTDATA("Sum of INDUSTRY GUEST",'Pivot Table'!$A$88,"DAY","Tue")+GETPIVOTDATA("Sum of INDUSTRY GUEST",'Pivot Table'!$A$100,"DAY","Tue")+GETPIVOTDATA("Sum of INDUSTRY GUEST",'Pivot Table'!$A$112,"DAY","Tue")+GETPIVOTDATA("Sum of INDUSTRY GUEST",'Pivot Table'!$A$124,"DAY","Tue")+GETPIVOTDATA("Sum of INDUSTRY GUEST",'Pivot Table'!$A$136,"DAY","Tue")</f>
        <v>0</v>
      </c>
      <c r="H15" s="44" t="s">
        <v>79</v>
      </c>
      <c r="I15" s="44">
        <f>GETPIVOTDATA("Sum of INDUSTRY GUEST",'Pivot Table'!$A$4,"DAY","Wed")+GETPIVOTDATA("Sum of INDUSTRY GUEST",'Pivot Table'!$A$16,"DAY","Wed")+GETPIVOTDATA("Sum of INDUSTRY GUEST",'Pivot Table'!$A$28,"DAY","Wed")+GETPIVOTDATA("Sum of INDUSTRY GUEST",'Pivot Table'!$A$40,"DAY","Wed")+GETPIVOTDATA("Sum of INDUSTRY GUEST",'Pivot Table'!$A$52,"DAY","Wed")+GETPIVOTDATA("Sum of INDUSTRY GUEST",'Pivot Table'!$A$64,"DAY","Wed")+GETPIVOTDATA("Sum of INDUSTRY GUEST",'Pivot Table'!$A$76,"DAY","Wed")+GETPIVOTDATA("Sum of INDUSTRY GUEST",'Pivot Table'!$A$88,"DAY","Wed")+GETPIVOTDATA("Sum of INDUSTRY GUEST",'Pivot Table'!$A$100,"DAY","Wed")+GETPIVOTDATA("Sum of INDUSTRY GUEST",'Pivot Table'!$A$112,"DAY","Wed")+GETPIVOTDATA("Sum of INDUSTRY GUEST",'Pivot Table'!$A$124,"DAY","Wed")+GETPIVOTDATA("Sum of INDUSTRY GUEST",'Pivot Table'!$A$136,"DAY","Wed")</f>
        <v>22</v>
      </c>
      <c r="K15" s="44" t="s">
        <v>79</v>
      </c>
      <c r="L15" s="44">
        <f>GETPIVOTDATA("Sum of INDUSTRY GUEST",'Pivot Table'!$A$4,"DAY","Thu")+GETPIVOTDATA("Sum of INDUSTRY GUEST",'Pivot Table'!$A$16,"DAY","Thu")+GETPIVOTDATA("Sum of INDUSTRY GUEST",'Pivot Table'!$A$28,"DAY","Thu")+GETPIVOTDATA("Sum of INDUSTRY GUEST",'Pivot Table'!$A$40,"DAY","Thu")+GETPIVOTDATA("Sum of INDUSTRY GUEST",'Pivot Table'!$A$52,"DAY","Thu")+GETPIVOTDATA("Sum of INDUSTRY GUEST",'Pivot Table'!$A$64,"DAY","Thu")+GETPIVOTDATA("Sum of INDUSTRY GUEST",'Pivot Table'!$A$76,"DAY","Thu")+GETPIVOTDATA("Sum of INDUSTRY GUEST",'Pivot Table'!$A$88,"DAY","Thu")+GETPIVOTDATA("Sum of INDUSTRY GUEST",'Pivot Table'!$A$100,"DAY","Thu")+GETPIVOTDATA("Sum of INDUSTRY GUEST",'Pivot Table'!$A$112,"DAY","Thu")+GETPIVOTDATA("Sum of INDUSTRY GUEST",'Pivot Table'!$A$124,"DAY","Thu")+GETPIVOTDATA("Sum of INDUSTRY GUEST",'Pivot Table'!$A$136,"DAY","Thu")</f>
        <v>2</v>
      </c>
      <c r="N15" s="44" t="s">
        <v>79</v>
      </c>
      <c r="O15" s="44">
        <f>GETPIVOTDATA("Sum of INDUSTRY GUEST",'Pivot Table'!$A$4,"DAY","Fri")+GETPIVOTDATA("Sum of INDUSTRY GUEST",'Pivot Table'!$A$16,"DAY","Fri")+GETPIVOTDATA("Sum of INDUSTRY GUEST",'Pivot Table'!$A$28,"DAY","Fri")+GETPIVOTDATA("Sum of INDUSTRY GUEST",'Pivot Table'!$A$40,"DAY","Fri")+GETPIVOTDATA("Sum of INDUSTRY GUEST",'Pivot Table'!$A$52,"DAY","Fri")+GETPIVOTDATA("Sum of INDUSTRY GUEST",'Pivot Table'!$A$64,"DAY","Fri")+GETPIVOTDATA("Sum of INDUSTRY GUEST",'Pivot Table'!$A$76,"DAY","Fri")+GETPIVOTDATA("Sum of INDUSTRY GUEST",'Pivot Table'!$A$88,"DAY","Fri")+GETPIVOTDATA("Sum of INDUSTRY GUEST",'Pivot Table'!$A$100,"DAY","Fri")+GETPIVOTDATA("Sum of INDUSTRY GUEST",'Pivot Table'!$A$112,"DAY","Fri")+GETPIVOTDATA("Sum of INDUSTRY GUEST",'Pivot Table'!$A$124,"DAY","Fri")+GETPIVOTDATA("Sum of INDUSTRY GUEST",'Pivot Table'!$A$136,"DAY","Fri")</f>
        <v>7</v>
      </c>
      <c r="Q15" s="44" t="s">
        <v>79</v>
      </c>
      <c r="R15" s="44">
        <f>GETPIVOTDATA("Sum of INDUSTRY GUEST",'Pivot Table'!$A$4,"DAY","Sat")+GETPIVOTDATA("Sum of INDUSTRY GUEST",'Pivot Table'!$A$16,"DAY","Sat")+GETPIVOTDATA("Sum of INDUSTRY GUEST",'Pivot Table'!$A$28,"DAY","Sat")+GETPIVOTDATA("Sum of INDUSTRY GUEST",'Pivot Table'!$A$40,"DAY","Sat")+GETPIVOTDATA("Sum of INDUSTRY GUEST",'Pivot Table'!$A$52,"DAY","Sat")+GETPIVOTDATA("Sum of INDUSTRY GUEST",'Pivot Table'!$A$64,"DAY","Sat")+GETPIVOTDATA("Sum of INDUSTRY GUEST",'Pivot Table'!$A$76,"DAY","Sat")+GETPIVOTDATA("Sum of INDUSTRY GUEST",'Pivot Table'!$A$88,"DAY","Sat")+GETPIVOTDATA("Sum of INDUSTRY GUEST",'Pivot Table'!$A$100,"DAY","Sat")+GETPIVOTDATA("Sum of INDUSTRY GUEST",'Pivot Table'!$A$112,"DAY","Sat")+GETPIVOTDATA("Sum of INDUSTRY GUEST",'Pivot Table'!$A$124,"DAY","Sat")+GETPIVOTDATA("Sum of INDUSTRY GUEST",'Pivot Table'!$A$136,"DAY","Sat")</f>
        <v>0</v>
      </c>
      <c r="T15" s="44" t="s">
        <v>79</v>
      </c>
      <c r="U15" s="44">
        <f>GETPIVOTDATA("Sum of INDUSTRY GUEST",'Pivot Table'!$A$4,"DAY","Sun")+GETPIVOTDATA("Sum of INDUSTRY GUEST",'Pivot Table'!$A$16,"DAY","Sun")+GETPIVOTDATA("Sum of INDUSTRY GUEST",'Pivot Table'!$A$28,"DAY","Sun")+GETPIVOTDATA("Sum of INDUSTRY GUEST",'Pivot Table'!$A$40,"DAY","Sun")+GETPIVOTDATA("Sum of INDUSTRY GUEST",'Pivot Table'!$A$52,"DAY","Sun")+GETPIVOTDATA("Sum of INDUSTRY GUEST",'Pivot Table'!$A$64,"DAY","Sun")+GETPIVOTDATA("Sum of INDUSTRY GUEST",'Pivot Table'!$A$76,"DAY","Sun")+GETPIVOTDATA("Sum of INDUSTRY GUEST",'Pivot Table'!$A$88,"DAY","Sun")+GETPIVOTDATA("Sum of INDUSTRY GUEST",'Pivot Table'!$A$100,"DAY","Sun")+GETPIVOTDATA("Sum of INDUSTRY GUEST",'Pivot Table'!$A$112,"DAY","Sun")+GETPIVOTDATA("Sum of INDUSTRY GUEST",'Pivot Table'!$A$124,"DAY","Sun")+GETPIVOTDATA("Sum of INDUSTRY GUEST",'Pivot Table'!$A$136,"DAY","Sun")</f>
        <v>1</v>
      </c>
    </row>
    <row r="16" spans="2:21" x14ac:dyDescent="0.25">
      <c r="B16" s="44" t="s">
        <v>5</v>
      </c>
      <c r="C16" s="44">
        <f>GETPIVOTDATA("Sum of MEMB GUEST MICLUB",'Pivot Table'!$A$4,"DAY","Mon")+GETPIVOTDATA("Sum of MEMB GUEST MICLUB",'Pivot Table'!$A$16,"DAY","Mon")+GETPIVOTDATA("Sum of MEMB GUEST MICLUB",'Pivot Table'!$A$28,"DAY","Mon")+GETPIVOTDATA("Sum of MEMB GUEST MICLUB",'Pivot Table'!$A$40,"DAY","Mon")+GETPIVOTDATA("Sum of MEMB GUEST MICLUB",'Pivot Table'!$A$52,"DAY","Mon")+GETPIVOTDATA("Sum of MEMB GUEST MICLUB",'Pivot Table'!$A$64,"DAY","Mon")+GETPIVOTDATA("Sum of MEMB GUEST MICLUB",'Pivot Table'!$A$76,"DAY","Mon")+GETPIVOTDATA("Sum of MEMB GUEST MICLUB",'Pivot Table'!$A$88,"DAY","Mon")+GETPIVOTDATA("Sum of MEMB GUEST MICLUB",'Pivot Table'!$A$100,"DAY","Mon")+GETPIVOTDATA("Sum of MEMB GUEST MICLUB",'Pivot Table'!$A$112,"DAY","Mon")+GETPIVOTDATA("Sum of MEMB GUEST MICLUB",'Pivot Table'!$A$124,"DAY","Mon")+GETPIVOTDATA("Sum of MEMB GUEST MICLUB",'Pivot Table'!$A$136,"DAY","Mon")</f>
        <v>425</v>
      </c>
      <c r="E16" s="44" t="s">
        <v>5</v>
      </c>
      <c r="F16" s="44">
        <f>GETPIVOTDATA("Sum of MEMB GUEST MICLUB",'Pivot Table'!$A$4,"DAY","Tue")+GETPIVOTDATA("Sum of MEMB GUEST MICLUB",'Pivot Table'!$A$16,"DAY","Tue")+GETPIVOTDATA("Sum of MEMB GUEST MICLUB",'Pivot Table'!$A$28,"DAY","Tue")+GETPIVOTDATA("Sum of MEMB GUEST MICLUB",'Pivot Table'!$A$40,"DAY","Tue")+GETPIVOTDATA("Sum of MEMB GUEST MICLUB",'Pivot Table'!$A$52,"DAY","Tue")+GETPIVOTDATA("Sum of MEMB GUEST MICLUB",'Pivot Table'!$A$64,"DAY","Tue")+GETPIVOTDATA("Sum of MEMB GUEST MICLUB",'Pivot Table'!$A$76,"DAY","Tue")+GETPIVOTDATA("Sum of MEMB GUEST MICLUB",'Pivot Table'!$A$88,"DAY","Tue")+GETPIVOTDATA("Sum of MEMB GUEST MICLUB",'Pivot Table'!$A$100,"DAY","Tue")+GETPIVOTDATA("Sum of MEMB GUEST MICLUB",'Pivot Table'!$A$112,"DAY","Tue")+GETPIVOTDATA("Sum of MEMB GUEST MICLUB",'Pivot Table'!$A$124,"DAY","Tue")+GETPIVOTDATA("Sum of MEMB GUEST MICLUB",'Pivot Table'!$A$136,"DAY","Tue")</f>
        <v>212</v>
      </c>
      <c r="H16" s="44" t="s">
        <v>5</v>
      </c>
      <c r="I16" s="44">
        <f>GETPIVOTDATA("Sum of MEMB GUEST MICLUB",'Pivot Table'!$A$4,"DAY","Wed")+GETPIVOTDATA("Sum of MEMB GUEST MICLUB",'Pivot Table'!$A$16,"DAY","Wed")+GETPIVOTDATA("Sum of MEMB GUEST MICLUB",'Pivot Table'!$A$28,"DAY","Wed")+GETPIVOTDATA("Sum of MEMB GUEST MICLUB",'Pivot Table'!$A$40,"DAY","Wed")+GETPIVOTDATA("Sum of MEMB GUEST MICLUB",'Pivot Table'!$A$52,"DAY","Wed")+GETPIVOTDATA("Sum of MEMB GUEST MICLUB",'Pivot Table'!$A$64,"DAY","Wed")+GETPIVOTDATA("Sum of MEMB GUEST MICLUB",'Pivot Table'!$A$76,"DAY","Wed")+GETPIVOTDATA("Sum of MEMB GUEST MICLUB",'Pivot Table'!$A$88,"DAY","Wed")+GETPIVOTDATA("Sum of MEMB GUEST MICLUB",'Pivot Table'!$A$100,"DAY","Wed")+GETPIVOTDATA("Sum of MEMB GUEST MICLUB",'Pivot Table'!$A$112,"DAY","Wed")+GETPIVOTDATA("Sum of MEMB GUEST MICLUB",'Pivot Table'!$A$124,"DAY","Wed")+GETPIVOTDATA("Sum of MEMB GUEST MICLUB",'Pivot Table'!$A$136,"DAY","Wed")</f>
        <v>587</v>
      </c>
      <c r="K16" s="44" t="s">
        <v>5</v>
      </c>
      <c r="L16" s="44">
        <f>GETPIVOTDATA("Sum of MEMB GUEST MICLUB",'Pivot Table'!$A$4,"DAY","Thu")+GETPIVOTDATA("Sum of MEMB GUEST MICLUB",'Pivot Table'!$A$16,"DAY","Thu")+GETPIVOTDATA("Sum of MEMB GUEST MICLUB",'Pivot Table'!$A$28,"DAY","Thu")+GETPIVOTDATA("Sum of MEMB GUEST MICLUB",'Pivot Table'!$A$40,"DAY","Thu")+GETPIVOTDATA("Sum of MEMB GUEST MICLUB",'Pivot Table'!$A$52,"DAY","Thu")+GETPIVOTDATA("Sum of MEMB GUEST MICLUB",'Pivot Table'!$A$64,"DAY","Thu")+GETPIVOTDATA("Sum of MEMB GUEST MICLUB",'Pivot Table'!$A$76,"DAY","Thu")+GETPIVOTDATA("Sum of MEMB GUEST MICLUB",'Pivot Table'!$A$88,"DAY","Thu")+GETPIVOTDATA("Sum of MEMB GUEST MICLUB",'Pivot Table'!$A$100,"DAY","Thu")+GETPIVOTDATA("Sum of MEMB GUEST MICLUB",'Pivot Table'!$A$112,"DAY","Thu")+GETPIVOTDATA("Sum of MEMB GUEST MICLUB",'Pivot Table'!$A$124,"DAY","Thu")+GETPIVOTDATA("Sum of MEMB GUEST MICLUB",'Pivot Table'!$A$136,"DAY","Thu")</f>
        <v>13</v>
      </c>
      <c r="N16" s="44" t="s">
        <v>5</v>
      </c>
      <c r="O16" s="44">
        <f>GETPIVOTDATA("Sum of MEMB GUEST MICLUB",'Pivot Table'!$A$4,"DAY","Fri")+GETPIVOTDATA("Sum of MEMB GUEST MICLUB",'Pivot Table'!$A$16,"DAY","Fri")+GETPIVOTDATA("Sum of MEMB GUEST MICLUB",'Pivot Table'!$A$28,"DAY","Fri")+GETPIVOTDATA("Sum of MEMB GUEST MICLUB",'Pivot Table'!$A$40,"DAY","Fri")+GETPIVOTDATA("Sum of MEMB GUEST MICLUB",'Pivot Table'!$A$52,"DAY","Fri")+GETPIVOTDATA("Sum of MEMB GUEST MICLUB",'Pivot Table'!$A$64,"DAY","Fri")+GETPIVOTDATA("Sum of MEMB GUEST MICLUB",'Pivot Table'!$A$76,"DAY","Fri")+GETPIVOTDATA("Sum of MEMB GUEST MICLUB",'Pivot Table'!$A$88,"DAY","Fri")+GETPIVOTDATA("Sum of MEMB GUEST MICLUB",'Pivot Table'!$A$100,"DAY","Fri")+GETPIVOTDATA("Sum of MEMB GUEST MICLUB",'Pivot Table'!$A$112,"DAY","Fri")+GETPIVOTDATA("Sum of MEMB GUEST MICLUB",'Pivot Table'!$A$124,"DAY","Fri")+GETPIVOTDATA("Sum of MEMB GUEST MICLUB",'Pivot Table'!$A$136,"DAY","Fri")</f>
        <v>1195</v>
      </c>
      <c r="Q16" s="44" t="s">
        <v>5</v>
      </c>
      <c r="R16" s="44">
        <f>GETPIVOTDATA("Sum of MEMB GUEST MICLUB",'Pivot Table'!$A$4,"DAY","Sat")+GETPIVOTDATA("Sum of MEMB GUEST MICLUB",'Pivot Table'!$A$16,"DAY","Sat")+GETPIVOTDATA("Sum of MEMB GUEST MICLUB",'Pivot Table'!$A$28,"DAY","Sat")+GETPIVOTDATA("Sum of MEMB GUEST MICLUB",'Pivot Table'!$A$40,"DAY","Sat")+GETPIVOTDATA("Sum of MEMB GUEST MICLUB",'Pivot Table'!$A$52,"DAY","Sat")+GETPIVOTDATA("Sum of MEMB GUEST MICLUB",'Pivot Table'!$A$64,"DAY","Sat")+GETPIVOTDATA("Sum of MEMB GUEST MICLUB",'Pivot Table'!$A$76,"DAY","Sat")+GETPIVOTDATA("Sum of MEMB GUEST MICLUB",'Pivot Table'!$A$88,"DAY","Sat")+GETPIVOTDATA("Sum of MEMB GUEST MICLUB",'Pivot Table'!$A$100,"DAY","Sat")+GETPIVOTDATA("Sum of MEMB GUEST MICLUB",'Pivot Table'!$A$112,"DAY","Sat")+GETPIVOTDATA("Sum of MEMB GUEST MICLUB",'Pivot Table'!$A$124,"DAY","Sat")+GETPIVOTDATA("Sum of MEMB GUEST MICLUB",'Pivot Table'!$A$136,"DAY","Sat")</f>
        <v>100</v>
      </c>
      <c r="T16" s="44" t="s">
        <v>5</v>
      </c>
      <c r="U16" s="44">
        <f>GETPIVOTDATA("Sum of MEMB GUEST MICLUB",'Pivot Table'!$A$4,"DAY","Sun")+GETPIVOTDATA("Sum of MEMB GUEST MICLUB",'Pivot Table'!$A$16,"DAY","Sun")+GETPIVOTDATA("Sum of MEMB GUEST MICLUB",'Pivot Table'!$A$28,"DAY","Sun")+GETPIVOTDATA("Sum of MEMB GUEST MICLUB",'Pivot Table'!$A$40,"DAY","Sun")+GETPIVOTDATA("Sum of MEMB GUEST MICLUB",'Pivot Table'!$A$52,"DAY","Sun")+GETPIVOTDATA("Sum of MEMB GUEST MICLUB",'Pivot Table'!$A$64,"DAY","Sun")+GETPIVOTDATA("Sum of MEMB GUEST MICLUB",'Pivot Table'!$A$76,"DAY","Sun")+GETPIVOTDATA("Sum of MEMB GUEST MICLUB",'Pivot Table'!$A$88,"DAY","Sun")+GETPIVOTDATA("Sum of MEMB GUEST MICLUB",'Pivot Table'!$A$100,"DAY","Sun")+GETPIVOTDATA("Sum of MEMB GUEST MICLUB",'Pivot Table'!$A$112,"DAY","Sun")+GETPIVOTDATA("Sum of MEMB GUEST MICLUB",'Pivot Table'!$A$124,"DAY","Sun")+GETPIVOTDATA("Sum of MEMB GUEST MICLUB",'Pivot Table'!$A$136,"DAY","Sun")</f>
        <v>775</v>
      </c>
    </row>
    <row r="17" spans="2:21" ht="32.25" customHeight="1" x14ac:dyDescent="0.25">
      <c r="B17" s="40" t="s">
        <v>80</v>
      </c>
      <c r="C17" s="44">
        <f>GETPIVOTDATA("Sum of MEMB GUEST UNACCOMPANIED",'Pivot Table'!$A$4,"DAY","Mon")+GETPIVOTDATA("Sum of MEMB GUEST UNACCOMPANIED",'Pivot Table'!$A$16,"DAY","Mon")+GETPIVOTDATA("Sum of MEMB GUEST UNACCOMPANIED",'Pivot Table'!$A$28,"DAY","Mon")+GETPIVOTDATA("Sum of MEMB GUEST UNACCOMPANIED",'Pivot Table'!$A$40,"DAY","Mon")+GETPIVOTDATA("Sum of MEMB GUEST UNACCOMPANIED",'Pivot Table'!$A$52,"DAY","Mon")+GETPIVOTDATA("Sum of MEMB GUEST UNACCOMPANIED",'Pivot Table'!$A$64,"DAY","Mon")+GETPIVOTDATA("Sum of MEMB GUEST UNACCOMPANIED",'Pivot Table'!$A$76,"DAY","Mon")+GETPIVOTDATA("Sum of MEMB GUEST UNACCOMPANIED",'Pivot Table'!$A$88,"DAY","Mon")+GETPIVOTDATA("Sum of MEMB GUEST UNACCOMPANIED",'Pivot Table'!$A$100,"DAY","Mon")+GETPIVOTDATA("Sum of MEMB GUEST UNACCOMPANIED",'Pivot Table'!$A$112,"DAY","Mon")+GETPIVOTDATA("Sum of MEMB GUEST UNACCOMPANIED",'Pivot Table'!$A$124,"DAY","Mon")+GETPIVOTDATA("Sum of MEMB GUEST UNACCOMPANIED",'Pivot Table'!$A$136,"DAY","Mon")</f>
        <v>21</v>
      </c>
      <c r="E17" s="40" t="s">
        <v>80</v>
      </c>
      <c r="F17" s="44">
        <f>GETPIVOTDATA("Sum of MEMB GUEST UNACCOMPANIED",'Pivot Table'!$A$4,"DAY","Tue")+GETPIVOTDATA("Sum of MEMB GUEST UNACCOMPANIED",'Pivot Table'!$A$16,"DAY","Tue")+GETPIVOTDATA("Sum of MEMB GUEST UNACCOMPANIED",'Pivot Table'!$A$28,"DAY","Tue")+GETPIVOTDATA("Sum of MEMB GUEST UNACCOMPANIED",'Pivot Table'!$A$40,"DAY","Tue")+GETPIVOTDATA("Sum of MEMB GUEST UNACCOMPANIED",'Pivot Table'!$A$52,"DAY","Tue")+GETPIVOTDATA("Sum of MEMB GUEST UNACCOMPANIED",'Pivot Table'!$A$64,"DAY","Tue")+GETPIVOTDATA("Sum of MEMB GUEST UNACCOMPANIED",'Pivot Table'!$A$76,"DAY","Tue")+GETPIVOTDATA("Sum of MEMB GUEST UNACCOMPANIED",'Pivot Table'!$A$88,"DAY","Tue")+GETPIVOTDATA("Sum of MEMB GUEST UNACCOMPANIED",'Pivot Table'!$A$100,"DAY","Tue")+GETPIVOTDATA("Sum of MEMB GUEST UNACCOMPANIED",'Pivot Table'!$A$112,"DAY","Tue")+GETPIVOTDATA("Sum of MEMB GUEST UNACCOMPANIED",'Pivot Table'!$A$124,"DAY","Tue")+GETPIVOTDATA("Sum of MEMB GUEST UNACCOMPANIED",'Pivot Table'!$A$136,"DAY","Tue")</f>
        <v>0</v>
      </c>
      <c r="H17" s="40" t="s">
        <v>80</v>
      </c>
      <c r="I17" s="44">
        <f>GETPIVOTDATA("Sum of MEMB GUEST UNACCOMPANIED",'Pivot Table'!$A$4,"DAY","Wed")+GETPIVOTDATA("Sum of MEMB GUEST UNACCOMPANIED",'Pivot Table'!$A$16,"DAY","Wed")+GETPIVOTDATA("Sum of MEMB GUEST UNACCOMPANIED",'Pivot Table'!$A$28,"DAY","Wed")+GETPIVOTDATA("Sum of MEMB GUEST UNACCOMPANIED",'Pivot Table'!$A$40,"DAY","Wed")+GETPIVOTDATA("Sum of MEMB GUEST UNACCOMPANIED",'Pivot Table'!$A$52,"DAY","Wed")+GETPIVOTDATA("Sum of MEMB GUEST UNACCOMPANIED",'Pivot Table'!$A$64,"DAY","Wed")+GETPIVOTDATA("Sum of MEMB GUEST UNACCOMPANIED",'Pivot Table'!$A$76,"DAY","Wed")+GETPIVOTDATA("Sum of MEMB GUEST UNACCOMPANIED",'Pivot Table'!$A$88,"DAY","Wed")+GETPIVOTDATA("Sum of MEMB GUEST UNACCOMPANIED",'Pivot Table'!$A$100,"DAY","Wed")+GETPIVOTDATA("Sum of MEMB GUEST UNACCOMPANIED",'Pivot Table'!$A$112,"DAY","Wed")+GETPIVOTDATA("Sum of MEMB GUEST UNACCOMPANIED",'Pivot Table'!$A$124,"DAY","Wed")+GETPIVOTDATA("Sum of MEMB GUEST UNACCOMPANIED",'Pivot Table'!$A$136,"DAY","Wed")</f>
        <v>7</v>
      </c>
      <c r="K17" s="40" t="s">
        <v>80</v>
      </c>
      <c r="L17" s="44">
        <f>GETPIVOTDATA("Sum of MEMB GUEST UNACCOMPANIED",'Pivot Table'!$A$4,"DAY","Thu")+GETPIVOTDATA("Sum of MEMB GUEST UNACCOMPANIED",'Pivot Table'!$A$16,"DAY","Thu")+GETPIVOTDATA("Sum of MEMB GUEST UNACCOMPANIED",'Pivot Table'!$A$28,"DAY","Thu")+GETPIVOTDATA("Sum of MEMB GUEST UNACCOMPANIED",'Pivot Table'!$A$40,"DAY","Thu")+GETPIVOTDATA("Sum of MEMB GUEST UNACCOMPANIED",'Pivot Table'!$A$52,"DAY","Thu")+GETPIVOTDATA("Sum of MEMB GUEST UNACCOMPANIED",'Pivot Table'!$A$64,"DAY","Thu")+GETPIVOTDATA("Sum of MEMB GUEST UNACCOMPANIED",'Pivot Table'!$A$76,"DAY","Thu")+GETPIVOTDATA("Sum of MEMB GUEST UNACCOMPANIED",'Pivot Table'!$A$88,"DAY","Thu")+GETPIVOTDATA("Sum of MEMB GUEST UNACCOMPANIED",'Pivot Table'!$A$100,"DAY","Thu")+GETPIVOTDATA("Sum of MEMB GUEST UNACCOMPANIED",'Pivot Table'!$A$112,"DAY","Thu")+GETPIVOTDATA("Sum of MEMB GUEST UNACCOMPANIED",'Pivot Table'!$A$124,"DAY","Thu")+GETPIVOTDATA("Sum of MEMB GUEST UNACCOMPANIED",'Pivot Table'!$A$136,"DAY","Thu")</f>
        <v>0</v>
      </c>
      <c r="N17" s="40" t="s">
        <v>80</v>
      </c>
      <c r="O17" s="44">
        <f>GETPIVOTDATA("Sum of MEMB GUEST UNACCOMPANIED",'Pivot Table'!$A$4,"DAY","Fri")+GETPIVOTDATA("Sum of MEMB GUEST UNACCOMPANIED",'Pivot Table'!$A$16,"DAY","Fri")+GETPIVOTDATA("Sum of MEMB GUEST UNACCOMPANIED",'Pivot Table'!$A$28,"DAY","Fri")+GETPIVOTDATA("Sum of MEMB GUEST UNACCOMPANIED",'Pivot Table'!$A$40,"DAY","Fri")+GETPIVOTDATA("Sum of MEMB GUEST UNACCOMPANIED",'Pivot Table'!$A$52,"DAY","Fri")+GETPIVOTDATA("Sum of MEMB GUEST UNACCOMPANIED",'Pivot Table'!$A$64,"DAY","Fri")+GETPIVOTDATA("Sum of MEMB GUEST UNACCOMPANIED",'Pivot Table'!$A$76,"DAY","Fri")+GETPIVOTDATA("Sum of MEMB GUEST UNACCOMPANIED",'Pivot Table'!$A$88,"DAY","Fri")+GETPIVOTDATA("Sum of MEMB GUEST UNACCOMPANIED",'Pivot Table'!$A$100,"DAY","Fri")+GETPIVOTDATA("Sum of MEMB GUEST UNACCOMPANIED",'Pivot Table'!$A$112,"DAY","Fri")+GETPIVOTDATA("Sum of MEMB GUEST UNACCOMPANIED",'Pivot Table'!$A$124,"DAY","Fri")+GETPIVOTDATA("Sum of MEMB GUEST UNACCOMPANIED",'Pivot Table'!$A$136,"DAY","Fri")</f>
        <v>8</v>
      </c>
      <c r="Q17" s="40" t="s">
        <v>80</v>
      </c>
      <c r="R17" s="44">
        <f>GETPIVOTDATA("Sum of MEMB GUEST UNACCOMPANIED",'Pivot Table'!$A$4,"DAY","Sat")+GETPIVOTDATA("Sum of MEMB GUEST UNACCOMPANIED",'Pivot Table'!$A$16,"DAY","Sat")+GETPIVOTDATA("Sum of MEMB GUEST UNACCOMPANIED",'Pivot Table'!$A$28,"DAY","Sat")+GETPIVOTDATA("Sum of MEMB GUEST UNACCOMPANIED",'Pivot Table'!$A$40,"DAY","Sat")+GETPIVOTDATA("Sum of MEMB GUEST UNACCOMPANIED",'Pivot Table'!$A$52,"DAY","Sat")+GETPIVOTDATA("Sum of MEMB GUEST UNACCOMPANIED",'Pivot Table'!$A$64,"DAY","Sat")+GETPIVOTDATA("Sum of MEMB GUEST UNACCOMPANIED",'Pivot Table'!$A$76,"DAY","Sat")+GETPIVOTDATA("Sum of MEMB GUEST UNACCOMPANIED",'Pivot Table'!$A$88,"DAY","Sat")+GETPIVOTDATA("Sum of MEMB GUEST UNACCOMPANIED",'Pivot Table'!$A$100,"DAY","Sat")+GETPIVOTDATA("Sum of MEMB GUEST UNACCOMPANIED",'Pivot Table'!$A$112,"DAY","Sat")+GETPIVOTDATA("Sum of MEMB GUEST UNACCOMPANIED",'Pivot Table'!$A$124,"DAY","Sat")+GETPIVOTDATA("Sum of MEMB GUEST UNACCOMPANIED",'Pivot Table'!$A$136,"DAY","Sat")</f>
        <v>0</v>
      </c>
      <c r="T17" s="40" t="s">
        <v>80</v>
      </c>
      <c r="U17" s="44">
        <f>GETPIVOTDATA("Sum of MEMB GUEST UNACCOMPANIED",'Pivot Table'!$A$4,"DAY","Sun")+GETPIVOTDATA("Sum of MEMB GUEST UNACCOMPANIED",'Pivot Table'!$A$16,"DAY","Sun")+GETPIVOTDATA("Sum of MEMB GUEST UNACCOMPANIED",'Pivot Table'!$A$28,"DAY","Sun")+GETPIVOTDATA("Sum of MEMB GUEST UNACCOMPANIED",'Pivot Table'!$A$40,"DAY","Sun")+GETPIVOTDATA("Sum of MEMB GUEST UNACCOMPANIED",'Pivot Table'!$A$52,"DAY","Sun")+GETPIVOTDATA("Sum of MEMB GUEST UNACCOMPANIED",'Pivot Table'!$A$64,"DAY","Sun")+GETPIVOTDATA("Sum of MEMB GUEST UNACCOMPANIED",'Pivot Table'!$A$76,"DAY","Sun")+GETPIVOTDATA("Sum of MEMB GUEST UNACCOMPANIED",'Pivot Table'!$A$88,"DAY","Sun")+GETPIVOTDATA("Sum of MEMB GUEST UNACCOMPANIED",'Pivot Table'!$A$100,"DAY","Sun")+GETPIVOTDATA("Sum of MEMB GUEST UNACCOMPANIED",'Pivot Table'!$A$112,"DAY","Sun")+GETPIVOTDATA("Sum of MEMB GUEST UNACCOMPANIED",'Pivot Table'!$A$124,"DAY","Sun")+GETPIVOTDATA("Sum of MEMB GUEST UNACCOMPANIED",'Pivot Table'!$A$136,"DAY","Sun")</f>
        <v>0</v>
      </c>
    </row>
    <row r="18" spans="2:21" x14ac:dyDescent="0.25">
      <c r="B18" s="44" t="s">
        <v>6</v>
      </c>
      <c r="C18" s="44">
        <f>GETPIVOTDATA("Sum of CORPORATE",'Pivot Table'!$A$4,"DAY","Mon")+GETPIVOTDATA("Sum of CORPORATE",'Pivot Table'!$A$16,"DAY","Mon")+GETPIVOTDATA("Sum of CORPORATE",'Pivot Table'!$A$28,"DAY","Mon")+GETPIVOTDATA("Sum of CORPORATE",'Pivot Table'!$A$40,"DAY","Mon")+GETPIVOTDATA("Sum of CORPORATE",'Pivot Table'!$A$52,"DAY","Mon")+GETPIVOTDATA("Sum of CORPORATE",'Pivot Table'!$A$64,"DAY","Mon")+GETPIVOTDATA("Sum of CORPORATE",'Pivot Table'!$A$76,"DAY","Mon")+GETPIVOTDATA("Sum of CORPORATE",'Pivot Table'!$A$88,"DAY","Mon")+GETPIVOTDATA("Sum of CORPORATE",'Pivot Table'!$A$100,"DAY","Mon")+GETPIVOTDATA("Sum of CORPORATE",'Pivot Table'!$A$112,"DAY","Mon")+GETPIVOTDATA("Sum of CORPORATE",'Pivot Table'!$A$124,"DAY","Mon")+GETPIVOTDATA("Sum of CORPORATE",'Pivot Table'!$A$136,"DAY","Mon")</f>
        <v>100</v>
      </c>
      <c r="E18" s="44" t="s">
        <v>6</v>
      </c>
      <c r="F18" s="44">
        <f>GETPIVOTDATA("Sum of CORPORATE",'Pivot Table'!$A$4,"DAY","Tue")+GETPIVOTDATA("Sum of CORPORATE",'Pivot Table'!$A$16,"DAY","Tue")+GETPIVOTDATA("Sum of CORPORATE",'Pivot Table'!$A$28,"DAY","Tue")+GETPIVOTDATA("Sum of CORPORATE",'Pivot Table'!$A$40,"DAY","Tue")+GETPIVOTDATA("Sum of CORPORATE",'Pivot Table'!$A$52,"DAY","Tue")+GETPIVOTDATA("Sum of CORPORATE",'Pivot Table'!$A$64,"DAY","Tue")+GETPIVOTDATA("Sum of CORPORATE",'Pivot Table'!$A$76,"DAY","Tue")+GETPIVOTDATA("Sum of CORPORATE",'Pivot Table'!$A$88,"DAY","Tue")+GETPIVOTDATA("Sum of CORPORATE",'Pivot Table'!$A$100,"DAY","Tue")+GETPIVOTDATA("Sum of CORPORATE",'Pivot Table'!$A$112,"DAY","Tue")+GETPIVOTDATA("Sum of CORPORATE",'Pivot Table'!$A$124,"DAY","Tue")+GETPIVOTDATA("Sum of CORPORATE",'Pivot Table'!$A$136,"DAY","Tue")</f>
        <v>0</v>
      </c>
      <c r="H18" s="44" t="s">
        <v>6</v>
      </c>
      <c r="I18" s="44">
        <f>GETPIVOTDATA("Sum of CORPORATE",'Pivot Table'!$A$4,"DAY","Wed")+GETPIVOTDATA("Sum of CORPORATE",'Pivot Table'!$A$16,"DAY","Wed")+GETPIVOTDATA("Sum of CORPORATE",'Pivot Table'!$A$28,"DAY","Wed")+GETPIVOTDATA("Sum of CORPORATE",'Pivot Table'!$A$40,"DAY","Wed")+GETPIVOTDATA("Sum of CORPORATE",'Pivot Table'!$A$52,"DAY","Wed")+GETPIVOTDATA("Sum of CORPORATE",'Pivot Table'!$A$64,"DAY","Wed")+GETPIVOTDATA("Sum of CORPORATE",'Pivot Table'!$A$76,"DAY","Wed")+GETPIVOTDATA("Sum of CORPORATE",'Pivot Table'!$A$88,"DAY","Wed")+GETPIVOTDATA("Sum of CORPORATE",'Pivot Table'!$A$100,"DAY","Wed")+GETPIVOTDATA("Sum of CORPORATE",'Pivot Table'!$A$112,"DAY","Wed")+GETPIVOTDATA("Sum of CORPORATE",'Pivot Table'!$A$124,"DAY","Wed")+GETPIVOTDATA("Sum of CORPORATE",'Pivot Table'!$A$136,"DAY","Wed")</f>
        <v>2001</v>
      </c>
      <c r="K18" s="44" t="s">
        <v>6</v>
      </c>
      <c r="L18" s="44">
        <f>GETPIVOTDATA("Sum of CORPORATE",'Pivot Table'!$A$4,"DAY","Thu")+GETPIVOTDATA("Sum of CORPORATE",'Pivot Table'!$A$16,"DAY","Thu")++GETPIVOTDATA("Sum of CORPORATE",'Pivot Table'!$A$28,"DAY","Thu")+GETPIVOTDATA("Sum of CORPORATE",'Pivot Table'!$A$40,"DAY","Thu")+GETPIVOTDATA("Sum of CORPORATE",'Pivot Table'!$A$52,"DAY","Thu")+GETPIVOTDATA("Sum of CORPORATE",'Pivot Table'!$A$64,"DAY","Thu")+GETPIVOTDATA("Sum of CORPORATE",'Pivot Table'!$A$76,"DAY","Thu")+GETPIVOTDATA("Sum of CORPORATE",'Pivot Table'!$A$88,"DAY","Thu")+GETPIVOTDATA("Sum of CORPORATE",'Pivot Table'!$A$100,"DAY","Thu")+GETPIVOTDATA("Sum of CORPORATE",'Pivot Table'!$A$112,"DAY","Thu")+GETPIVOTDATA("Sum of CORPORATE",'Pivot Table'!$A$124,"DAY","Thu")+GETPIVOTDATA("Sum of CORPORATE",'Pivot Table'!$A$136,"DAY","Thu")</f>
        <v>0</v>
      </c>
      <c r="N18" s="44" t="s">
        <v>6</v>
      </c>
      <c r="O18" s="44">
        <f>GETPIVOTDATA("Sum of CORPORATE",'Pivot Table'!$A$4,"DAY","Fri")+GETPIVOTDATA("Sum of CORPORATE",'Pivot Table'!$A$16,"DAY","Fri")+GETPIVOTDATA("Sum of CORPORATE",'Pivot Table'!$A$28,"DAY","Fri")+GETPIVOTDATA("Sum of CORPORATE",'Pivot Table'!$A$40,"DAY","Fri")+GETPIVOTDATA("Sum of CORPORATE",'Pivot Table'!$A$52,"DAY","Fri")+GETPIVOTDATA("Sum of CORPORATE",'Pivot Table'!$A$64,"DAY","Fri")+GETPIVOTDATA("Sum of CORPORATE",'Pivot Table'!$A$76,"DAY","Sat")+GETPIVOTDATA("Sum of CORPORATE",'Pivot Table'!$A$88,"DAY","Fri")+GETPIVOTDATA("Sum of CORPORATE",'Pivot Table'!$A$100,"DAY","Fri")+GETPIVOTDATA("Sum of CORPORATE",'Pivot Table'!$A$112,"DAY","Fri")+GETPIVOTDATA("Sum of CORPORATE",'Pivot Table'!$A$124,"DAY","Fri")+GETPIVOTDATA("Sum of CORPORATE",'Pivot Table'!$A$136,"DAY","Fri")</f>
        <v>493</v>
      </c>
      <c r="Q18" s="44" t="s">
        <v>6</v>
      </c>
      <c r="R18" s="44">
        <f>GETPIVOTDATA("Sum of CORPORATE",'Pivot Table'!$A$4,"DAY","Sat")+GETPIVOTDATA("Sum of CORPORATE",'Pivot Table'!$A$16,"DAY","Sat")+GETPIVOTDATA("Sum of CORPORATE",'Pivot Table'!$A$28,"DAY","Sat")+GETPIVOTDATA("Sum of CORPORATE",'Pivot Table'!$A$40,"DAY","Sat")+GETPIVOTDATA("Sum of CORPORATE",'Pivot Table'!$A$52,"DAY","Sat")+GETPIVOTDATA("Sum of CORPORATE",'Pivot Table'!$A$64,"DAY","Sat")+GETPIVOTDATA("Sum of CORPORATE",'Pivot Table'!$A$76,"DAY","Sat")+GETPIVOTDATA("Sum of CORPORATE",'Pivot Table'!$A$88,"DAY","Sat")+GETPIVOTDATA("Sum of CORPORATE",'Pivot Table'!$A$100,"DAY","Sat")+GETPIVOTDATA("Sum of CORPORATE",'Pivot Table'!$A$112,"DAY","Sat")+GETPIVOTDATA("Sum of CORPORATE",'Pivot Table'!$A$124,"DAY","Sat")+GETPIVOTDATA("Sum of CORPORATE",'Pivot Table'!$A$136,"DAY","Sat")</f>
        <v>12</v>
      </c>
      <c r="T18" s="44" t="s">
        <v>6</v>
      </c>
      <c r="U18" s="44">
        <f>GETPIVOTDATA("Sum of CORPORATE",'Pivot Table'!$A$4,"DAY","Sun")+GETPIVOTDATA("Sum of CORPORATE",'Pivot Table'!$A$16,"DAY","Sun")+GETPIVOTDATA("Sum of CORPORATE",'Pivot Table'!$A$28,"DAY","Sun")+GETPIVOTDATA("Sum of CORPORATE",'Pivot Table'!$A$40,"DAY","Sun")+GETPIVOTDATA("Sum of CORPORATE",'Pivot Table'!$A$52,"DAY","Sun")+GETPIVOTDATA("Sum of CORPORATE",'Pivot Table'!$A$64,"DAY","Sun")+GETPIVOTDATA("Sum of CORPORATE",'Pivot Table'!$A$76,"DAY","Sun")+GETPIVOTDATA("Sum of CORPORATE",'Pivot Table'!$A$88,"DAY","Sun")+GETPIVOTDATA("Sum of CORPORATE",'Pivot Table'!$A$100,"DAY","Sun")+GETPIVOTDATA("Sum of CORPORATE",'Pivot Table'!$A$112,"DAY","Sun")+GETPIVOTDATA("Sum of CORPORATE",'Pivot Table'!$A$124,"DAY","Sun")+GETPIVOTDATA("Sum of CORPORATE",'Pivot Table'!$A$136,"DAY","Sun")</f>
        <v>0</v>
      </c>
    </row>
    <row r="19" spans="2:21" x14ac:dyDescent="0.25">
      <c r="B19" s="44" t="s">
        <v>86</v>
      </c>
      <c r="C19" s="44">
        <f>GETPIVOTDATA("Sum of NON-PLAYING",'Pivot Table'!$A$4,"DAY","Mon")+GETPIVOTDATA("Sum of NON-PLAYING",'Pivot Table'!$A$16,"DAY","Mon")+GETPIVOTDATA("Sum of NON-PLAYING",'Pivot Table'!$A$28,"DAY","Mon")+GETPIVOTDATA("Sum of NON-PLAYING",'Pivot Table'!$A$40,"DAY","Mon")+GETPIVOTDATA("Sum of NON-PLAYING",'Pivot Table'!$A$52,"DAY","Mon")+GETPIVOTDATA("Sum of NON-PLAYING",'Pivot Table'!$A$64,"DAY","Mon")+GETPIVOTDATA("Sum of NON-PLAYING",'Pivot Table'!$A$76,"DAY","Mon")+GETPIVOTDATA("Sum of NON-PLAYING",'Pivot Table'!$A$88,"DAY","Mon")+GETPIVOTDATA("Sum of NON-PLAYING",'Pivot Table'!$A$100,"DAY","Mon")+GETPIVOTDATA("Sum of NON-PLAYING",'Pivot Table'!$A$112,"DAY","Mon")+GETPIVOTDATA("Sum of NON-PLAYING",'Pivot Table'!$A$124,"DAY","Mon")+GETPIVOTDATA("Sum of NON-PLAYING",'Pivot Table'!$A$136,"DAY","Mon")</f>
        <v>72</v>
      </c>
      <c r="E19" s="44" t="s">
        <v>86</v>
      </c>
      <c r="F19" s="44">
        <f>GETPIVOTDATA("Sum of NON-PLAYING",'Pivot Table'!$A$4,"DAY","Tue")+GETPIVOTDATA("Sum of NON-PLAYING",'Pivot Table'!$A$16,"DAY","Tue")+GETPIVOTDATA("Sum of NON-PLAYING",'Pivot Table'!$A$28,"DAY","Tue")+GETPIVOTDATA("Sum of NON-PLAYING",'Pivot Table'!$A$40,"DAY","Tue")+GETPIVOTDATA("Sum of NON-PLAYING",'Pivot Table'!$A$52,"DAY","Tue")+GETPIVOTDATA("Sum of NON-PLAYING",'Pivot Table'!$A$64,"DAY","Tue")+GETPIVOTDATA("Sum of NON-PLAYING",'Pivot Table'!$A$76,"DAY","Tue")+GETPIVOTDATA("Sum of NON-PLAYING",'Pivot Table'!$A$88,"DAY","Tue")+GETPIVOTDATA("Sum of NON-PLAYING",'Pivot Table'!$A$100,"DAY","Tue")+GETPIVOTDATA("Sum of NON-PLAYING",'Pivot Table'!$A$112,"DAY","Tue")+GETPIVOTDATA("Sum of NON-PLAYING",'Pivot Table'!$A$124,"DAY","Tue")+GETPIVOTDATA("Sum of NON-PLAYING",'Pivot Table'!$A$136,"DAY","Tue")</f>
        <v>45</v>
      </c>
      <c r="H19" s="44" t="s">
        <v>86</v>
      </c>
      <c r="I19" s="44">
        <f>GETPIVOTDATA("Sum of NON-PLAYING",'Pivot Table'!$A$4,"DAY","Wed")+GETPIVOTDATA("Sum of NON-PLAYING",'Pivot Table'!$A$16,"DAY","Wed")+GETPIVOTDATA("Sum of NON-PLAYING",'Pivot Table'!$A$28,"DAY","Wed")+GETPIVOTDATA("Sum of NON-PLAYING",'Pivot Table'!$A$40,"DAY","Wed")+GETPIVOTDATA("Sum of NON-PLAYING",'Pivot Table'!$A$52,"DAY","Wed")+GETPIVOTDATA("Sum of NON-PLAYING",'Pivot Table'!$A$64,"DAY","Wed")+GETPIVOTDATA("Sum of NON-PLAYING",'Pivot Table'!$A$76,"DAY","Wed")+GETPIVOTDATA("Sum of NON-PLAYING",'Pivot Table'!$A$88,"DAY","Wed")+GETPIVOTDATA("Sum of NON-PLAYING",'Pivot Table'!$A$100,"DAY","Wed")+GETPIVOTDATA("Sum of NON-PLAYING",'Pivot Table'!$A$112,"DAY","Wed")+GETPIVOTDATA("Sum of NON-PLAYING",'Pivot Table'!$A$124,"DAY","Wed")+GETPIVOTDATA("Sum of NON-PLAYING",'Pivot Table'!$A$136,"DAY","Wed")</f>
        <v>24</v>
      </c>
      <c r="K19" s="44" t="s">
        <v>86</v>
      </c>
      <c r="L19" s="44">
        <f>GETPIVOTDATA("Sum of NON-PLAYING",'Pivot Table'!$A$4,"DAY","Thu")+GETPIVOTDATA("Sum of NON-PLAYING",'Pivot Table'!$A$16,"DAY","Thu")+GETPIVOTDATA("Sum of NON-PLAYING",'Pivot Table'!$A$28,"DAY","Thu")+GETPIVOTDATA("Sum of NON-PLAYING",'Pivot Table'!$A$40,"DAY","Thu")+GETPIVOTDATA("Sum of NON-PLAYING",'Pivot Table'!$A$52,"DAY","Thu")+GETPIVOTDATA("Sum of NON-PLAYING",'Pivot Table'!$A$64,"DAY","Thu")+GETPIVOTDATA("Sum of NON-PLAYING",'Pivot Table'!$A$76,"DAY","Thu")+GETPIVOTDATA("Sum of NON-PLAYING",'Pivot Table'!$A$88,"DAY","Thu")+GETPIVOTDATA("Sum of NON-PLAYING",'Pivot Table'!$A$100,"DAY","Thu")+GETPIVOTDATA("Sum of NON-PLAYING",'Pivot Table'!$A$112,"DAY","Thu")+GETPIVOTDATA("Sum of NON-PLAYING",'Pivot Table'!$A$124,"DAY","Thu")+GETPIVOTDATA("Sum of NON-PLAYING",'Pivot Table'!$A$136,"DAY","Thu")</f>
        <v>69</v>
      </c>
      <c r="N19" s="44" t="s">
        <v>86</v>
      </c>
      <c r="O19" s="44">
        <f>GETPIVOTDATA("Sum of NON-PLAYING",'Pivot Table'!$A$4,"DAY","Fri")+GETPIVOTDATA("Sum of NON-PLAYING",'Pivot Table'!$A$16,"DAY","Fri")+GETPIVOTDATA("Sum of NON-PLAYING",'Pivot Table'!$A$28,"DAY","Fri")+GETPIVOTDATA("Sum of NON-PLAYING",'Pivot Table'!$A$40,"DAY","Fri")+GETPIVOTDATA("Sum of NON-PLAYING",'Pivot Table'!$A$52,"DAY","Fri")+GETPIVOTDATA("Sum of NON-PLAYING",'Pivot Table'!$A$64,"DAY","Fri")+GETPIVOTDATA("Sum of NON-PLAYING",'Pivot Table'!$A$76,"DAY","Fri")+GETPIVOTDATA("Sum of NON-PLAYING",'Pivot Table'!$A$88,"DAY","Fri")+GETPIVOTDATA("Sum of NON-PLAYING",'Pivot Table'!$A$100,"DAY","Fri")+GETPIVOTDATA("Sum of NON-PLAYING",'Pivot Table'!$A$112,"DAY","Fri")+GETPIVOTDATA("Sum of NON-PLAYING",'Pivot Table'!$A$124,"DAY","Fri")+GETPIVOTDATA("Sum of NON-PLAYING",'Pivot Table'!$A$136,"DAY","Fri")</f>
        <v>82</v>
      </c>
      <c r="Q19" s="44" t="s">
        <v>86</v>
      </c>
      <c r="R19" s="44">
        <f>GETPIVOTDATA("Sum of NON-PLAYING",'Pivot Table'!$A$4,"DAY","Sat")+GETPIVOTDATA("Sum of NON-PLAYING",'Pivot Table'!$A$16,"DAY","Sat")+GETPIVOTDATA("Sum of NON-PLAYING",'Pivot Table'!$A$28,"DAY","Sat")+GETPIVOTDATA("Sum of NON-PLAYING",'Pivot Table'!$A$40,"DAY","Sat")+GETPIVOTDATA("Sum of NON-PLAYING",'Pivot Table'!$A$52,"DAY","Sat")+GETPIVOTDATA("Sum of NON-PLAYING",'Pivot Table'!$A$64,"DAY","Sat")+GETPIVOTDATA("Sum of NON-PLAYING",'Pivot Table'!$A$76,"DAY","Sat")+GETPIVOTDATA("Sum of NON-PLAYING",'Pivot Table'!$A$88,"DAY","Sat")+GETPIVOTDATA("Sum of NON-PLAYING",'Pivot Table'!$A$100,"DAY","Sat")+GETPIVOTDATA("Sum of NON-PLAYING",'Pivot Table'!$A$112,"DAY","Sat")+GETPIVOTDATA("Sum of NON-PLAYING",'Pivot Table'!$A$124,"DAY","Sat")+GETPIVOTDATA("Sum of NON-PLAYING",'Pivot Table'!$A$136,"DAY","Sat")</f>
        <v>30</v>
      </c>
      <c r="T19" s="44" t="s">
        <v>86</v>
      </c>
      <c r="U19" s="44">
        <f>GETPIVOTDATA("Sum of NON-PLAYING",'Pivot Table'!$A$4,"DAY","Sun")+GETPIVOTDATA("Sum of NON-PLAYING",'Pivot Table'!$A$16,"DAY","Sun")+GETPIVOTDATA("Sum of NON-PLAYING",'Pivot Table'!$A$28,"DAY","Sun")+GETPIVOTDATA("Sum of NON-PLAYING",'Pivot Table'!$A$40,"DAY","Sun")+GETPIVOTDATA("Sum of NON-PLAYING",'Pivot Table'!$A$52,"DAY","Sun")+GETPIVOTDATA("Sum of NON-PLAYING",'Pivot Table'!$A$64,"DAY","Sun")+GETPIVOTDATA("Sum of NON-PLAYING",'Pivot Table'!$A$76,"DAY","Sun")+GETPIVOTDATA("Sum of NON-PLAYING",'Pivot Table'!$A$88,"DAY","Sun")+GETPIVOTDATA("Sum of NON-PLAYING",'Pivot Table'!$A$100,"DAY","Sun")+GETPIVOTDATA("Sum of NON-PLAYING",'Pivot Table'!$A$112,"DAY","Sun")+GETPIVOTDATA("Sum of NON-PLAYING",'Pivot Table'!$A$124,"DAY","Sun")+GETPIVOTDATA("Sum of NON-PLAYING",'Pivot Table'!$A$136,"DAY","Sun")</f>
        <v>82</v>
      </c>
    </row>
    <row r="20" spans="2:21" x14ac:dyDescent="0.25">
      <c r="B20" s="44" t="s">
        <v>81</v>
      </c>
      <c r="C20" s="44">
        <f>GETPIVOTDATA("Sum of VOUCHER",'Pivot Table'!$A$4,"DAY","Mon")+GETPIVOTDATA("Sum of VOUCHER",'Pivot Table'!$A$16,"DAY","Mon")+GETPIVOTDATA("Sum of VOUCHER",'Pivot Table'!$A$28,"DAY","Mon")+GETPIVOTDATA("Sum of VOUCHER",'Pivot Table'!$A$40,"DAY","Mon")+GETPIVOTDATA("Sum of VOUCHER",'Pivot Table'!$A$52,"DAY","Mon")+GETPIVOTDATA("Sum of VOUCHER",'Pivot Table'!$A$64,"DAY","Mon")+GETPIVOTDATA("Sum of VOUCHER",'Pivot Table'!$A$76,"DAY","Mon")+GETPIVOTDATA("Sum of VOUCHER",'Pivot Table'!$A$88,"DAY","Mon")+GETPIVOTDATA("Sum of VOUCHER",'Pivot Table'!$A$100,"DAY","Mon")+GETPIVOTDATA("Sum of VOUCHER",'Pivot Table'!$A$112,"DAY","Mon")+GETPIVOTDATA("Sum of VOUCHER",'Pivot Table'!$A$124,"DAY","Mon")+GETPIVOTDATA("Sum of VOUCHER",'Pivot Table'!$A$136,"DAY","Mon")</f>
        <v>53</v>
      </c>
      <c r="E20" s="44" t="s">
        <v>81</v>
      </c>
      <c r="F20" s="44">
        <f>GETPIVOTDATA("Sum of VOUCHER",'Pivot Table'!$A$4,"DAY","Tue")+GETPIVOTDATA("Sum of VOUCHER",'Pivot Table'!$A$16,"DAY","Tue")+GETPIVOTDATA("Sum of VOUCHER",'Pivot Table'!$A$28,"DAY","Tue")+GETPIVOTDATA("Sum of VOUCHER",'Pivot Table'!$A$40,"DAY","Tue")+GETPIVOTDATA("Sum of VOUCHER",'Pivot Table'!$A$52,"DAY","Tue")+GETPIVOTDATA("Sum of VOUCHER",'Pivot Table'!$A$64,"DAY","Tue")+GETPIVOTDATA("Sum of VOUCHER",'Pivot Table'!$A$76,"DAY","Tue")+GETPIVOTDATA("Sum of VOUCHER",'Pivot Table'!$A$88,"DAY","Tue")+GETPIVOTDATA("Sum of VOUCHER",'Pivot Table'!$A$100,"DAY","Tue")+GETPIVOTDATA("Sum of VOUCHER",'Pivot Table'!$A$112,"DAY","Tue")+GETPIVOTDATA("Sum of VOUCHER",'Pivot Table'!$A$124,"DAY","Tue")+GETPIVOTDATA("Sum of VOUCHER",'Pivot Table'!$A$136,"DAY","Tue")</f>
        <v>0</v>
      </c>
      <c r="H20" s="44" t="s">
        <v>81</v>
      </c>
      <c r="I20" s="44">
        <f>GETPIVOTDATA("Sum of VOUCHER",'Pivot Table'!$A$4,"DAY","Wed")+GETPIVOTDATA("Sum of VOUCHER",'Pivot Table'!$A$16,"DAY","Wed")+GETPIVOTDATA("Sum of VOUCHER",'Pivot Table'!$A$28,"DAY","Wed")+GETPIVOTDATA("Sum of VOUCHER",'Pivot Table'!$A$40,"DAY","Wed")+GETPIVOTDATA("Sum of VOUCHER",'Pivot Table'!$A$52,"DAY","Wed")+GETPIVOTDATA("Sum of VOUCHER",'Pivot Table'!$A$64,"DAY","Wed")+GETPIVOTDATA("Sum of VOUCHER",'Pivot Table'!$A$76,"DAY","Wed")+GETPIVOTDATA("Sum of VOUCHER",'Pivot Table'!$A$88,"DAY","Wed")+GETPIVOTDATA("Sum of VOUCHER",'Pivot Table'!$A$100,"DAY","Wed")+GETPIVOTDATA("Sum of VOUCHER",'Pivot Table'!$A$112,"DAY","Wed")+GETPIVOTDATA("Sum of VOUCHER",'Pivot Table'!$A$124,"DAY","Wed")+GETPIVOTDATA("Sum of VOUCHER",'Pivot Table'!$A$136,"DAY","Wed")</f>
        <v>72</v>
      </c>
      <c r="K20" s="44" t="s">
        <v>81</v>
      </c>
      <c r="L20" s="44">
        <f>GETPIVOTDATA("Sum of VOUCHER",'Pivot Table'!$A$4,"DAY","Thu")+GETPIVOTDATA("Sum of VOUCHER",'Pivot Table'!$A$16,"DAY","Thu")+GETPIVOTDATA("Sum of VOUCHER",'Pivot Table'!$A$28,"DAY","Thu")+GETPIVOTDATA("Sum of VOUCHER",'Pivot Table'!$A$40,"DAY","Thu")+GETPIVOTDATA("Sum of VOUCHER",'Pivot Table'!$A$52,"DAY","Thu")+GETPIVOTDATA("Sum of VOUCHER",'Pivot Table'!$A$64,"DAY","Thu")+GETPIVOTDATA("Sum of VOUCHER",'Pivot Table'!$A$76,"DAY","Thu")+GETPIVOTDATA("Sum of VOUCHER",'Pivot Table'!$A$88,"DAY","Thu")+GETPIVOTDATA("Sum of VOUCHER",'Pivot Table'!$A$100,"DAY","Thu")+GETPIVOTDATA("Sum of VOUCHER",'Pivot Table'!$A$112,"DAY","Thu")+GETPIVOTDATA("Sum of VOUCHER",'Pivot Table'!$A$124,"DAY","Thu")+GETPIVOTDATA("Sum of VOUCHER",'Pivot Table'!$A$136,"DAY","Thu")</f>
        <v>0</v>
      </c>
      <c r="N20" s="44" t="s">
        <v>81</v>
      </c>
      <c r="O20" s="44">
        <f>GETPIVOTDATA("Sum of VOUCHER",'Pivot Table'!$A$4,"DAY","Fri")+GETPIVOTDATA("Sum of VOUCHER",'Pivot Table'!$A$16,"DAY","Fri")+GETPIVOTDATA("Sum of VOUCHER",'Pivot Table'!$A$28,"DAY","Fri")+GETPIVOTDATA("Sum of VOUCHER",'Pivot Table'!$A$40,"DAY","Fri")+GETPIVOTDATA("Sum of VOUCHER",'Pivot Table'!$A$52,"DAY","Fri")+GETPIVOTDATA("Sum of VOUCHER",'Pivot Table'!$A$64,"DAY","Fri")+GETPIVOTDATA("Sum of VOUCHER",'Pivot Table'!$A$76,"DAY","Fri")+GETPIVOTDATA("Sum of VOUCHER",'Pivot Table'!$A$88,"DAY","Fri")+GETPIVOTDATA("Sum of VOUCHER",'Pivot Table'!$A$100,"DAY","Fri")+GETPIVOTDATA("Sum of VOUCHER",'Pivot Table'!$A$112,"DAY","Fri")+GETPIVOTDATA("Sum of VOUCHER",'Pivot Table'!$A$124,"DAY","Fri")+GETPIVOTDATA("Sum of VOUCHER",'Pivot Table'!$A$136,"DAY","Fri")</f>
        <v>252</v>
      </c>
      <c r="Q20" s="44" t="s">
        <v>81</v>
      </c>
      <c r="R20" s="44">
        <f>GETPIVOTDATA("Sum of VOUCHER",'Pivot Table'!$A$4,"DAY","Sat")+GETPIVOTDATA("Sum of VOUCHER",'Pivot Table'!$A$16,"DAY","Sat")+GETPIVOTDATA("Sum of VOUCHER",'Pivot Table'!$A$28,"DAY","Sat")+GETPIVOTDATA("Sum of VOUCHER",'Pivot Table'!$A$40,"DAY","Sat")+GETPIVOTDATA("Sum of VOUCHER",'Pivot Table'!$A$52,"DAY","Sat")+GETPIVOTDATA("Sum of VOUCHER",'Pivot Table'!$A$64,"DAY","Sat")+GETPIVOTDATA("Sum of VOUCHER",'Pivot Table'!$A$76,"DAY","Sat")+GETPIVOTDATA("Sum of VOUCHER",'Pivot Table'!$A$88,"DAY","Sat")+GETPIVOTDATA("Sum of VOUCHER",'Pivot Table'!$A$100,"DAY","Sat")+GETPIVOTDATA("Sum of VOUCHER",'Pivot Table'!$A$112,"DAY","Sat")+GETPIVOTDATA("Sum of VOUCHER",'Pivot Table'!$A$124,"DAY","Sat")+GETPIVOTDATA("Sum of VOUCHER",'Pivot Table'!$A$136,"DAY","Sat")</f>
        <v>0</v>
      </c>
      <c r="T20" s="44" t="s">
        <v>81</v>
      </c>
      <c r="U20" s="44">
        <f>GETPIVOTDATA("Sum of VOUCHER",'Pivot Table'!$A$4,"DAY","Sun")+GETPIVOTDATA("Sum of VOUCHER",'Pivot Table'!$A$16,"DAY","Sun")+GETPIVOTDATA("Sum of VOUCHER",'Pivot Table'!$A$28,"DAY","Sun")+GETPIVOTDATA("Sum of VOUCHER",'Pivot Table'!$A$40,"DAY","Sun")+GETPIVOTDATA("Sum of VOUCHER",'Pivot Table'!$A$52,"DAY","Sun")+GETPIVOTDATA("Sum of VOUCHER",'Pivot Table'!$A$64,"DAY","Sun")+GETPIVOTDATA("Sum of VOUCHER",'Pivot Table'!$A$76,"DAY","Sun")+GETPIVOTDATA("Sum of VOUCHER",'Pivot Table'!$A$88,"DAY","Sun")+GETPIVOTDATA("Sum of VOUCHER",'Pivot Table'!$A$100,"DAY","Sun")+GETPIVOTDATA("Sum of VOUCHER",'Pivot Table'!$A$112,"DAY","Sun")+GETPIVOTDATA("Sum of VOUCHER",'Pivot Table'!$A$124,"DAY","Sun")+GETPIVOTDATA("Sum of VOUCHER",'Pivot Table'!$A$136,"DAY","Sun")</f>
        <v>145</v>
      </c>
    </row>
    <row r="21" spans="2:21" x14ac:dyDescent="0.25">
      <c r="B21" s="44" t="s">
        <v>7</v>
      </c>
      <c r="C21" s="44">
        <f>GETPIVOTDATA("Sum of RECIP",'Pivot Table'!$A$4,"DAY","Mon")+GETPIVOTDATA("Sum of RECIP",'Pivot Table'!$A$16,"DAY","Mon")+GETPIVOTDATA("Sum of RECIP",'Pivot Table'!$A$28,"DAY","Mon")+GETPIVOTDATA("Sum of RECIP",'Pivot Table'!$A$40,"DAY","Mon")+GETPIVOTDATA("Sum of RECIP",'Pivot Table'!$A$52,"DAY","Mon")+GETPIVOTDATA("Sum of RECIP",'Pivot Table'!$A$64,"DAY","Mon")+GETPIVOTDATA("Sum of RECIP",'Pivot Table'!$A$76,"DAY","Mon")+GETPIVOTDATA("Sum of RECIP",'Pivot Table'!$A$88,"DAY","Mon")+GETPIVOTDATA("Sum of RECIP",'Pivot Table'!$A$100,"DAY","Mon")+GETPIVOTDATA("Sum of RECIP",'Pivot Table'!$A$112,"DAY","Mon")+GETPIVOTDATA("Sum of RECIP",'Pivot Table'!$A$124,"DAY","Mon")+GETPIVOTDATA("Sum of RECIP",'Pivot Table'!$A$136,"DAY","Mon")</f>
        <v>182</v>
      </c>
      <c r="E21" s="44" t="s">
        <v>7</v>
      </c>
      <c r="F21" s="44">
        <f>GETPIVOTDATA("Sum of RECIP",'Pivot Table'!$A$4,"DAY","Tue")+GETPIVOTDATA("Sum of RECIP",'Pivot Table'!$A$16,"DAY","Tue")+GETPIVOTDATA("Sum of RECIP",'Pivot Table'!$A$28,"DAY","Tue")+GETPIVOTDATA("Sum of RECIP",'Pivot Table'!$A$40,"DAY","Tue")+GETPIVOTDATA("Sum of RECIP",'Pivot Table'!$A$52,"DAY","Tue")+GETPIVOTDATA("Sum of RECIP",'Pivot Table'!$A$64,"DAY","Tue")+GETPIVOTDATA("Sum of RECIP",'Pivot Table'!$A$76,"DAY","Tue")+GETPIVOTDATA("Sum of RECIP",'Pivot Table'!$A$88,"DAY","Tue")+GETPIVOTDATA("Sum of RECIP",'Pivot Table'!$A$100,"DAY","Tue")+GETPIVOTDATA("Sum of RECIP",'Pivot Table'!$A$112,"DAY","Tue")+GETPIVOTDATA("Sum of RECIP",'Pivot Table'!$A$124,"DAY","Tue")+GETPIVOTDATA("Sum of RECIP",'Pivot Table'!$A$136,"DAY","Tue")</f>
        <v>17</v>
      </c>
      <c r="H21" s="44" t="s">
        <v>7</v>
      </c>
      <c r="I21" s="44">
        <f>GETPIVOTDATA("Sum of RECIP",'Pivot Table'!$A$4,"DAY","Wed")+GETPIVOTDATA("Sum of RECIP",'Pivot Table'!$A$16,"DAY","Wed")+GETPIVOTDATA("Sum of RECIP",'Pivot Table'!$A$28,"DAY","Wed")+GETPIVOTDATA("Sum of RECIP",'Pivot Table'!$A$40,"DAY","Wed")+GETPIVOTDATA("Sum of RECIP",'Pivot Table'!$A$52,"DAY","Wed")+GETPIVOTDATA("Sum of RECIP",'Pivot Table'!$A$64,"DAY","Wed")+GETPIVOTDATA("Sum of RECIP",'Pivot Table'!$A$76,"DAY","Wed")+GETPIVOTDATA("Sum of RECIP",'Pivot Table'!$A$88,"DAY","Wed")+GETPIVOTDATA("Sum of RECIP",'Pivot Table'!$A$100,"DAY","Wed")+GETPIVOTDATA("Sum of RECIP",'Pivot Table'!$A$112,"DAY","Wed")+GETPIVOTDATA("Sum of RECIP",'Pivot Table'!$A$124,"DAY","Wed")+GETPIVOTDATA("Sum of RECIP",'Pivot Table'!$A$136,"DAY","Wed")</f>
        <v>183</v>
      </c>
      <c r="K21" s="44" t="s">
        <v>7</v>
      </c>
      <c r="L21" s="44">
        <f>GETPIVOTDATA("Sum of RECIP",'Pivot Table'!$A$4,"DAY","Thu")+GETPIVOTDATA("Sum of RECIP",'Pivot Table'!$A$16,"DAY","Thu")+GETPIVOTDATA("Sum of RECIP",'Pivot Table'!$A$28,"DAY","Thu")+GETPIVOTDATA("Sum of RECIP",'Pivot Table'!$A$40,"DAY","Thu")+GETPIVOTDATA("Sum of RECIP",'Pivot Table'!$A$52,"DAY","Thu")+GETPIVOTDATA("Sum of RECIP",'Pivot Table'!$A$64,"DAY","Thu")+GETPIVOTDATA("Sum of RECIP",'Pivot Table'!$A$76,"DAY","Thu")+GETPIVOTDATA("Sum of RECIP",'Pivot Table'!$A$88,"DAY","Thu")+GETPIVOTDATA("Sum of RECIP",'Pivot Table'!$A$100,"DAY","Thu")+GETPIVOTDATA("Sum of RECIP",'Pivot Table'!$A$112,"DAY","Thu")+GETPIVOTDATA("Sum of RECIP",'Pivot Table'!$A$124,"DAY","Thu")+GETPIVOTDATA("Sum of RECIP",'Pivot Table'!$A$136,"DAY","Thu")</f>
        <v>49</v>
      </c>
      <c r="N21" s="44" t="s">
        <v>7</v>
      </c>
      <c r="O21" s="44">
        <f>GETPIVOTDATA("Sum of RECIP",'Pivot Table'!$A$4,"DAY","Fri")+GETPIVOTDATA("Sum of RECIP",'Pivot Table'!$A$16,"DAY","Fri")+GETPIVOTDATA("Sum of RECIP",'Pivot Table'!$A$28,"DAY","Fri")+GETPIVOTDATA("Sum of RECIP",'Pivot Table'!$A$40,"DAY","Fri")+GETPIVOTDATA("Sum of RECIP",'Pivot Table'!$A$52,"DAY","Fri")+GETPIVOTDATA("Sum of RECIP",'Pivot Table'!$A$64,"DAY","Fri")+GETPIVOTDATA("Sum of RECIP",'Pivot Table'!$A$76,"DAY","Fri")+GETPIVOTDATA("Sum of RECIP",'Pivot Table'!$A$88,"DAY","Fri")+GETPIVOTDATA("Sum of RECIP",'Pivot Table'!$A$100,"DAY","Fri")+GETPIVOTDATA("Sum of RECIP",'Pivot Table'!$A$112,"DAY","Fri")+GETPIVOTDATA("Sum of RECIP",'Pivot Table'!$A$124,"DAY","Fri")+GETPIVOTDATA("Sum of RECIP",'Pivot Table'!$A$136,"DAY","Fri")</f>
        <v>227</v>
      </c>
      <c r="Q21" s="44" t="s">
        <v>7</v>
      </c>
      <c r="R21" s="44">
        <f>GETPIVOTDATA("Sum of RECIP",'Pivot Table'!$A$4,"DAY","Sat")+GETPIVOTDATA("Sum of RECIP",'Pivot Table'!$A$16,"DAY","Sat")+GETPIVOTDATA("Sum of RECIP",'Pivot Table'!$A$28,"DAY","Sat")+GETPIVOTDATA("Sum of RECIP",'Pivot Table'!$A$40,"DAY","Sat")+GETPIVOTDATA("Sum of RECIP",'Pivot Table'!$A$52,"DAY","Sat")+GETPIVOTDATA("Sum of RECIP",'Pivot Table'!$A$64,"DAY","Sat")+GETPIVOTDATA("Sum of RECIP",'Pivot Table'!$A$76,"DAY","Sat")+GETPIVOTDATA("Sum of RECIP",'Pivot Table'!$A$88,"DAY","Sat")+GETPIVOTDATA("Sum of RECIP",'Pivot Table'!$A$100,"DAY","Sat")+GETPIVOTDATA("Sum of RECIP",'Pivot Table'!$A$112,"DAY","Sat")+GETPIVOTDATA("Sum of RECIP",'Pivot Table'!$A$124,"DAY","Sat")+GETPIVOTDATA("Sum of RECIP",'Pivot Table'!$A$136,"DAY","Sat")</f>
        <v>68</v>
      </c>
      <c r="T21" s="44" t="s">
        <v>7</v>
      </c>
      <c r="U21" s="44">
        <f>GETPIVOTDATA("Sum of RECIP",'Pivot Table'!$A$4,"DAY","Sun")+GETPIVOTDATA("Sum of RECIP",'Pivot Table'!$A$16,"DAY","Sun")+GETPIVOTDATA("Sum of RECIP",'Pivot Table'!$A$28,"DAY","Sun")+GETPIVOTDATA("Sum of RECIP",'Pivot Table'!$A$40,"DAY","Sun")+GETPIVOTDATA("Sum of RECIP",'Pivot Table'!$A$52,"DAY","Sun")+GETPIVOTDATA("Sum of RECIP",'Pivot Table'!$A$64,"DAY","Sun")+GETPIVOTDATA("Sum of RECIP",'Pivot Table'!$A$76,"DAY","Sun")+GETPIVOTDATA("Sum of RECIP",'Pivot Table'!$A$88,"DAY","Sun")+GETPIVOTDATA("Sum of RECIP",'Pivot Table'!$A$100,"DAY","Sun")+GETPIVOTDATA("Sum of RECIP",'Pivot Table'!$A$112,"DAY","Sun")+GETPIVOTDATA("Sum of RECIP",'Pivot Table'!$A$124,"DAY","Sun")+GETPIVOTDATA("Sum of RECIP",'Pivot Table'!$A$136,"DAY","Sun")</f>
        <v>153</v>
      </c>
    </row>
    <row r="22" spans="2:21" x14ac:dyDescent="0.25">
      <c r="B22" s="44" t="s">
        <v>82</v>
      </c>
      <c r="C22" s="44">
        <f>GETPIVOTDATA("Sum of COMP",'Pivot Table'!$A$4,"DAY","Mon")+GETPIVOTDATA("Sum of COMP",'Pivot Table'!$A$16,"DAY","Mon")+GETPIVOTDATA("Sum of COMP",'Pivot Table'!$A$28,"DAY","Mon")+GETPIVOTDATA("Sum of COMP",'Pivot Table'!$A$40,"DAY","Mon")+GETPIVOTDATA("Sum of COMP",'Pivot Table'!$A$52,"DAY","Mon")+GETPIVOTDATA("Sum of COMP",'Pivot Table'!$A$64,"DAY","Mon")+GETPIVOTDATA("Sum of COMP",'Pivot Table'!$A$76,"DAY","Mon")+GETPIVOTDATA("Sum of COMP",'Pivot Table'!$A$88,"DAY","Mon")+GETPIVOTDATA("Sum of COMP",'Pivot Table'!$A$100,"DAY","Mon")+GETPIVOTDATA("Sum of COMP",'Pivot Table'!$A$112,"DAY","Mon")+GETPIVOTDATA("Sum of COMP",'Pivot Table'!$A$124,"DAY","Mon")+GETPIVOTDATA("Sum of COMP",'Pivot Table'!$A$136,"DAY","Mon")</f>
        <v>2848</v>
      </c>
      <c r="E22" s="44" t="s">
        <v>82</v>
      </c>
      <c r="F22" s="44">
        <f>GETPIVOTDATA("Sum of COMP",'Pivot Table'!$A$4,"DAY","Tue")+GETPIVOTDATA("Sum of COMP",'Pivot Table'!$A$16,"DAY","Tue")+GETPIVOTDATA("Sum of COMP",'Pivot Table'!$A$28,"DAY","Tue")+GETPIVOTDATA("Sum of COMP",'Pivot Table'!$A$40,"DAY","Tue")+GETPIVOTDATA("Sum of COMP",'Pivot Table'!$A$52,"DAY","Tue")+GETPIVOTDATA("Sum of COMP",'Pivot Table'!$A$64,"DAY","Tue")+GETPIVOTDATA("Sum of COMP",'Pivot Table'!$A$76,"DAY","Tue")+GETPIVOTDATA("Sum of COMP",'Pivot Table'!$A$88,"DAY","Tue")+GETPIVOTDATA("Sum of COMP",'Pivot Table'!$A$100,"DAY","Tue")+GETPIVOTDATA("Sum of COMP",'Pivot Table'!$A$112,"DAY","Tue")+GETPIVOTDATA("Sum of COMP",'Pivot Table'!$A$124,"DAY","Tue")+GETPIVOTDATA("Sum of COMP",'Pivot Table'!$A$136,"DAY","Tue")</f>
        <v>319</v>
      </c>
      <c r="H22" s="44" t="s">
        <v>82</v>
      </c>
      <c r="I22" s="44">
        <f>GETPIVOTDATA("Sum of COMP",'Pivot Table'!$A$4,"DAY","Wed")+GETPIVOTDATA("Sum of COMP",'Pivot Table'!$A$16,"DAY","Wed")+GETPIVOTDATA("Sum of COMP",'Pivot Table'!$A$28,"DAY","Wed")+GETPIVOTDATA("Sum of COMP",'Pivot Table'!$A$40,"DAY","Wed")+GETPIVOTDATA("Sum of COMP",'Pivot Table'!$A$52,"DAY","Wed")+GETPIVOTDATA("Sum of COMP",'Pivot Table'!$A$64,"DAY","Wed")+GETPIVOTDATA("Sum of COMP",'Pivot Table'!$A$76,"DAY","Wed")+GETPIVOTDATA("Sum of COMP",'Pivot Table'!$A$88,"DAY","Wed")+GETPIVOTDATA("Sum of COMP",'Pivot Table'!$A$100,"DAY","Wed")+GETPIVOTDATA("Sum of COMP",'Pivot Table'!$A$112,"DAY","Wed")+GETPIVOTDATA("Sum of COMP",'Pivot Table'!$A$124,"DAY","Wed")+GETPIVOTDATA("Sum of COMP",'Pivot Table'!$A$136,"DAY","Wed")</f>
        <v>1024</v>
      </c>
      <c r="K22" s="44" t="s">
        <v>82</v>
      </c>
      <c r="L22" s="44">
        <f>GETPIVOTDATA("Sum of COMP",'Pivot Table'!$A$4,"DAY","Thu")+GETPIVOTDATA("Sum of COMP",'Pivot Table'!$A$16,"DAY","Thu")+GETPIVOTDATA("Sum of COMP",'Pivot Table'!$A$28,"DAY","Thu")+GETPIVOTDATA("Sum of COMP",'Pivot Table'!$A$40,"DAY","Thu")+GETPIVOTDATA("Sum of COMP",'Pivot Table'!$A$52,"DAY","Thu")+GETPIVOTDATA("Sum of COMP",'Pivot Table'!$A$64,"DAY","Thu")+GETPIVOTDATA("Sum of COMP",'Pivot Table'!$A$76,"DAY","Thu")+GETPIVOTDATA("Sum of COMP",'Pivot Table'!$A$88,"DAY","Thu")+GETPIVOTDATA("Sum of COMP",'Pivot Table'!$A$100,"DAY","Thu")+GETPIVOTDATA("Sum of COMP",'Pivot Table'!$A$112,"DAY","Thu")+GETPIVOTDATA("Sum of COMP",'Pivot Table'!$A$124,"DAY","Thu")+GETPIVOTDATA("Sum of COMP",'Pivot Table'!$A$136,"DAY","Thu")</f>
        <v>7306</v>
      </c>
      <c r="N22" s="44" t="s">
        <v>82</v>
      </c>
      <c r="O22" s="44">
        <f>GETPIVOTDATA("Sum of COMP",'Pivot Table'!$A$4,"DAY","Fri")+GETPIVOTDATA("Sum of COMP",'Pivot Table'!$A$16,"DAY","Fri")+GETPIVOTDATA("Sum of COMP",'Pivot Table'!$A$28,"DAY","Fri")+GETPIVOTDATA("Sum of COMP",'Pivot Table'!$A$40,"DAY","Fri")+GETPIVOTDATA("Sum of COMP",'Pivot Table'!$A$52,"DAY","Fri")+GETPIVOTDATA("Sum of COMP",'Pivot Table'!$A$64,"DAY","Fri")+GETPIVOTDATA("Sum of COMP",'Pivot Table'!$A$76,"DAY","Fri")+GETPIVOTDATA("Sum of COMP",'Pivot Table'!$A$88,"DAY","Fri")+GETPIVOTDATA("Sum of COMP",'Pivot Table'!$A$100,"DAY","Fri")+GETPIVOTDATA("Sum of COMP",'Pivot Table'!$A$112,"DAY","Fri")+GETPIVOTDATA("Sum of COMP",'Pivot Table'!$A$124,"DAY","Fri")+GETPIVOTDATA("Sum of COMP",'Pivot Table'!$A$136,"DAY","Fri")</f>
        <v>3221</v>
      </c>
      <c r="Q22" s="44" t="s">
        <v>82</v>
      </c>
      <c r="R22" s="44">
        <f>GETPIVOTDATA("Sum of COMP",'Pivot Table'!$A$4,"DAY","Sat")+GETPIVOTDATA("Sum of COMP",'Pivot Table'!$A$16,"DAY","Sat")+GETPIVOTDATA("Sum of COMP",'Pivot Table'!$A$28,"DAY","Sat")+GETPIVOTDATA("Sum of COMP",'Pivot Table'!$A$40,"DAY","Sat")+GETPIVOTDATA("Sum of COMP",'Pivot Table'!$A$52,"DAY","Sat")+GETPIVOTDATA("Sum of COMP",'Pivot Table'!$A$64,"DAY","Sat")+GETPIVOTDATA("Sum of COMP",'Pivot Table'!$A$76,"DAY","Sat")+GETPIVOTDATA("Sum of COMP",'Pivot Table'!$A$88,"DAY","Sat")+GETPIVOTDATA("Sum of COMP",'Pivot Table'!$A$100,"DAY","Sat")+GETPIVOTDATA("Sum of COMP",'Pivot Table'!$A$112,"DAY","Sat")+GETPIVOTDATA("Sum of COMP",'Pivot Table'!$A$124,"DAY","Sat")+GETPIVOTDATA("Sum of COMP",'Pivot Table'!$A$136,"DAY","Sat")</f>
        <v>5739</v>
      </c>
      <c r="T22" s="44" t="s">
        <v>82</v>
      </c>
      <c r="U22" s="44">
        <f>GETPIVOTDATA("Sum of COMP",'Pivot Table'!$A$4,"DAY","Sun")+GETPIVOTDATA("Sum of COMP",'Pivot Table'!$A$16,"DAY","Sun")+GETPIVOTDATA("Sum of COMP",'Pivot Table'!$A$28,"DAY","Sun")+GETPIVOTDATA("Sum of COMP",'Pivot Table'!$A$40,"DAY","Sun")+GETPIVOTDATA("Sum of COMP",'Pivot Table'!$A$52,"DAY","Sun")+GETPIVOTDATA("Sum of COMP",'Pivot Table'!$A$64,"DAY","Sun")+GETPIVOTDATA("Sum of COMP",'Pivot Table'!$A$76,"DAY","Sun")+GETPIVOTDATA("Sum of COMP",'Pivot Table'!$A$88,"DAY","Sun")+GETPIVOTDATA("Sum of COMP",'Pivot Table'!$A$100,"DAY","Sun")+GETPIVOTDATA("Sum of COMP",'Pivot Table'!$A$112,"DAY","Sun")+GETPIVOTDATA("Sum of COMP",'Pivot Table'!$A$124,"DAY","Sun")+GETPIVOTDATA("Sum of COMP",'Pivot Table'!$A$136,"DAY","Sun")</f>
        <v>6370</v>
      </c>
    </row>
    <row r="25" spans="2:21" s="39" customFormat="1" ht="21" x14ac:dyDescent="0.25">
      <c r="B25" s="39" t="s">
        <v>103</v>
      </c>
    </row>
    <row r="27" spans="2:21" s="39" customFormat="1" ht="21" x14ac:dyDescent="0.25">
      <c r="B27" s="39" t="s">
        <v>23</v>
      </c>
      <c r="E27" s="39" t="s">
        <v>28</v>
      </c>
      <c r="H27" s="39" t="s">
        <v>31</v>
      </c>
      <c r="K27" s="39" t="s">
        <v>33</v>
      </c>
      <c r="N27" s="39" t="s">
        <v>35</v>
      </c>
      <c r="Q27" s="39" t="s">
        <v>37</v>
      </c>
      <c r="T27" s="39" t="s">
        <v>39</v>
      </c>
    </row>
    <row r="29" spans="2:21" x14ac:dyDescent="0.25">
      <c r="B29" s="44" t="s">
        <v>1</v>
      </c>
      <c r="C29" s="65">
        <f>C6 /52</f>
        <v>45.057692307692307</v>
      </c>
      <c r="E29" s="44" t="s">
        <v>1</v>
      </c>
      <c r="F29" s="65">
        <f>F6 /52</f>
        <v>85.07692307692308</v>
      </c>
      <c r="H29" s="44" t="s">
        <v>1</v>
      </c>
      <c r="I29" s="65">
        <f>I6 /52</f>
        <v>62.57692307692308</v>
      </c>
      <c r="K29" s="44" t="s">
        <v>1</v>
      </c>
      <c r="L29" s="65">
        <f>L6 /52</f>
        <v>74.269230769230774</v>
      </c>
      <c r="N29" s="44" t="s">
        <v>1</v>
      </c>
      <c r="O29" s="65">
        <f>O6 /52</f>
        <v>86.269230769230774</v>
      </c>
      <c r="Q29" s="44" t="s">
        <v>1</v>
      </c>
      <c r="R29" s="65">
        <f>R6 /52</f>
        <v>81.365384615384613</v>
      </c>
      <c r="T29" s="44" t="s">
        <v>1</v>
      </c>
      <c r="U29" s="65">
        <f>U6 /53</f>
        <v>84.622641509433961</v>
      </c>
    </row>
    <row r="30" spans="2:21" x14ac:dyDescent="0.25">
      <c r="B30" s="44" t="s">
        <v>2</v>
      </c>
      <c r="C30" s="65">
        <f t="shared" ref="C30:C32" si="0">C7 /52</f>
        <v>62.32692307692308</v>
      </c>
      <c r="E30" s="44" t="s">
        <v>2</v>
      </c>
      <c r="F30" s="65">
        <f t="shared" ref="F30:F32" si="1">F7 /52</f>
        <v>29.423076923076923</v>
      </c>
      <c r="H30" s="44" t="s">
        <v>2</v>
      </c>
      <c r="I30" s="65">
        <f t="shared" ref="I30:I32" si="2">I7 /52</f>
        <v>62.53846153846154</v>
      </c>
      <c r="K30" s="44" t="s">
        <v>2</v>
      </c>
      <c r="L30" s="65">
        <f t="shared" ref="L30:L32" si="3">L7 /52</f>
        <v>73.288461538461533</v>
      </c>
      <c r="N30" s="44" t="s">
        <v>2</v>
      </c>
      <c r="O30" s="65">
        <f t="shared" ref="O30:O32" si="4">O7 /52</f>
        <v>73.961538461538467</v>
      </c>
      <c r="Q30" s="44" t="s">
        <v>2</v>
      </c>
      <c r="R30" s="65">
        <f t="shared" ref="R30:R32" si="5">R7 /52</f>
        <v>53.846153846153847</v>
      </c>
      <c r="T30" s="44" t="s">
        <v>2</v>
      </c>
      <c r="U30" s="65">
        <f t="shared" ref="U30:U32" si="6">U7 /53</f>
        <v>78.981132075471692</v>
      </c>
    </row>
    <row r="31" spans="2:21" x14ac:dyDescent="0.25">
      <c r="B31" s="44" t="s">
        <v>3</v>
      </c>
      <c r="C31" s="65">
        <f t="shared" si="0"/>
        <v>107.38461538461539</v>
      </c>
      <c r="E31" s="44" t="s">
        <v>3</v>
      </c>
      <c r="F31" s="65">
        <f t="shared" si="1"/>
        <v>114.5</v>
      </c>
      <c r="H31" s="44" t="s">
        <v>3</v>
      </c>
      <c r="I31" s="65">
        <f t="shared" si="2"/>
        <v>125.11538461538461</v>
      </c>
      <c r="K31" s="44" t="s">
        <v>3</v>
      </c>
      <c r="L31" s="65">
        <f t="shared" si="3"/>
        <v>147.55769230769232</v>
      </c>
      <c r="N31" s="44" t="s">
        <v>3</v>
      </c>
      <c r="O31" s="65">
        <f t="shared" si="4"/>
        <v>160.23076923076923</v>
      </c>
      <c r="Q31" s="44" t="s">
        <v>3</v>
      </c>
      <c r="R31" s="65">
        <f t="shared" si="5"/>
        <v>135.21153846153845</v>
      </c>
      <c r="T31" s="44" t="s">
        <v>3</v>
      </c>
      <c r="U31" s="65">
        <f t="shared" si="6"/>
        <v>163.60377358490567</v>
      </c>
    </row>
    <row r="32" spans="2:21" x14ac:dyDescent="0.25">
      <c r="B32" s="44" t="s">
        <v>84</v>
      </c>
      <c r="C32" s="65">
        <f t="shared" si="0"/>
        <v>25.384615384615383</v>
      </c>
      <c r="E32" s="44" t="s">
        <v>84</v>
      </c>
      <c r="F32" s="65">
        <f t="shared" si="1"/>
        <v>4.6538461538461542</v>
      </c>
      <c r="H32" s="44" t="s">
        <v>84</v>
      </c>
      <c r="I32" s="65">
        <f t="shared" si="2"/>
        <v>60.25</v>
      </c>
      <c r="K32" s="44" t="s">
        <v>84</v>
      </c>
      <c r="L32" s="65">
        <f t="shared" si="3"/>
        <v>1.4807692307692308</v>
      </c>
      <c r="N32" s="44" t="s">
        <v>84</v>
      </c>
      <c r="O32" s="65">
        <f t="shared" si="4"/>
        <v>46.942307692307693</v>
      </c>
      <c r="Q32" s="44" t="s">
        <v>84</v>
      </c>
      <c r="R32" s="65">
        <f t="shared" si="5"/>
        <v>3.5192307692307692</v>
      </c>
      <c r="T32" s="44" t="s">
        <v>84</v>
      </c>
      <c r="U32" s="65">
        <f t="shared" si="6"/>
        <v>22.490566037735849</v>
      </c>
    </row>
    <row r="33" spans="2:21" s="62" customFormat="1" ht="31.5" customHeight="1" x14ac:dyDescent="0.25">
      <c r="B33" s="61" t="s">
        <v>76</v>
      </c>
      <c r="C33" s="64">
        <f>SUM(C32/C31)</f>
        <v>0.23638968481375355</v>
      </c>
      <c r="E33" s="61" t="s">
        <v>76</v>
      </c>
      <c r="F33" s="64">
        <f>SUM(F32/F31)</f>
        <v>4.064494457507558E-2</v>
      </c>
      <c r="H33" s="61" t="s">
        <v>76</v>
      </c>
      <c r="I33" s="64">
        <f>SUM(I32/I31)</f>
        <v>0.48155548724254538</v>
      </c>
      <c r="K33" s="61" t="s">
        <v>76</v>
      </c>
      <c r="L33" s="64">
        <f>SUM(L32/L31)</f>
        <v>1.0035188322689952E-2</v>
      </c>
      <c r="N33" s="61" t="s">
        <v>76</v>
      </c>
      <c r="O33" s="64">
        <f>SUM(O32/O31)</f>
        <v>0.29296687469995203</v>
      </c>
      <c r="Q33" s="61" t="s">
        <v>76</v>
      </c>
      <c r="R33" s="64">
        <f>SUM(R32/R31)</f>
        <v>2.6027592092163279E-2</v>
      </c>
      <c r="T33" s="61" t="s">
        <v>76</v>
      </c>
      <c r="U33" s="64">
        <f>SUM(U32/U31)</f>
        <v>0.13746972667512397</v>
      </c>
    </row>
    <row r="34" spans="2:21" x14ac:dyDescent="0.25">
      <c r="B34" s="40" t="s">
        <v>4</v>
      </c>
      <c r="C34" s="65">
        <f>C11 /52</f>
        <v>80.307692307692307</v>
      </c>
      <c r="E34" s="40" t="s">
        <v>4</v>
      </c>
      <c r="F34" s="65">
        <f>F11 /52</f>
        <v>108.98076923076923</v>
      </c>
      <c r="H34" s="40" t="s">
        <v>4</v>
      </c>
      <c r="I34" s="65">
        <f>I11 /52</f>
        <v>64.40384615384616</v>
      </c>
      <c r="K34" s="40" t="s">
        <v>4</v>
      </c>
      <c r="L34" s="65">
        <f>L11 /52</f>
        <v>144.75</v>
      </c>
      <c r="N34" s="40" t="s">
        <v>4</v>
      </c>
      <c r="O34" s="65">
        <f>O11 /52</f>
        <v>109.55769230769231</v>
      </c>
      <c r="Q34" s="40" t="s">
        <v>4</v>
      </c>
      <c r="R34" s="65">
        <f>R11 /52</f>
        <v>131.11538461538461</v>
      </c>
      <c r="T34" s="40" t="s">
        <v>4</v>
      </c>
      <c r="U34" s="65">
        <f>U11 /53</f>
        <v>136.69811320754718</v>
      </c>
    </row>
    <row r="35" spans="2:21" x14ac:dyDescent="0.25">
      <c r="B35" s="44" t="s">
        <v>85</v>
      </c>
      <c r="C35" s="65">
        <f t="shared" ref="C35:C45" si="7">C12 /52</f>
        <v>3.8461538461538464E-2</v>
      </c>
      <c r="E35" s="44" t="s">
        <v>85</v>
      </c>
      <c r="F35" s="65">
        <f t="shared" ref="F35:F45" si="8">F12 /52</f>
        <v>3.8461538461538464E-2</v>
      </c>
      <c r="H35" s="44" t="s">
        <v>85</v>
      </c>
      <c r="I35" s="65">
        <f t="shared" ref="I35:I45" si="9">I12 /52</f>
        <v>0.25</v>
      </c>
      <c r="K35" s="44" t="s">
        <v>85</v>
      </c>
      <c r="L35" s="65">
        <f t="shared" ref="L35:L45" si="10">L12 /52</f>
        <v>0.21153846153846154</v>
      </c>
      <c r="N35" s="44" t="s">
        <v>85</v>
      </c>
      <c r="O35" s="65">
        <f t="shared" ref="O35:O45" si="11">O12 /52</f>
        <v>0.23076923076923078</v>
      </c>
      <c r="Q35" s="44" t="s">
        <v>85</v>
      </c>
      <c r="R35" s="65">
        <f t="shared" ref="R35:R45" si="12">R12 /52</f>
        <v>0</v>
      </c>
      <c r="T35" s="44" t="s">
        <v>85</v>
      </c>
      <c r="U35" s="65">
        <f t="shared" ref="U35:U45" si="13">U12 /53</f>
        <v>5.6603773584905662E-2</v>
      </c>
    </row>
    <row r="36" spans="2:21" x14ac:dyDescent="0.25">
      <c r="B36" s="44" t="s">
        <v>77</v>
      </c>
      <c r="C36" s="65">
        <f t="shared" si="7"/>
        <v>1.0384615384615385</v>
      </c>
      <c r="E36" s="44" t="s">
        <v>77</v>
      </c>
      <c r="F36" s="65">
        <f t="shared" si="8"/>
        <v>3.8461538461538464E-2</v>
      </c>
      <c r="H36" s="44" t="s">
        <v>77</v>
      </c>
      <c r="I36" s="65">
        <f t="shared" si="9"/>
        <v>0.82692307692307687</v>
      </c>
      <c r="K36" s="44" t="s">
        <v>77</v>
      </c>
      <c r="L36" s="65">
        <f t="shared" si="10"/>
        <v>0</v>
      </c>
      <c r="N36" s="44" t="s">
        <v>77</v>
      </c>
      <c r="O36" s="65">
        <f t="shared" si="11"/>
        <v>1.4423076923076923</v>
      </c>
      <c r="Q36" s="44" t="s">
        <v>77</v>
      </c>
      <c r="R36" s="65">
        <f t="shared" si="12"/>
        <v>0</v>
      </c>
      <c r="T36" s="44" t="s">
        <v>77</v>
      </c>
      <c r="U36" s="65">
        <f t="shared" si="13"/>
        <v>0</v>
      </c>
    </row>
    <row r="37" spans="2:21" x14ac:dyDescent="0.25">
      <c r="B37" s="44" t="s">
        <v>78</v>
      </c>
      <c r="C37" s="65">
        <f t="shared" si="7"/>
        <v>3.0384615384615383</v>
      </c>
      <c r="E37" s="44" t="s">
        <v>78</v>
      </c>
      <c r="F37" s="65">
        <f t="shared" si="8"/>
        <v>0.17307692307692307</v>
      </c>
      <c r="H37" s="44" t="s">
        <v>78</v>
      </c>
      <c r="I37" s="65">
        <f t="shared" si="9"/>
        <v>3.4807692307692308</v>
      </c>
      <c r="K37" s="44" t="s">
        <v>78</v>
      </c>
      <c r="L37" s="65">
        <f t="shared" si="10"/>
        <v>3.8461538461538464E-2</v>
      </c>
      <c r="N37" s="44" t="s">
        <v>78</v>
      </c>
      <c r="O37" s="65">
        <f t="shared" si="11"/>
        <v>2.4615384615384617</v>
      </c>
      <c r="Q37" s="44" t="s">
        <v>78</v>
      </c>
      <c r="R37" s="65">
        <f t="shared" si="12"/>
        <v>5.7692307692307696E-2</v>
      </c>
      <c r="T37" s="44" t="s">
        <v>78</v>
      </c>
      <c r="U37" s="65">
        <f t="shared" si="13"/>
        <v>0.50943396226415094</v>
      </c>
    </row>
    <row r="38" spans="2:21" x14ac:dyDescent="0.25">
      <c r="B38" s="44" t="s">
        <v>79</v>
      </c>
      <c r="C38" s="65">
        <f t="shared" si="7"/>
        <v>0.13461538461538461</v>
      </c>
      <c r="E38" s="44" t="s">
        <v>79</v>
      </c>
      <c r="F38" s="65">
        <f t="shared" si="8"/>
        <v>0</v>
      </c>
      <c r="H38" s="44" t="s">
        <v>79</v>
      </c>
      <c r="I38" s="65">
        <f t="shared" si="9"/>
        <v>0.42307692307692307</v>
      </c>
      <c r="K38" s="44" t="s">
        <v>79</v>
      </c>
      <c r="L38" s="65">
        <f t="shared" si="10"/>
        <v>3.8461538461538464E-2</v>
      </c>
      <c r="N38" s="44" t="s">
        <v>79</v>
      </c>
      <c r="O38" s="65">
        <f t="shared" si="11"/>
        <v>0.13461538461538461</v>
      </c>
      <c r="Q38" s="44" t="s">
        <v>79</v>
      </c>
      <c r="R38" s="65">
        <f t="shared" si="12"/>
        <v>0</v>
      </c>
      <c r="T38" s="44" t="s">
        <v>79</v>
      </c>
      <c r="U38" s="65">
        <f t="shared" si="13"/>
        <v>1.8867924528301886E-2</v>
      </c>
    </row>
    <row r="39" spans="2:21" x14ac:dyDescent="0.25">
      <c r="B39" s="44" t="s">
        <v>5</v>
      </c>
      <c r="C39" s="65">
        <f t="shared" si="7"/>
        <v>8.1730769230769234</v>
      </c>
      <c r="E39" s="44" t="s">
        <v>5</v>
      </c>
      <c r="F39" s="65">
        <f t="shared" si="8"/>
        <v>4.0769230769230766</v>
      </c>
      <c r="H39" s="44" t="s">
        <v>5</v>
      </c>
      <c r="I39" s="65">
        <f t="shared" si="9"/>
        <v>11.288461538461538</v>
      </c>
      <c r="K39" s="44" t="s">
        <v>5</v>
      </c>
      <c r="L39" s="65">
        <f t="shared" si="10"/>
        <v>0.25</v>
      </c>
      <c r="N39" s="44" t="s">
        <v>5</v>
      </c>
      <c r="O39" s="65">
        <f t="shared" si="11"/>
        <v>22.98076923076923</v>
      </c>
      <c r="Q39" s="44" t="s">
        <v>5</v>
      </c>
      <c r="R39" s="65">
        <f t="shared" si="12"/>
        <v>1.9230769230769231</v>
      </c>
      <c r="T39" s="44" t="s">
        <v>5</v>
      </c>
      <c r="U39" s="65">
        <f t="shared" si="13"/>
        <v>14.622641509433961</v>
      </c>
    </row>
    <row r="40" spans="2:21" ht="33" x14ac:dyDescent="0.25">
      <c r="B40" s="40" t="s">
        <v>80</v>
      </c>
      <c r="C40" s="65">
        <f t="shared" si="7"/>
        <v>0.40384615384615385</v>
      </c>
      <c r="E40" s="40" t="s">
        <v>80</v>
      </c>
      <c r="F40" s="65">
        <f t="shared" si="8"/>
        <v>0</v>
      </c>
      <c r="H40" s="40" t="s">
        <v>80</v>
      </c>
      <c r="I40" s="65">
        <f t="shared" si="9"/>
        <v>0.13461538461538461</v>
      </c>
      <c r="K40" s="40" t="s">
        <v>80</v>
      </c>
      <c r="L40" s="65">
        <f t="shared" si="10"/>
        <v>0</v>
      </c>
      <c r="N40" s="40" t="s">
        <v>80</v>
      </c>
      <c r="O40" s="65">
        <f t="shared" si="11"/>
        <v>0.15384615384615385</v>
      </c>
      <c r="Q40" s="40" t="s">
        <v>80</v>
      </c>
      <c r="R40" s="65">
        <f t="shared" si="12"/>
        <v>0</v>
      </c>
      <c r="T40" s="40" t="s">
        <v>80</v>
      </c>
      <c r="U40" s="65">
        <f t="shared" si="13"/>
        <v>0</v>
      </c>
    </row>
    <row r="41" spans="2:21" x14ac:dyDescent="0.25">
      <c r="B41" s="44" t="s">
        <v>6</v>
      </c>
      <c r="C41" s="65">
        <f t="shared" si="7"/>
        <v>1.9230769230769231</v>
      </c>
      <c r="E41" s="44" t="s">
        <v>6</v>
      </c>
      <c r="F41" s="65">
        <f t="shared" si="8"/>
        <v>0</v>
      </c>
      <c r="H41" s="44" t="s">
        <v>6</v>
      </c>
      <c r="I41" s="65">
        <f t="shared" si="9"/>
        <v>38.480769230769234</v>
      </c>
      <c r="K41" s="44" t="s">
        <v>6</v>
      </c>
      <c r="L41" s="65">
        <f t="shared" si="10"/>
        <v>0</v>
      </c>
      <c r="N41" s="44" t="s">
        <v>6</v>
      </c>
      <c r="O41" s="65">
        <f t="shared" si="11"/>
        <v>9.4807692307692299</v>
      </c>
      <c r="Q41" s="44" t="s">
        <v>6</v>
      </c>
      <c r="R41" s="65">
        <f t="shared" si="12"/>
        <v>0.23076923076923078</v>
      </c>
      <c r="T41" s="44" t="s">
        <v>6</v>
      </c>
      <c r="U41" s="65">
        <f t="shared" si="13"/>
        <v>0</v>
      </c>
    </row>
    <row r="42" spans="2:21" x14ac:dyDescent="0.25">
      <c r="B42" s="44" t="s">
        <v>86</v>
      </c>
      <c r="C42" s="65">
        <f t="shared" si="7"/>
        <v>1.3846153846153846</v>
      </c>
      <c r="E42" s="44" t="s">
        <v>86</v>
      </c>
      <c r="F42" s="65">
        <f t="shared" si="8"/>
        <v>0.86538461538461542</v>
      </c>
      <c r="H42" s="44" t="s">
        <v>86</v>
      </c>
      <c r="I42" s="65">
        <f t="shared" si="9"/>
        <v>0.46153846153846156</v>
      </c>
      <c r="K42" s="44" t="s">
        <v>86</v>
      </c>
      <c r="L42" s="65">
        <f t="shared" si="10"/>
        <v>1.3269230769230769</v>
      </c>
      <c r="N42" s="44" t="s">
        <v>86</v>
      </c>
      <c r="O42" s="65">
        <f t="shared" si="11"/>
        <v>1.5769230769230769</v>
      </c>
      <c r="Q42" s="44" t="s">
        <v>86</v>
      </c>
      <c r="R42" s="65">
        <f t="shared" si="12"/>
        <v>0.57692307692307687</v>
      </c>
      <c r="T42" s="44" t="s">
        <v>86</v>
      </c>
      <c r="U42" s="65">
        <f t="shared" si="13"/>
        <v>1.5471698113207548</v>
      </c>
    </row>
    <row r="43" spans="2:21" x14ac:dyDescent="0.25">
      <c r="B43" s="44" t="s">
        <v>81</v>
      </c>
      <c r="C43" s="65">
        <f t="shared" si="7"/>
        <v>1.0192307692307692</v>
      </c>
      <c r="E43" s="44" t="s">
        <v>81</v>
      </c>
      <c r="F43" s="65">
        <f t="shared" si="8"/>
        <v>0</v>
      </c>
      <c r="H43" s="44" t="s">
        <v>81</v>
      </c>
      <c r="I43" s="65">
        <f t="shared" si="9"/>
        <v>1.3846153846153846</v>
      </c>
      <c r="K43" s="44" t="s">
        <v>81</v>
      </c>
      <c r="L43" s="65">
        <f t="shared" si="10"/>
        <v>0</v>
      </c>
      <c r="N43" s="44" t="s">
        <v>81</v>
      </c>
      <c r="O43" s="65">
        <f t="shared" si="11"/>
        <v>4.8461538461538458</v>
      </c>
      <c r="Q43" s="44" t="s">
        <v>81</v>
      </c>
      <c r="R43" s="65">
        <f t="shared" si="12"/>
        <v>0</v>
      </c>
      <c r="T43" s="44" t="s">
        <v>81</v>
      </c>
      <c r="U43" s="65">
        <f t="shared" si="13"/>
        <v>2.7358490566037736</v>
      </c>
    </row>
    <row r="44" spans="2:21" x14ac:dyDescent="0.25">
      <c r="B44" s="44" t="s">
        <v>7</v>
      </c>
      <c r="C44" s="65">
        <f t="shared" si="7"/>
        <v>3.5</v>
      </c>
      <c r="E44" s="44" t="s">
        <v>7</v>
      </c>
      <c r="F44" s="65">
        <f t="shared" si="8"/>
        <v>0.32692307692307693</v>
      </c>
      <c r="H44" s="44" t="s">
        <v>7</v>
      </c>
      <c r="I44" s="65">
        <f t="shared" si="9"/>
        <v>3.5192307692307692</v>
      </c>
      <c r="K44" s="44" t="s">
        <v>7</v>
      </c>
      <c r="L44" s="65">
        <f t="shared" si="10"/>
        <v>0.94230769230769229</v>
      </c>
      <c r="N44" s="44" t="s">
        <v>7</v>
      </c>
      <c r="O44" s="65">
        <f t="shared" si="11"/>
        <v>4.365384615384615</v>
      </c>
      <c r="Q44" s="44" t="s">
        <v>7</v>
      </c>
      <c r="R44" s="65">
        <f t="shared" si="12"/>
        <v>1.3076923076923077</v>
      </c>
      <c r="T44" s="44" t="s">
        <v>7</v>
      </c>
      <c r="U44" s="65">
        <f t="shared" si="13"/>
        <v>2.8867924528301887</v>
      </c>
    </row>
    <row r="45" spans="2:21" x14ac:dyDescent="0.25">
      <c r="B45" s="44" t="s">
        <v>82</v>
      </c>
      <c r="C45" s="65">
        <f t="shared" si="7"/>
        <v>54.769230769230766</v>
      </c>
      <c r="E45" s="44" t="s">
        <v>82</v>
      </c>
      <c r="F45" s="65">
        <f t="shared" si="8"/>
        <v>6.134615384615385</v>
      </c>
      <c r="H45" s="44" t="s">
        <v>82</v>
      </c>
      <c r="I45" s="65">
        <f t="shared" si="9"/>
        <v>19.692307692307693</v>
      </c>
      <c r="K45" s="44" t="s">
        <v>82</v>
      </c>
      <c r="L45" s="65">
        <f t="shared" si="10"/>
        <v>140.5</v>
      </c>
      <c r="N45" s="44" t="s">
        <v>82</v>
      </c>
      <c r="O45" s="65">
        <f t="shared" si="11"/>
        <v>61.942307692307693</v>
      </c>
      <c r="Q45" s="44" t="s">
        <v>82</v>
      </c>
      <c r="R45" s="65">
        <f t="shared" si="12"/>
        <v>110.36538461538461</v>
      </c>
      <c r="T45" s="44" t="s">
        <v>82</v>
      </c>
      <c r="U45" s="65">
        <f t="shared" si="13"/>
        <v>120.18867924528301</v>
      </c>
    </row>
    <row r="49" spans="2:21" ht="21" x14ac:dyDescent="0.25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</row>
    <row r="51" spans="2:21" ht="21" x14ac:dyDescent="0.25"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</row>
    <row r="53" spans="2:21" x14ac:dyDescent="0.25">
      <c r="C53" s="66"/>
      <c r="F53" s="66"/>
      <c r="I53" s="66"/>
      <c r="L53" s="66"/>
      <c r="O53" s="66"/>
      <c r="R53" s="66"/>
      <c r="U53" s="66"/>
    </row>
    <row r="54" spans="2:21" x14ac:dyDescent="0.25">
      <c r="C54" s="66"/>
      <c r="F54" s="66"/>
      <c r="I54" s="66"/>
      <c r="L54" s="66"/>
      <c r="O54" s="66"/>
      <c r="R54" s="66"/>
      <c r="U54" s="66"/>
    </row>
    <row r="55" spans="2:21" x14ac:dyDescent="0.25">
      <c r="C55" s="66"/>
      <c r="F55" s="66"/>
      <c r="I55" s="66"/>
      <c r="L55" s="66"/>
      <c r="O55" s="66"/>
      <c r="R55" s="66"/>
      <c r="U55" s="66"/>
    </row>
    <row r="56" spans="2:21" x14ac:dyDescent="0.25">
      <c r="C56" s="66"/>
      <c r="F56" s="66"/>
      <c r="I56" s="66"/>
      <c r="L56" s="66"/>
      <c r="O56" s="66"/>
      <c r="R56" s="66"/>
      <c r="U56" s="66"/>
    </row>
    <row r="57" spans="2:21" x14ac:dyDescent="0.25">
      <c r="B57" s="67"/>
      <c r="C57" s="66"/>
      <c r="E57" s="67"/>
      <c r="F57" s="66"/>
      <c r="H57" s="67"/>
      <c r="I57" s="66"/>
      <c r="K57" s="67"/>
      <c r="L57" s="66"/>
      <c r="N57" s="67"/>
      <c r="O57" s="66"/>
      <c r="Q57" s="67"/>
      <c r="R57" s="66"/>
      <c r="T57" s="67"/>
      <c r="U57" s="66"/>
    </row>
    <row r="58" spans="2:21" x14ac:dyDescent="0.25">
      <c r="B58" s="68"/>
      <c r="C58" s="66"/>
      <c r="E58" s="68"/>
      <c r="F58" s="66"/>
      <c r="H58" s="68"/>
      <c r="I58" s="66"/>
      <c r="K58" s="68"/>
      <c r="L58" s="66"/>
      <c r="N58" s="68"/>
      <c r="O58" s="66"/>
      <c r="Q58" s="68"/>
      <c r="R58" s="66"/>
      <c r="T58" s="68"/>
      <c r="U58" s="66"/>
    </row>
    <row r="59" spans="2:21" x14ac:dyDescent="0.25">
      <c r="C59" s="66"/>
      <c r="F59" s="66"/>
      <c r="I59" s="66"/>
      <c r="L59" s="66"/>
      <c r="O59" s="66"/>
      <c r="R59" s="66"/>
      <c r="U59" s="66"/>
    </row>
    <row r="60" spans="2:21" x14ac:dyDescent="0.25">
      <c r="C60" s="66"/>
      <c r="F60" s="66"/>
      <c r="I60" s="66"/>
      <c r="L60" s="66"/>
      <c r="O60" s="66"/>
      <c r="R60" s="66"/>
      <c r="U60" s="66"/>
    </row>
    <row r="61" spans="2:21" x14ac:dyDescent="0.25">
      <c r="C61" s="66"/>
      <c r="F61" s="66"/>
      <c r="I61" s="66"/>
      <c r="L61" s="66"/>
      <c r="O61" s="66"/>
      <c r="R61" s="66"/>
      <c r="U61" s="66"/>
    </row>
    <row r="62" spans="2:21" x14ac:dyDescent="0.25">
      <c r="C62" s="66"/>
      <c r="F62" s="66"/>
      <c r="I62" s="66"/>
      <c r="L62" s="66"/>
      <c r="O62" s="66"/>
      <c r="R62" s="66"/>
      <c r="U62" s="66"/>
    </row>
    <row r="63" spans="2:21" x14ac:dyDescent="0.25">
      <c r="C63" s="66"/>
      <c r="F63" s="66"/>
      <c r="I63" s="66"/>
      <c r="L63" s="66"/>
      <c r="O63" s="66"/>
      <c r="R63" s="66"/>
      <c r="U63" s="66"/>
    </row>
    <row r="64" spans="2:21" x14ac:dyDescent="0.25">
      <c r="B64" s="68"/>
      <c r="C64" s="66"/>
      <c r="E64" s="68"/>
      <c r="F64" s="66"/>
      <c r="H64" s="68"/>
      <c r="I64" s="66"/>
      <c r="K64" s="68"/>
      <c r="L64" s="66"/>
      <c r="N64" s="68"/>
      <c r="O64" s="66"/>
      <c r="Q64" s="68"/>
      <c r="R64" s="66"/>
      <c r="T64" s="68"/>
      <c r="U64" s="66"/>
    </row>
    <row r="65" spans="3:21" x14ac:dyDescent="0.25">
      <c r="C65" s="66"/>
      <c r="F65" s="66"/>
      <c r="I65" s="66"/>
      <c r="L65" s="66"/>
      <c r="O65" s="66"/>
      <c r="R65" s="66"/>
      <c r="U65" s="66"/>
    </row>
    <row r="66" spans="3:21" x14ac:dyDescent="0.25">
      <c r="C66" s="66"/>
      <c r="F66" s="66"/>
      <c r="I66" s="66"/>
      <c r="L66" s="66"/>
      <c r="O66" s="66"/>
      <c r="R66" s="66"/>
      <c r="U66" s="66"/>
    </row>
    <row r="67" spans="3:21" x14ac:dyDescent="0.25">
      <c r="C67" s="66"/>
      <c r="F67" s="66"/>
      <c r="I67" s="66"/>
      <c r="L67" s="66"/>
      <c r="O67" s="66"/>
      <c r="R67" s="66"/>
      <c r="U67" s="66"/>
    </row>
    <row r="68" spans="3:21" x14ac:dyDescent="0.25">
      <c r="C68" s="66"/>
      <c r="F68" s="66"/>
      <c r="I68" s="66"/>
      <c r="L68" s="66"/>
      <c r="O68" s="66"/>
      <c r="R68" s="66"/>
      <c r="U68" s="66"/>
    </row>
    <row r="69" spans="3:21" x14ac:dyDescent="0.25">
      <c r="C69" s="66"/>
      <c r="F69" s="66"/>
      <c r="I69" s="66"/>
      <c r="L69" s="66"/>
      <c r="O69" s="66"/>
      <c r="R69" s="66"/>
      <c r="U69" s="6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36B3-9A22-4BF6-B80A-E37E57AFCB19}">
  <dimension ref="B3:AD75"/>
  <sheetViews>
    <sheetView showGridLines="0" workbookViewId="0">
      <selection activeCell="R9" sqref="R9"/>
    </sheetView>
  </sheetViews>
  <sheetFormatPr defaultRowHeight="16.5" x14ac:dyDescent="0.25"/>
  <cols>
    <col min="1" max="1" width="9.140625" style="8"/>
    <col min="2" max="2" width="17.7109375" style="8" bestFit="1" customWidth="1"/>
    <col min="3" max="3" width="7.7109375" style="46" bestFit="1" customWidth="1"/>
    <col min="4" max="4" width="11.140625" style="46" bestFit="1" customWidth="1"/>
    <col min="5" max="5" width="8.140625" style="46" bestFit="1" customWidth="1"/>
    <col min="6" max="6" width="9.140625" style="8"/>
    <col min="7" max="7" width="17.7109375" style="8" bestFit="1" customWidth="1"/>
    <col min="8" max="8" width="7.7109375" style="46" bestFit="1" customWidth="1"/>
    <col min="9" max="9" width="11.140625" style="46" bestFit="1" customWidth="1"/>
    <col min="10" max="10" width="8.140625" style="46" bestFit="1" customWidth="1"/>
    <col min="11" max="11" width="9.140625" style="8"/>
    <col min="12" max="12" width="17.7109375" style="8" bestFit="1" customWidth="1"/>
    <col min="13" max="13" width="7.7109375" style="46" bestFit="1" customWidth="1"/>
    <col min="14" max="14" width="11.140625" style="46" bestFit="1" customWidth="1"/>
    <col min="15" max="15" width="8.140625" style="46" bestFit="1" customWidth="1"/>
    <col min="16" max="16" width="9.140625" style="8"/>
    <col min="17" max="17" width="17.7109375" style="8" bestFit="1" customWidth="1"/>
    <col min="18" max="18" width="7.7109375" style="46" bestFit="1" customWidth="1"/>
    <col min="19" max="19" width="11.140625" style="46" bestFit="1" customWidth="1"/>
    <col min="20" max="20" width="8.140625" style="46" bestFit="1" customWidth="1"/>
    <col min="21" max="21" width="9.140625" style="8"/>
    <col min="22" max="22" width="18.42578125" style="8" customWidth="1"/>
    <col min="23" max="23" width="9.140625" style="46"/>
    <col min="24" max="24" width="11.140625" style="46" bestFit="1" customWidth="1"/>
    <col min="25" max="25" width="9.140625" style="46"/>
    <col min="26" max="26" width="9.140625" style="8"/>
    <col min="27" max="27" width="18.42578125" style="8" customWidth="1"/>
    <col min="28" max="28" width="9.140625" style="46"/>
    <col min="29" max="29" width="11.140625" style="46" bestFit="1" customWidth="1"/>
    <col min="30" max="16384" width="9.140625" style="8"/>
  </cols>
  <sheetData>
    <row r="3" spans="2:30" ht="21" x14ac:dyDescent="0.25">
      <c r="B3" s="91" t="s">
        <v>8</v>
      </c>
      <c r="C3" s="91"/>
      <c r="D3" s="47" t="s">
        <v>102</v>
      </c>
      <c r="E3" s="47" t="s">
        <v>101</v>
      </c>
      <c r="G3" s="86" t="s">
        <v>83</v>
      </c>
      <c r="H3" s="88"/>
      <c r="I3" s="47" t="s">
        <v>102</v>
      </c>
      <c r="J3" s="47" t="s">
        <v>101</v>
      </c>
      <c r="K3" s="39"/>
      <c r="L3" s="86" t="s">
        <v>9</v>
      </c>
      <c r="M3" s="88"/>
      <c r="N3" s="47" t="s">
        <v>102</v>
      </c>
      <c r="O3" s="47" t="s">
        <v>101</v>
      </c>
      <c r="P3" s="39"/>
      <c r="Q3" s="86" t="s">
        <v>10</v>
      </c>
      <c r="R3" s="88"/>
      <c r="S3" s="47" t="s">
        <v>102</v>
      </c>
      <c r="T3" s="47" t="s">
        <v>101</v>
      </c>
      <c r="U3" s="39"/>
      <c r="V3" s="90"/>
      <c r="W3" s="90"/>
      <c r="X3" s="39"/>
      <c r="Y3" s="39"/>
      <c r="Z3" s="39"/>
      <c r="AA3" s="90"/>
      <c r="AB3" s="90"/>
      <c r="AC3" s="39"/>
      <c r="AD3" s="39"/>
    </row>
    <row r="5" spans="2:30" x14ac:dyDescent="0.25">
      <c r="B5" s="44" t="s">
        <v>1</v>
      </c>
      <c r="C5" s="45">
        <f>GETPIVOTDATA("Sum of AM FIELD",'Pivot Table'!$A$4)</f>
        <v>2614</v>
      </c>
      <c r="D5" s="58">
        <f>SUM(C5/4.4286)</f>
        <v>590.254256424152</v>
      </c>
      <c r="E5" s="58">
        <f>SUM(C5/31)</f>
        <v>84.322580645161295</v>
      </c>
      <c r="G5" s="44" t="s">
        <v>1</v>
      </c>
      <c r="H5" s="45">
        <f>GETPIVOTDATA("Sum of AM FIELD",'Pivot Table'!$A$16)</f>
        <v>2290</v>
      </c>
      <c r="I5" s="58">
        <f>SUM(H5/4.1429)</f>
        <v>552.7529025561804</v>
      </c>
      <c r="J5" s="58">
        <f>SUM(H5/29)</f>
        <v>78.965517241379317</v>
      </c>
      <c r="L5" s="44" t="s">
        <v>1</v>
      </c>
      <c r="M5" s="45">
        <f>GETPIVOTDATA("Sum of AM FIELD",'Pivot Table'!$A$28)</f>
        <v>2333</v>
      </c>
      <c r="N5" s="58">
        <f>SUM(M5/4.4286)</f>
        <v>526.80305288352974</v>
      </c>
      <c r="O5" s="58">
        <f>SUM(M5/31)</f>
        <v>75.258064516129039</v>
      </c>
      <c r="Q5" s="44" t="s">
        <v>1</v>
      </c>
      <c r="R5" s="45">
        <f>GETPIVOTDATA("Sum of AM FIELD",'Pivot Table'!$A$40)</f>
        <v>2263</v>
      </c>
      <c r="S5" s="58">
        <f>SUM(R5/4.2857)</f>
        <v>528.03509345031148</v>
      </c>
      <c r="T5" s="58">
        <f>SUM(R5/30)</f>
        <v>75.433333333333337</v>
      </c>
      <c r="AD5" s="46"/>
    </row>
    <row r="6" spans="2:30" x14ac:dyDescent="0.25">
      <c r="B6" s="44" t="s">
        <v>2</v>
      </c>
      <c r="C6" s="45">
        <f>GETPIVOTDATA("Sum of PM FIELD",'Pivot Table'!$A$4)</f>
        <v>1773</v>
      </c>
      <c r="D6" s="58">
        <f t="shared" ref="D6:D22" si="0">SUM(C6/4.4286)</f>
        <v>400.35225579189807</v>
      </c>
      <c r="E6" s="58">
        <f t="shared" ref="E6:E22" si="1">SUM(C6/31)</f>
        <v>57.193548387096776</v>
      </c>
      <c r="G6" s="44" t="s">
        <v>2</v>
      </c>
      <c r="H6" s="45">
        <f>GETPIVOTDATA("Sum of PM FIELD",'Pivot Table'!$A$16)</f>
        <v>1998</v>
      </c>
      <c r="I6" s="58">
        <f t="shared" ref="I6:I22" si="2">SUM(H6/4.1429)</f>
        <v>482.27087305993388</v>
      </c>
      <c r="J6" s="58">
        <f t="shared" ref="J6:J22" si="3">SUM(H6/29)</f>
        <v>68.896551724137936</v>
      </c>
      <c r="L6" s="44" t="s">
        <v>2</v>
      </c>
      <c r="M6" s="45">
        <f>GETPIVOTDATA("Sum of PM FIELD",'Pivot Table'!$A$28)</f>
        <v>2302</v>
      </c>
      <c r="N6" s="58">
        <f t="shared" ref="N6:N22" si="4">SUM(M6/4.4286)</f>
        <v>519.80309804452872</v>
      </c>
      <c r="O6" s="58">
        <f t="shared" ref="O6:O22" si="5">SUM(M6/31)</f>
        <v>74.258064516129039</v>
      </c>
      <c r="Q6" s="44" t="s">
        <v>2</v>
      </c>
      <c r="R6" s="45">
        <f>GETPIVOTDATA("Sum of PM FIELD",'Pivot Table'!$A$40)</f>
        <v>1923</v>
      </c>
      <c r="S6" s="58">
        <f t="shared" ref="S6:S22" si="6">SUM(R6/4.2857)</f>
        <v>448.7014956716522</v>
      </c>
      <c r="T6" s="58">
        <f t="shared" ref="T6:T22" si="7">SUM(R6/30)</f>
        <v>64.099999999999994</v>
      </c>
      <c r="AD6" s="46"/>
    </row>
    <row r="7" spans="2:30" x14ac:dyDescent="0.25">
      <c r="B7" s="44" t="s">
        <v>3</v>
      </c>
      <c r="C7" s="45">
        <f>GETPIVOTDATA("Sum of TOTAL FIELD",'Pivot Table'!$A$4)</f>
        <v>4387</v>
      </c>
      <c r="D7" s="58">
        <f t="shared" si="0"/>
        <v>990.60651221605019</v>
      </c>
      <c r="E7" s="58">
        <f t="shared" si="1"/>
        <v>141.51612903225808</v>
      </c>
      <c r="G7" s="44" t="s">
        <v>3</v>
      </c>
      <c r="H7" s="45">
        <f>GETPIVOTDATA("Sum of TOTAL FIELD",'Pivot Table'!$A$16)</f>
        <v>4288</v>
      </c>
      <c r="I7" s="58">
        <f t="shared" si="2"/>
        <v>1035.0237756161143</v>
      </c>
      <c r="J7" s="58">
        <f t="shared" si="3"/>
        <v>147.86206896551724</v>
      </c>
      <c r="L7" s="44" t="s">
        <v>3</v>
      </c>
      <c r="M7" s="45">
        <f>GETPIVOTDATA("Sum of TOTAL FIELD",'Pivot Table'!$A$28)</f>
        <v>4635</v>
      </c>
      <c r="N7" s="58">
        <f t="shared" si="4"/>
        <v>1046.6061509280585</v>
      </c>
      <c r="O7" s="58">
        <f t="shared" si="5"/>
        <v>149.51612903225808</v>
      </c>
      <c r="Q7" s="44" t="s">
        <v>3</v>
      </c>
      <c r="R7" s="45">
        <f>GETPIVOTDATA("Sum of TOTAL FIELD",'Pivot Table'!$A$40)</f>
        <v>4186</v>
      </c>
      <c r="S7" s="58">
        <f t="shared" si="6"/>
        <v>976.73658912196368</v>
      </c>
      <c r="T7" s="58">
        <f t="shared" si="7"/>
        <v>139.53333333333333</v>
      </c>
      <c r="AD7" s="46"/>
    </row>
    <row r="8" spans="2:30" x14ac:dyDescent="0.25">
      <c r="B8" s="44" t="s">
        <v>84</v>
      </c>
      <c r="C8" s="45">
        <f>GETPIVOTDATA("Sum of No. GUESTS",'Pivot Table'!$A$4)</f>
        <v>683</v>
      </c>
      <c r="D8" s="58">
        <f t="shared" si="0"/>
        <v>154.22481145282933</v>
      </c>
      <c r="E8" s="58">
        <f t="shared" si="1"/>
        <v>22.032258064516128</v>
      </c>
      <c r="G8" s="44" t="s">
        <v>84</v>
      </c>
      <c r="H8" s="45">
        <f>GETPIVOTDATA("Sum of No. GUESTS",'Pivot Table'!$A$16)</f>
        <v>737</v>
      </c>
      <c r="I8" s="58">
        <f t="shared" si="2"/>
        <v>177.89471143401965</v>
      </c>
      <c r="J8" s="58">
        <f t="shared" si="3"/>
        <v>25.413793103448278</v>
      </c>
      <c r="L8" s="44" t="s">
        <v>84</v>
      </c>
      <c r="M8" s="45">
        <f>GETPIVOTDATA("Sum of No. GUESTS",'Pivot Table'!$A$28)</f>
        <v>976</v>
      </c>
      <c r="N8" s="58">
        <f t="shared" si="4"/>
        <v>220.38567493112947</v>
      </c>
      <c r="O8" s="58">
        <f t="shared" si="5"/>
        <v>31.483870967741936</v>
      </c>
      <c r="Q8" s="44" t="s">
        <v>84</v>
      </c>
      <c r="R8" s="45">
        <f>GETPIVOTDATA("Sum of No. GUESTS",'Pivot Table'!$A$40)</f>
        <v>661</v>
      </c>
      <c r="S8" s="58">
        <f t="shared" si="6"/>
        <v>154.23384744615814</v>
      </c>
      <c r="T8" s="58">
        <f t="shared" si="7"/>
        <v>22.033333333333335</v>
      </c>
      <c r="AD8" s="46"/>
    </row>
    <row r="9" spans="2:30" s="60" customFormat="1" ht="33" x14ac:dyDescent="0.25">
      <c r="B9" s="59" t="s">
        <v>76</v>
      </c>
      <c r="C9" s="48">
        <f>SUM(C8/C7)</f>
        <v>0.1556872578071575</v>
      </c>
      <c r="D9" s="48">
        <f t="shared" ref="D9" si="8">SUM(C9/4.4286)</f>
        <v>3.5154960440581105E-2</v>
      </c>
      <c r="E9" s="48">
        <f t="shared" ref="E9" si="9">SUM(C9/31)</f>
        <v>5.0221696066825002E-3</v>
      </c>
      <c r="G9" s="59" t="s">
        <v>76</v>
      </c>
      <c r="H9" s="48">
        <f>SUM(H8/H7)</f>
        <v>0.171875</v>
      </c>
      <c r="I9" s="48">
        <f t="shared" ref="I9" si="10">SUM(H9/4.1429)</f>
        <v>4.148663979338145E-2</v>
      </c>
      <c r="J9" s="48">
        <f t="shared" ref="J9" si="11">SUM(H9/29)</f>
        <v>5.9267241379310342E-3</v>
      </c>
      <c r="L9" s="59" t="s">
        <v>76</v>
      </c>
      <c r="M9" s="48">
        <f>SUM(M8/M7)</f>
        <v>0.21057173678532901</v>
      </c>
      <c r="N9" s="48">
        <f t="shared" ref="N9" si="12">SUM(M9/4.4286)</f>
        <v>4.7548149931203765E-2</v>
      </c>
      <c r="O9" s="48">
        <f t="shared" ref="O9" si="13">SUM(M9/31)</f>
        <v>6.7926366704944841E-3</v>
      </c>
      <c r="Q9" s="59" t="s">
        <v>76</v>
      </c>
      <c r="R9" s="48">
        <f>SUM(R8/R7)</f>
        <v>0.15790731008122313</v>
      </c>
      <c r="S9" s="48">
        <f t="shared" ref="S9" si="14">SUM(R9/4.2857)</f>
        <v>3.6845161836158186E-2</v>
      </c>
      <c r="T9" s="48">
        <f t="shared" ref="T9" si="15">SUM(R9/30)</f>
        <v>5.2635770027074378E-3</v>
      </c>
      <c r="V9" s="73"/>
      <c r="W9" s="74"/>
      <c r="X9" s="74"/>
      <c r="Y9" s="74"/>
      <c r="Z9" s="75"/>
      <c r="AA9" s="73"/>
      <c r="AB9" s="74"/>
      <c r="AC9" s="74"/>
      <c r="AD9" s="74"/>
    </row>
    <row r="10" spans="2:30" x14ac:dyDescent="0.25">
      <c r="B10" s="40" t="s">
        <v>4</v>
      </c>
      <c r="C10" s="45">
        <f>GETPIVOTDATA("Sum of MEMBER",'Pivot Table'!$A$4)</f>
        <v>3619</v>
      </c>
      <c r="D10" s="58">
        <f t="shared" si="0"/>
        <v>817.18827620466959</v>
      </c>
      <c r="E10" s="58">
        <f t="shared" si="1"/>
        <v>116.74193548387096</v>
      </c>
      <c r="G10" s="40" t="s">
        <v>4</v>
      </c>
      <c r="H10" s="45">
        <f>GETPIVOTDATA("Sum of MEMBER",'Pivot Table'!$A$16)</f>
        <v>3495</v>
      </c>
      <c r="I10" s="58">
        <f t="shared" si="2"/>
        <v>843.61196263486931</v>
      </c>
      <c r="J10" s="58">
        <f t="shared" si="3"/>
        <v>120.51724137931035</v>
      </c>
      <c r="L10" s="40" t="s">
        <v>4</v>
      </c>
      <c r="M10" s="45">
        <f>GETPIVOTDATA("Sum of MEMBER",'Pivot Table'!$A$28)</f>
        <v>3553</v>
      </c>
      <c r="N10" s="58">
        <f t="shared" si="4"/>
        <v>802.28514654744163</v>
      </c>
      <c r="O10" s="58">
        <f t="shared" si="5"/>
        <v>114.61290322580645</v>
      </c>
      <c r="Q10" s="40" t="s">
        <v>4</v>
      </c>
      <c r="R10" s="45">
        <f>GETPIVOTDATA("Sum of MEMBER",'Pivot Table'!$A$40)</f>
        <v>3258</v>
      </c>
      <c r="S10" s="58">
        <f t="shared" si="6"/>
        <v>760.20253400844661</v>
      </c>
      <c r="T10" s="58">
        <f t="shared" si="7"/>
        <v>108.6</v>
      </c>
      <c r="V10" s="68"/>
      <c r="AA10" s="68"/>
      <c r="AD10" s="46"/>
    </row>
    <row r="11" spans="2:30" x14ac:dyDescent="0.25">
      <c r="B11" s="44" t="s">
        <v>85</v>
      </c>
      <c r="C11" s="45">
        <f>GETPIVOTDATA("Sum of MANAGER INTRO",'Pivot Table'!$A$4)</f>
        <v>3</v>
      </c>
      <c r="D11" s="58">
        <f t="shared" si="0"/>
        <v>0.67741498441945536</v>
      </c>
      <c r="E11" s="58">
        <f t="shared" si="1"/>
        <v>9.6774193548387094E-2</v>
      </c>
      <c r="G11" s="44" t="s">
        <v>85</v>
      </c>
      <c r="H11" s="45">
        <f>GETPIVOTDATA("Sum of MANAGER INTRO",'Pivot Table'!$A$16)</f>
        <v>1</v>
      </c>
      <c r="I11" s="58">
        <f t="shared" si="2"/>
        <v>0.24137681334331024</v>
      </c>
      <c r="J11" s="58">
        <f t="shared" si="3"/>
        <v>3.4482758620689655E-2</v>
      </c>
      <c r="L11" s="44" t="s">
        <v>85</v>
      </c>
      <c r="M11" s="45">
        <f>GETPIVOTDATA("Sum of MANAGER INTRO",'Pivot Table'!$A$28)</f>
        <v>1</v>
      </c>
      <c r="N11" s="58">
        <f t="shared" si="4"/>
        <v>0.22580499480648511</v>
      </c>
      <c r="O11" s="58">
        <f t="shared" si="5"/>
        <v>3.2258064516129031E-2</v>
      </c>
      <c r="Q11" s="44" t="s">
        <v>85</v>
      </c>
      <c r="R11" s="45">
        <f>GETPIVOTDATA("Sum of MANAGER INTRO",'Pivot Table'!$A$40)</f>
        <v>1</v>
      </c>
      <c r="S11" s="58">
        <f t="shared" si="6"/>
        <v>0.2333341111137037</v>
      </c>
      <c r="T11" s="58">
        <f t="shared" si="7"/>
        <v>3.3333333333333333E-2</v>
      </c>
      <c r="AD11" s="46"/>
    </row>
    <row r="12" spans="2:30" x14ac:dyDescent="0.25">
      <c r="B12" s="44" t="s">
        <v>77</v>
      </c>
      <c r="C12" s="45">
        <f>GETPIVOTDATA("Sum of INTERSTATE",'Pivot Table'!$A$4)</f>
        <v>3</v>
      </c>
      <c r="D12" s="58">
        <f t="shared" si="0"/>
        <v>0.67741498441945536</v>
      </c>
      <c r="E12" s="58">
        <f t="shared" si="1"/>
        <v>9.6774193548387094E-2</v>
      </c>
      <c r="G12" s="44" t="s">
        <v>77</v>
      </c>
      <c r="H12" s="45">
        <f>GETPIVOTDATA("Sum of INTERSTATE",'Pivot Table'!$A$16)</f>
        <v>14</v>
      </c>
      <c r="I12" s="58">
        <f t="shared" si="2"/>
        <v>3.3792753868063432</v>
      </c>
      <c r="J12" s="58">
        <f t="shared" si="3"/>
        <v>0.48275862068965519</v>
      </c>
      <c r="L12" s="44" t="s">
        <v>77</v>
      </c>
      <c r="M12" s="45">
        <f>GETPIVOTDATA("Sum of INTERSTATE",'Pivot Table'!$A$28)</f>
        <v>34</v>
      </c>
      <c r="N12" s="58">
        <f t="shared" si="4"/>
        <v>7.6773698234204932</v>
      </c>
      <c r="O12" s="58">
        <f t="shared" si="5"/>
        <v>1.096774193548387</v>
      </c>
      <c r="Q12" s="44" t="s">
        <v>77</v>
      </c>
      <c r="R12" s="45">
        <f>GETPIVOTDATA("Sum of INTERSTATE",'Pivot Table'!$A$40)</f>
        <v>20</v>
      </c>
      <c r="S12" s="58">
        <f t="shared" si="6"/>
        <v>4.6666822222740736</v>
      </c>
      <c r="T12" s="58">
        <f t="shared" si="7"/>
        <v>0.66666666666666663</v>
      </c>
      <c r="AD12" s="46"/>
    </row>
    <row r="13" spans="2:30" x14ac:dyDescent="0.25">
      <c r="B13" s="44" t="s">
        <v>78</v>
      </c>
      <c r="C13" s="45">
        <f>GETPIVOTDATA("Sum of INTERNATIONAL",'Pivot Table'!$A$4)</f>
        <v>84</v>
      </c>
      <c r="D13" s="58">
        <f t="shared" si="0"/>
        <v>18.967619563744748</v>
      </c>
      <c r="E13" s="58">
        <f t="shared" si="1"/>
        <v>2.7096774193548385</v>
      </c>
      <c r="G13" s="44" t="s">
        <v>78</v>
      </c>
      <c r="H13" s="45">
        <f>GETPIVOTDATA("Sum of INTERNATIONAL",'Pivot Table'!$A$16)</f>
        <v>87</v>
      </c>
      <c r="I13" s="58">
        <f t="shared" si="2"/>
        <v>20.999782760867991</v>
      </c>
      <c r="J13" s="58">
        <f t="shared" si="3"/>
        <v>3</v>
      </c>
      <c r="L13" s="44" t="s">
        <v>78</v>
      </c>
      <c r="M13" s="45">
        <f>GETPIVOTDATA("Sum of INTERNATIONAL",'Pivot Table'!$A$28)</f>
        <v>134</v>
      </c>
      <c r="N13" s="58">
        <f t="shared" si="4"/>
        <v>30.257869304069004</v>
      </c>
      <c r="O13" s="58">
        <f t="shared" si="5"/>
        <v>4.32258064516129</v>
      </c>
      <c r="Q13" s="44" t="s">
        <v>78</v>
      </c>
      <c r="R13" s="45">
        <f>GETPIVOTDATA("Sum of INTERNATIONAL",'Pivot Table'!$A$40)</f>
        <v>8</v>
      </c>
      <c r="S13" s="58">
        <f t="shared" si="6"/>
        <v>1.8666728889096296</v>
      </c>
      <c r="T13" s="58">
        <f t="shared" si="7"/>
        <v>0.26666666666666666</v>
      </c>
      <c r="AD13" s="46"/>
    </row>
    <row r="14" spans="2:30" x14ac:dyDescent="0.25">
      <c r="B14" s="44" t="s">
        <v>79</v>
      </c>
      <c r="C14" s="45">
        <f>GETPIVOTDATA("Sum of INDUSTRY GUEST",'Pivot Table'!$A$4)</f>
        <v>14</v>
      </c>
      <c r="D14" s="58">
        <f t="shared" si="0"/>
        <v>3.1612699272907916</v>
      </c>
      <c r="E14" s="58">
        <f t="shared" si="1"/>
        <v>0.45161290322580644</v>
      </c>
      <c r="G14" s="44" t="s">
        <v>79</v>
      </c>
      <c r="H14" s="45">
        <f>GETPIVOTDATA("Sum of INDUSTRY GUEST",'Pivot Table'!$A$16)</f>
        <v>6</v>
      </c>
      <c r="I14" s="58">
        <f t="shared" si="2"/>
        <v>1.4482608800598615</v>
      </c>
      <c r="J14" s="58">
        <f t="shared" si="3"/>
        <v>0.20689655172413793</v>
      </c>
      <c r="L14" s="44" t="s">
        <v>79</v>
      </c>
      <c r="M14" s="45">
        <f>GETPIVOTDATA("Sum of INDUSTRY GUEST",'Pivot Table'!$A$28)</f>
        <v>0</v>
      </c>
      <c r="N14" s="58">
        <f t="shared" si="4"/>
        <v>0</v>
      </c>
      <c r="O14" s="58">
        <f t="shared" si="5"/>
        <v>0</v>
      </c>
      <c r="Q14" s="44" t="s">
        <v>79</v>
      </c>
      <c r="R14" s="45">
        <f>GETPIVOTDATA("Sum of INDUSTRY GUEST",'Pivot Table'!$A$40)</f>
        <v>6</v>
      </c>
      <c r="S14" s="58">
        <f t="shared" si="6"/>
        <v>1.4000046666822221</v>
      </c>
      <c r="T14" s="58">
        <f t="shared" si="7"/>
        <v>0.2</v>
      </c>
      <c r="AD14" s="46"/>
    </row>
    <row r="15" spans="2:30" x14ac:dyDescent="0.25">
      <c r="B15" s="44" t="s">
        <v>5</v>
      </c>
      <c r="C15" s="45">
        <f>GETPIVOTDATA("Sum of MEMB GUEST MICLUB",'Pivot Table'!$A$4)</f>
        <v>437</v>
      </c>
      <c r="D15" s="58">
        <f t="shared" si="0"/>
        <v>98.676782730433985</v>
      </c>
      <c r="E15" s="58">
        <f t="shared" si="1"/>
        <v>14.096774193548388</v>
      </c>
      <c r="G15" s="44" t="s">
        <v>5</v>
      </c>
      <c r="H15" s="45">
        <f>GETPIVOTDATA("Sum of MEMB GUEST MICLUB",'Pivot Table'!$A$16)</f>
        <v>265</v>
      </c>
      <c r="I15" s="58">
        <f t="shared" si="2"/>
        <v>63.964855535977215</v>
      </c>
      <c r="J15" s="58">
        <f t="shared" si="3"/>
        <v>9.137931034482758</v>
      </c>
      <c r="L15" s="44" t="s">
        <v>5</v>
      </c>
      <c r="M15" s="45">
        <f>GETPIVOTDATA("Sum of MEMB GUEST MICLUB",'Pivot Table'!$A$28)</f>
        <v>412</v>
      </c>
      <c r="N15" s="58">
        <f t="shared" si="4"/>
        <v>93.031657860271864</v>
      </c>
      <c r="O15" s="58">
        <f t="shared" si="5"/>
        <v>13.290322580645162</v>
      </c>
      <c r="Q15" s="44" t="s">
        <v>5</v>
      </c>
      <c r="R15" s="45">
        <f>GETPIVOTDATA("Sum of MEMB GUEST MICLUB",'Pivot Table'!$A$40)</f>
        <v>261</v>
      </c>
      <c r="S15" s="58">
        <f t="shared" si="6"/>
        <v>60.900203000676662</v>
      </c>
      <c r="T15" s="58">
        <f t="shared" si="7"/>
        <v>8.6999999999999993</v>
      </c>
      <c r="AD15" s="46"/>
    </row>
    <row r="16" spans="2:30" ht="33" x14ac:dyDescent="0.25">
      <c r="B16" s="40" t="s">
        <v>80</v>
      </c>
      <c r="C16" s="45">
        <f>GETPIVOTDATA("Sum of MEMB GUEST UNACCOMPANIED",'Pivot Table'!$A$4)</f>
        <v>2</v>
      </c>
      <c r="D16" s="58">
        <f t="shared" si="0"/>
        <v>0.45160998961297022</v>
      </c>
      <c r="E16" s="58">
        <f t="shared" si="1"/>
        <v>6.4516129032258063E-2</v>
      </c>
      <c r="G16" s="40" t="s">
        <v>80</v>
      </c>
      <c r="H16" s="45">
        <f>GETPIVOTDATA("Sum of MEMB GUEST UNACCOMPANIED",'Pivot Table'!$A$16)</f>
        <v>10</v>
      </c>
      <c r="I16" s="58">
        <f t="shared" si="2"/>
        <v>2.4137681334331025</v>
      </c>
      <c r="J16" s="58">
        <f t="shared" si="3"/>
        <v>0.34482758620689657</v>
      </c>
      <c r="L16" s="40" t="s">
        <v>80</v>
      </c>
      <c r="M16" s="45">
        <f>GETPIVOTDATA("Sum of MEMB GUEST UNACCOMPANIED",'Pivot Table'!$A$28)</f>
        <v>14</v>
      </c>
      <c r="N16" s="58">
        <f t="shared" si="4"/>
        <v>3.1612699272907916</v>
      </c>
      <c r="O16" s="58">
        <f t="shared" si="5"/>
        <v>0.45161290322580644</v>
      </c>
      <c r="Q16" s="40" t="s">
        <v>80</v>
      </c>
      <c r="R16" s="45">
        <f>GETPIVOTDATA("Sum of MEMB GUEST UNACCOMPANIED",'Pivot Table'!$A$40)</f>
        <v>0</v>
      </c>
      <c r="S16" s="58">
        <f t="shared" si="6"/>
        <v>0</v>
      </c>
      <c r="T16" s="58">
        <f t="shared" si="7"/>
        <v>0</v>
      </c>
      <c r="V16" s="68"/>
      <c r="AA16" s="68"/>
      <c r="AD16" s="46"/>
    </row>
    <row r="17" spans="2:30" x14ac:dyDescent="0.25">
      <c r="B17" s="44" t="s">
        <v>6</v>
      </c>
      <c r="C17" s="45">
        <f>GETPIVOTDATA("Sum of CORPORATE",'Pivot Table'!$A$4)</f>
        <v>0</v>
      </c>
      <c r="D17" s="58">
        <f t="shared" si="0"/>
        <v>0</v>
      </c>
      <c r="E17" s="58">
        <f t="shared" si="1"/>
        <v>0</v>
      </c>
      <c r="G17" s="44" t="s">
        <v>6</v>
      </c>
      <c r="H17" s="45">
        <f>GETPIVOTDATA("Sum of CORPORATE",'Pivot Table'!$A$16)</f>
        <v>193</v>
      </c>
      <c r="I17" s="58">
        <f t="shared" si="2"/>
        <v>46.585724975258877</v>
      </c>
      <c r="J17" s="58">
        <f t="shared" si="3"/>
        <v>6.6551724137931032</v>
      </c>
      <c r="L17" s="44" t="s">
        <v>6</v>
      </c>
      <c r="M17" s="45">
        <f>GETPIVOTDATA("Sum of CORPORATE",'Pivot Table'!$A$28)</f>
        <v>266</v>
      </c>
      <c r="N17" s="58">
        <f>SUM(M17/4.4286)</f>
        <v>60.064128618525039</v>
      </c>
      <c r="O17" s="58">
        <f>SUM(M17/31)</f>
        <v>8.5806451612903221</v>
      </c>
      <c r="Q17" s="44" t="s">
        <v>6</v>
      </c>
      <c r="R17" s="45">
        <f>GETPIVOTDATA("Sum of CORPORATE",'Pivot Table'!$A$40)</f>
        <v>264</v>
      </c>
      <c r="S17" s="58">
        <f t="shared" si="6"/>
        <v>61.600205334017772</v>
      </c>
      <c r="T17" s="58">
        <f t="shared" si="7"/>
        <v>8.8000000000000007</v>
      </c>
      <c r="AD17" s="46"/>
    </row>
    <row r="18" spans="2:30" customFormat="1" x14ac:dyDescent="0.25">
      <c r="B18" s="44" t="s">
        <v>116</v>
      </c>
      <c r="C18" s="45">
        <f>GETPIVOTDATA("Sum of EVENT",'Pivot Table'!$A$4)</f>
        <v>0</v>
      </c>
      <c r="D18" s="58">
        <f t="shared" ref="D18" si="16">SUM(C18/4.4286)</f>
        <v>0</v>
      </c>
      <c r="E18" s="58">
        <f t="shared" ref="E18" si="17">SUM(C18/31)</f>
        <v>0</v>
      </c>
      <c r="F18" s="8"/>
      <c r="G18" s="44" t="s">
        <v>116</v>
      </c>
      <c r="H18" s="45">
        <f>GETPIVOTDATA("Sum of EVENT",'Pivot Table'!$A$16)</f>
        <v>32</v>
      </c>
      <c r="I18" s="58">
        <f t="shared" ref="I18" si="18">SUM(H18/4.1429)</f>
        <v>7.7240580269859276</v>
      </c>
      <c r="J18" s="58">
        <f t="shared" ref="J18" si="19">SUM(H18/29)</f>
        <v>1.103448275862069</v>
      </c>
      <c r="K18" s="8"/>
      <c r="L18" s="44" t="s">
        <v>116</v>
      </c>
      <c r="M18" s="45">
        <f>GETPIVOTDATA("Sum of EVENT",'Pivot Table'!$A$28)</f>
        <v>72</v>
      </c>
      <c r="N18" s="58">
        <f>SUM(M18/4.4286)</f>
        <v>16.257959626066928</v>
      </c>
      <c r="O18" s="58">
        <f>SUM(M18/31)</f>
        <v>2.3225806451612905</v>
      </c>
      <c r="P18" s="8"/>
      <c r="Q18" s="44" t="s">
        <v>116</v>
      </c>
      <c r="R18" s="45">
        <f>GETPIVOTDATA("Sum of EVENT",'Pivot Table'!$A$40)</f>
        <v>208</v>
      </c>
      <c r="S18" s="58">
        <f t="shared" ref="S18" si="20">SUM(R18/4.2857)</f>
        <v>48.533495111650367</v>
      </c>
      <c r="T18" s="58">
        <f t="shared" ref="T18" si="21">SUM(R18/30)</f>
        <v>6.9333333333333336</v>
      </c>
    </row>
    <row r="19" spans="2:30" x14ac:dyDescent="0.25">
      <c r="B19" s="44" t="s">
        <v>86</v>
      </c>
      <c r="C19" s="45">
        <f>GETPIVOTDATA("Sum of NON-PLAYING",'Pivot Table'!$A$4)</f>
        <v>85</v>
      </c>
      <c r="D19" s="58">
        <f t="shared" si="0"/>
        <v>19.193424558551232</v>
      </c>
      <c r="E19" s="58">
        <f t="shared" si="1"/>
        <v>2.7419354838709675</v>
      </c>
      <c r="G19" s="44" t="s">
        <v>86</v>
      </c>
      <c r="H19" s="45">
        <f>GETPIVOTDATA("Sum of NON-PLAYING",'Pivot Table'!$A$16)</f>
        <v>56</v>
      </c>
      <c r="I19" s="58">
        <f t="shared" si="2"/>
        <v>13.517101547225373</v>
      </c>
      <c r="J19" s="58">
        <f t="shared" si="3"/>
        <v>1.9310344827586208</v>
      </c>
      <c r="L19" s="44" t="s">
        <v>86</v>
      </c>
      <c r="M19" s="45">
        <f>GETPIVOTDATA("Sum of NON-PLAYING",'Pivot Table'!$A$28)</f>
        <v>34</v>
      </c>
      <c r="N19" s="58">
        <f t="shared" si="4"/>
        <v>7.6773698234204932</v>
      </c>
      <c r="O19" s="58">
        <f t="shared" si="5"/>
        <v>1.096774193548387</v>
      </c>
      <c r="Q19" s="44" t="s">
        <v>86</v>
      </c>
      <c r="R19" s="45">
        <f>GETPIVOTDATA("Sum of NON-PLAYING",'Pivot Table'!$A$40)</f>
        <v>59</v>
      </c>
      <c r="S19" s="58">
        <f t="shared" si="6"/>
        <v>13.766712555708517</v>
      </c>
      <c r="T19" s="58">
        <f t="shared" si="7"/>
        <v>1.9666666666666666</v>
      </c>
      <c r="AD19" s="46"/>
    </row>
    <row r="20" spans="2:30" x14ac:dyDescent="0.25">
      <c r="B20" s="44" t="s">
        <v>81</v>
      </c>
      <c r="C20" s="45">
        <f>GETPIVOTDATA("Sum of VOUCHER",'Pivot Table'!$A$4)</f>
        <v>40</v>
      </c>
      <c r="D20" s="58">
        <f t="shared" si="0"/>
        <v>9.0321997922594033</v>
      </c>
      <c r="E20" s="58">
        <f t="shared" si="1"/>
        <v>1.2903225806451613</v>
      </c>
      <c r="G20" s="44" t="s">
        <v>81</v>
      </c>
      <c r="H20" s="45">
        <f>GETPIVOTDATA("Sum of VOUCHER",'Pivot Table'!$A$16)</f>
        <v>15</v>
      </c>
      <c r="I20" s="58">
        <f t="shared" si="2"/>
        <v>3.6206522001496535</v>
      </c>
      <c r="J20" s="58">
        <f t="shared" si="3"/>
        <v>0.51724137931034486</v>
      </c>
      <c r="L20" s="44" t="s">
        <v>81</v>
      </c>
      <c r="M20" s="45">
        <f>GETPIVOTDATA("Sum of VOUCHER",'Pivot Table'!$A$28)</f>
        <v>10</v>
      </c>
      <c r="N20" s="58">
        <f t="shared" si="4"/>
        <v>2.2580499480648508</v>
      </c>
      <c r="O20" s="58">
        <f t="shared" si="5"/>
        <v>0.32258064516129031</v>
      </c>
      <c r="Q20" s="44" t="s">
        <v>81</v>
      </c>
      <c r="R20" s="45">
        <f>GETPIVOTDATA("Sum of VOUCHER",'Pivot Table'!$A$40)</f>
        <v>23</v>
      </c>
      <c r="S20" s="58">
        <f t="shared" si="6"/>
        <v>5.3666845556151852</v>
      </c>
      <c r="T20" s="58">
        <f t="shared" si="7"/>
        <v>0.76666666666666672</v>
      </c>
      <c r="AD20" s="46"/>
    </row>
    <row r="21" spans="2:30" x14ac:dyDescent="0.25">
      <c r="B21" s="44" t="s">
        <v>7</v>
      </c>
      <c r="C21" s="45">
        <f>GETPIVOTDATA("Sum of RECIP",'Pivot Table'!$A$4)</f>
        <v>100</v>
      </c>
      <c r="D21" s="58">
        <f t="shared" si="0"/>
        <v>22.580499480648509</v>
      </c>
      <c r="E21" s="58">
        <f t="shared" si="1"/>
        <v>3.225806451612903</v>
      </c>
      <c r="G21" s="44" t="s">
        <v>7</v>
      </c>
      <c r="H21" s="45">
        <f>GETPIVOTDATA("Sum of RECIP",'Pivot Table'!$A$16)</f>
        <v>114</v>
      </c>
      <c r="I21" s="58">
        <f t="shared" si="2"/>
        <v>27.516956721137369</v>
      </c>
      <c r="J21" s="58">
        <f t="shared" si="3"/>
        <v>3.9310344827586206</v>
      </c>
      <c r="L21" s="44" t="s">
        <v>7</v>
      </c>
      <c r="M21" s="45">
        <f>GETPIVOTDATA("Sum of RECIP",'Pivot Table'!$A$28)</f>
        <v>105</v>
      </c>
      <c r="N21" s="58">
        <f t="shared" si="4"/>
        <v>23.709524454680935</v>
      </c>
      <c r="O21" s="58">
        <f t="shared" si="5"/>
        <v>3.3870967741935485</v>
      </c>
      <c r="Q21" s="44" t="s">
        <v>7</v>
      </c>
      <c r="R21" s="45">
        <f>GETPIVOTDATA("Sum of RECIP",'Pivot Table'!$A$40)</f>
        <v>78</v>
      </c>
      <c r="S21" s="58">
        <f t="shared" si="6"/>
        <v>18.20006066686889</v>
      </c>
      <c r="T21" s="58">
        <f t="shared" si="7"/>
        <v>2.6</v>
      </c>
      <c r="AD21" s="46"/>
    </row>
    <row r="22" spans="2:30" x14ac:dyDescent="0.25">
      <c r="B22" s="44" t="s">
        <v>82</v>
      </c>
      <c r="C22" s="45">
        <f>GETPIVOTDATA("Sum of COMP",'Pivot Table'!$A$4)</f>
        <v>2545</v>
      </c>
      <c r="D22" s="58">
        <f t="shared" si="0"/>
        <v>574.6737117825046</v>
      </c>
      <c r="E22" s="58">
        <f t="shared" si="1"/>
        <v>82.096774193548384</v>
      </c>
      <c r="G22" s="44" t="s">
        <v>82</v>
      </c>
      <c r="H22" s="45">
        <f>GETPIVOTDATA("Sum of COMP",'Pivot Table'!$A$16)</f>
        <v>2083</v>
      </c>
      <c r="I22" s="58">
        <f t="shared" si="2"/>
        <v>502.78790219411525</v>
      </c>
      <c r="J22" s="58">
        <f t="shared" si="3"/>
        <v>71.827586206896555</v>
      </c>
      <c r="L22" s="44" t="s">
        <v>82</v>
      </c>
      <c r="M22" s="45">
        <f>GETPIVOTDATA("Sum of COMP",'Pivot Table'!$A$28)</f>
        <v>2087</v>
      </c>
      <c r="N22" s="58">
        <f t="shared" si="4"/>
        <v>471.25502416113443</v>
      </c>
      <c r="O22" s="58">
        <f t="shared" si="5"/>
        <v>67.322580645161295</v>
      </c>
      <c r="Q22" s="44" t="s">
        <v>82</v>
      </c>
      <c r="R22" s="45">
        <f>GETPIVOTDATA("Sum of COMP",'Pivot Table'!$A$40)</f>
        <v>2265</v>
      </c>
      <c r="S22" s="58">
        <f t="shared" si="6"/>
        <v>528.50176167253892</v>
      </c>
      <c r="T22" s="58">
        <f t="shared" si="7"/>
        <v>75.5</v>
      </c>
      <c r="AD22" s="46"/>
    </row>
    <row r="25" spans="2:30" s="39" customFormat="1" ht="21" x14ac:dyDescent="0.25">
      <c r="B25" s="86" t="s">
        <v>11</v>
      </c>
      <c r="C25" s="88"/>
      <c r="D25" s="47" t="s">
        <v>102</v>
      </c>
      <c r="E25" s="47" t="s">
        <v>101</v>
      </c>
      <c r="G25" s="86" t="s">
        <v>12</v>
      </c>
      <c r="H25" s="88"/>
      <c r="I25" s="47" t="s">
        <v>102</v>
      </c>
      <c r="J25" s="47" t="s">
        <v>101</v>
      </c>
      <c r="L25" s="91" t="s">
        <v>13</v>
      </c>
      <c r="M25" s="91"/>
      <c r="N25" s="47" t="s">
        <v>102</v>
      </c>
      <c r="O25" s="47" t="s">
        <v>101</v>
      </c>
      <c r="Q25" s="91" t="s">
        <v>14</v>
      </c>
      <c r="R25" s="91"/>
      <c r="S25" s="47" t="s">
        <v>102</v>
      </c>
      <c r="T25" s="47" t="s">
        <v>101</v>
      </c>
      <c r="V25" s="90"/>
      <c r="W25" s="90"/>
      <c r="AA25" s="90"/>
      <c r="AB25" s="90"/>
    </row>
    <row r="26" spans="2:30" x14ac:dyDescent="0.25">
      <c r="J26" s="8"/>
    </row>
    <row r="27" spans="2:30" x14ac:dyDescent="0.25">
      <c r="B27" s="44" t="s">
        <v>1</v>
      </c>
      <c r="C27" s="45">
        <f>GETPIVOTDATA("Sum of AM FIELD",'Pivot Table'!$A$52)</f>
        <v>2308</v>
      </c>
      <c r="D27" s="58">
        <f t="shared" ref="D27:D44" si="22">SUM(C27/4.4286)</f>
        <v>521.15792801336761</v>
      </c>
      <c r="E27" s="58">
        <f t="shared" ref="E27:E44" si="23">SUM(C27/31)</f>
        <v>74.451612903225808</v>
      </c>
      <c r="G27" s="44" t="s">
        <v>1</v>
      </c>
      <c r="H27" s="45">
        <f>GETPIVOTDATA("Sum of AM FIELD",'Pivot Table'!$A$64)</f>
        <v>1911</v>
      </c>
      <c r="I27" s="58">
        <f t="shared" ref="I27:I44" si="24">SUM(H27/4.4286)</f>
        <v>431.51334507519306</v>
      </c>
      <c r="J27" s="58">
        <f t="shared" ref="J27:J44" si="25">SUM(H27/30)</f>
        <v>63.7</v>
      </c>
      <c r="L27" s="44" t="s">
        <v>1</v>
      </c>
      <c r="M27" s="45">
        <f>GETPIVOTDATA("Sum of AM FIELD",'Pivot Table'!$A$76)</f>
        <v>2160</v>
      </c>
      <c r="N27" s="58">
        <f>SUM(M27/4.4286)</f>
        <v>487.73878878200782</v>
      </c>
      <c r="O27" s="58">
        <f>SUM(M27/31)</f>
        <v>69.677419354838705</v>
      </c>
      <c r="Q27" s="44" t="s">
        <v>1</v>
      </c>
      <c r="R27" s="45">
        <f>GETPIVOTDATA("Sum of AM FIELD",'Pivot Table'!$A$88)</f>
        <v>2166</v>
      </c>
      <c r="S27" s="58">
        <f>SUM(R27/4.4286)</f>
        <v>489.09361875084676</v>
      </c>
      <c r="T27" s="58">
        <f>SUM(R27/31)</f>
        <v>69.870967741935488</v>
      </c>
    </row>
    <row r="28" spans="2:30" customFormat="1" x14ac:dyDescent="0.25">
      <c r="B28" s="44" t="s">
        <v>2</v>
      </c>
      <c r="C28" s="45">
        <f>GETPIVOTDATA("Sum of PM FIELD",'Pivot Table'!$A$52)</f>
        <v>1748</v>
      </c>
      <c r="D28" s="58">
        <f t="shared" si="22"/>
        <v>394.70713092173594</v>
      </c>
      <c r="E28" s="58">
        <f t="shared" si="23"/>
        <v>56.387096774193552</v>
      </c>
      <c r="F28" s="8"/>
      <c r="G28" s="44" t="s">
        <v>2</v>
      </c>
      <c r="H28" s="45">
        <f>GETPIVOTDATA("Sum of PM FIELD",'Pivot Table'!$A$64)</f>
        <v>1890</v>
      </c>
      <c r="I28" s="58">
        <f t="shared" si="24"/>
        <v>426.77144018425685</v>
      </c>
      <c r="J28" s="58">
        <f t="shared" si="25"/>
        <v>63</v>
      </c>
      <c r="L28" s="44" t="s">
        <v>2</v>
      </c>
      <c r="M28" s="45">
        <f>GETPIVOTDATA("Sum of PM FIELD",'Pivot Table'!$A$76)</f>
        <v>1824</v>
      </c>
      <c r="N28" s="58">
        <f t="shared" ref="N28:N38" si="26">SUM(M28/4.4286)</f>
        <v>411.86831052702883</v>
      </c>
      <c r="O28" s="58">
        <f t="shared" ref="O28:O38" si="27">SUM(M28/31)</f>
        <v>58.838709677419352</v>
      </c>
      <c r="P28" s="8"/>
      <c r="Q28" s="44" t="s">
        <v>2</v>
      </c>
      <c r="R28" s="45">
        <f>GETPIVOTDATA("Sum of PM FIELD",'Pivot Table'!$A$88)</f>
        <v>1826</v>
      </c>
      <c r="S28" s="58">
        <f t="shared" ref="S28:S38" si="28">SUM(R28/4.4286)</f>
        <v>412.31992051664179</v>
      </c>
      <c r="T28" s="58">
        <f t="shared" ref="T28:T38" si="29">SUM(R28/31)</f>
        <v>58.903225806451616</v>
      </c>
    </row>
    <row r="29" spans="2:30" customFormat="1" x14ac:dyDescent="0.25">
      <c r="B29" s="44" t="s">
        <v>3</v>
      </c>
      <c r="C29" s="45">
        <f>GETPIVOTDATA("Sum of TOTAL FIELD",'Pivot Table'!$A$52)</f>
        <v>4056</v>
      </c>
      <c r="D29" s="58">
        <f t="shared" si="22"/>
        <v>915.86505893510355</v>
      </c>
      <c r="E29" s="58">
        <f t="shared" si="23"/>
        <v>130.83870967741936</v>
      </c>
      <c r="F29" s="8"/>
      <c r="G29" s="44" t="s">
        <v>3</v>
      </c>
      <c r="H29" s="45">
        <f>GETPIVOTDATA("Sum of TOTAL FIELD",'Pivot Table'!$A$64)</f>
        <v>3801</v>
      </c>
      <c r="I29" s="58">
        <f t="shared" si="24"/>
        <v>858.2847852594499</v>
      </c>
      <c r="J29" s="58">
        <f t="shared" si="25"/>
        <v>126.7</v>
      </c>
      <c r="L29" s="44" t="s">
        <v>3</v>
      </c>
      <c r="M29" s="45">
        <f>GETPIVOTDATA("Sum of TOTAL FIELD",'Pivot Table'!$A$76)</f>
        <v>3984</v>
      </c>
      <c r="N29" s="58">
        <f t="shared" si="26"/>
        <v>899.6070993090367</v>
      </c>
      <c r="O29" s="58">
        <f t="shared" si="27"/>
        <v>128.51612903225808</v>
      </c>
      <c r="P29" s="8"/>
      <c r="Q29" s="44" t="s">
        <v>3</v>
      </c>
      <c r="R29" s="45">
        <f>SUM(R27:R28)</f>
        <v>3992</v>
      </c>
      <c r="S29" s="58">
        <f t="shared" si="28"/>
        <v>901.41353926748855</v>
      </c>
      <c r="T29" s="58">
        <f t="shared" si="29"/>
        <v>128.7741935483871</v>
      </c>
    </row>
    <row r="30" spans="2:30" customFormat="1" x14ac:dyDescent="0.25">
      <c r="B30" s="44" t="s">
        <v>84</v>
      </c>
      <c r="C30" s="45">
        <f>GETPIVOTDATA("Sum of No. GUESTS",'Pivot Table'!$A$52)</f>
        <v>791</v>
      </c>
      <c r="D30" s="58">
        <f t="shared" si="22"/>
        <v>178.61175089192972</v>
      </c>
      <c r="E30" s="58">
        <f t="shared" si="23"/>
        <v>25.516129032258064</v>
      </c>
      <c r="F30" s="8"/>
      <c r="G30" s="44" t="s">
        <v>84</v>
      </c>
      <c r="H30" s="45">
        <f>GETPIVOTDATA("Sum of No. GUESTS",'Pivot Table'!$A$64)</f>
        <v>616</v>
      </c>
      <c r="I30" s="58">
        <f t="shared" si="24"/>
        <v>139.09587680079483</v>
      </c>
      <c r="J30" s="58">
        <f t="shared" si="25"/>
        <v>20.533333333333335</v>
      </c>
      <c r="L30" s="44" t="s">
        <v>84</v>
      </c>
      <c r="M30" s="45">
        <f>GETPIVOTDATA("Sum of No. GUESTS",'Pivot Table'!$A$76)</f>
        <v>554</v>
      </c>
      <c r="N30" s="58">
        <f t="shared" si="26"/>
        <v>125.09596712279274</v>
      </c>
      <c r="O30" s="58">
        <f t="shared" si="27"/>
        <v>17.870967741935484</v>
      </c>
      <c r="P30" s="8"/>
      <c r="Q30" s="44" t="s">
        <v>84</v>
      </c>
      <c r="R30" s="45">
        <f>GETPIVOTDATA("Sum of No. GUESTS",'Pivot Table'!$A$88)</f>
        <v>767</v>
      </c>
      <c r="S30" s="58">
        <f t="shared" si="28"/>
        <v>173.19243101657406</v>
      </c>
      <c r="T30" s="58">
        <f t="shared" si="29"/>
        <v>24.741935483870968</v>
      </c>
    </row>
    <row r="31" spans="2:30" customFormat="1" ht="33" x14ac:dyDescent="0.25">
      <c r="B31" s="59" t="s">
        <v>76</v>
      </c>
      <c r="C31" s="48">
        <f>SUM(C30/C29)</f>
        <v>0.19501972386587771</v>
      </c>
      <c r="D31" s="48">
        <f t="shared" ref="D31" si="30">SUM(C31/4.4286)</f>
        <v>4.4036427734696675E-2</v>
      </c>
      <c r="E31" s="48">
        <f t="shared" ref="E31" si="31">SUM(C31/31)</f>
        <v>6.2909588343831521E-3</v>
      </c>
      <c r="F31" s="60"/>
      <c r="G31" s="59" t="s">
        <v>76</v>
      </c>
      <c r="H31" s="48">
        <f>SUM(H30/H29)</f>
        <v>0.16206261510128914</v>
      </c>
      <c r="I31" s="48">
        <f t="shared" ref="I31" si="32">SUM(H31/4.4286)</f>
        <v>3.6594547961271991E-2</v>
      </c>
      <c r="J31" s="48">
        <f t="shared" ref="J31" si="33">SUM(H31/30)</f>
        <v>5.4020871700429709E-3</v>
      </c>
      <c r="L31" s="59" t="s">
        <v>76</v>
      </c>
      <c r="M31" s="48">
        <f>SUM(M30/M29)</f>
        <v>0.1390562248995984</v>
      </c>
      <c r="N31" s="48">
        <f t="shared" ref="N31" si="34">SUM(M31/4.4286)</f>
        <v>3.1399590141263242E-2</v>
      </c>
      <c r="O31" s="48">
        <f t="shared" ref="O31" si="35">SUM(M31/31)</f>
        <v>4.4856846741805935E-3</v>
      </c>
      <c r="P31" s="60"/>
      <c r="Q31" s="59" t="s">
        <v>76</v>
      </c>
      <c r="R31" s="48">
        <f>SUM(R30/R29)</f>
        <v>0.19213426853707416</v>
      </c>
      <c r="S31" s="48">
        <f t="shared" ref="S31" si="36">SUM(R31/4.4286)</f>
        <v>4.3384877509161847E-2</v>
      </c>
      <c r="T31" s="48">
        <f t="shared" ref="T31" si="37">SUM(R31/31)</f>
        <v>6.1978796302281985E-3</v>
      </c>
    </row>
    <row r="32" spans="2:30" customFormat="1" x14ac:dyDescent="0.25">
      <c r="B32" s="40" t="s">
        <v>4</v>
      </c>
      <c r="C32" s="45">
        <f>GETPIVOTDATA("Sum of MEMBER",'Pivot Table'!$A$52)</f>
        <v>3244</v>
      </c>
      <c r="D32" s="58">
        <f t="shared" si="22"/>
        <v>732.51140315223768</v>
      </c>
      <c r="E32" s="58">
        <f t="shared" si="23"/>
        <v>104.64516129032258</v>
      </c>
      <c r="F32" s="8"/>
      <c r="G32" s="40" t="s">
        <v>4</v>
      </c>
      <c r="H32" s="45">
        <f>GETPIVOTDATA("Sum of MEMBER",'Pivot Table'!$A$64)</f>
        <v>3139</v>
      </c>
      <c r="I32" s="58">
        <f t="shared" si="24"/>
        <v>708.80187869755673</v>
      </c>
      <c r="J32" s="58">
        <f t="shared" si="25"/>
        <v>104.63333333333334</v>
      </c>
      <c r="L32" s="40" t="s">
        <v>4</v>
      </c>
      <c r="M32" s="45">
        <f>GETPIVOTDATA("Sum of MEMBER",'Pivot Table'!$A$76)</f>
        <v>3396</v>
      </c>
      <c r="N32" s="58">
        <f t="shared" si="26"/>
        <v>766.83376236282345</v>
      </c>
      <c r="O32" s="58">
        <f t="shared" si="27"/>
        <v>109.54838709677419</v>
      </c>
      <c r="P32" s="8"/>
      <c r="Q32" s="40" t="s">
        <v>4</v>
      </c>
      <c r="R32" s="45">
        <f>GETPIVOTDATA("Sum of MEMBER",'Pivot Table'!$A$88)</f>
        <v>3198</v>
      </c>
      <c r="S32" s="58">
        <f t="shared" si="28"/>
        <v>722.12437339113933</v>
      </c>
      <c r="T32" s="58">
        <f t="shared" si="29"/>
        <v>103.16129032258064</v>
      </c>
    </row>
    <row r="33" spans="2:20" customFormat="1" x14ac:dyDescent="0.25">
      <c r="B33" s="44" t="s">
        <v>85</v>
      </c>
      <c r="C33" s="45">
        <f>GETPIVOTDATA("Sum of MANAGER INTRO",'Pivot Table'!$A$52)</f>
        <v>2</v>
      </c>
      <c r="D33" s="58">
        <f t="shared" si="22"/>
        <v>0.45160998961297022</v>
      </c>
      <c r="E33" s="58">
        <f t="shared" si="23"/>
        <v>6.4516129032258063E-2</v>
      </c>
      <c r="F33" s="8"/>
      <c r="G33" s="44" t="s">
        <v>85</v>
      </c>
      <c r="H33" s="45">
        <f>GETPIVOTDATA("Sum of MANAGER INTRO",'Pivot Table'!$A$64)</f>
        <v>6</v>
      </c>
      <c r="I33" s="58">
        <f t="shared" si="24"/>
        <v>1.3548299688389107</v>
      </c>
      <c r="J33" s="58">
        <f t="shared" si="25"/>
        <v>0.2</v>
      </c>
      <c r="L33" s="44" t="s">
        <v>85</v>
      </c>
      <c r="M33" s="45">
        <f>GETPIVOTDATA("Sum of MANAGER INTRO",'Pivot Table'!$A$76)</f>
        <v>6</v>
      </c>
      <c r="N33" s="58">
        <f t="shared" si="26"/>
        <v>1.3548299688389107</v>
      </c>
      <c r="O33" s="58">
        <f t="shared" si="27"/>
        <v>0.19354838709677419</v>
      </c>
      <c r="P33" s="8"/>
      <c r="Q33" s="44" t="s">
        <v>85</v>
      </c>
      <c r="R33" s="45">
        <f>GETPIVOTDATA("Sum of MANAGER INTRO",'Pivot Table'!$A$88)</f>
        <v>6</v>
      </c>
      <c r="S33" s="58">
        <f t="shared" si="28"/>
        <v>1.3548299688389107</v>
      </c>
      <c r="T33" s="58">
        <f t="shared" si="29"/>
        <v>0.19354838709677419</v>
      </c>
    </row>
    <row r="34" spans="2:20" customFormat="1" x14ac:dyDescent="0.25">
      <c r="B34" s="44" t="s">
        <v>77</v>
      </c>
      <c r="C34" s="45">
        <f>GETPIVOTDATA("Sum of INTERSTATE",'Pivot Table'!$A$52)</f>
        <v>49</v>
      </c>
      <c r="D34" s="58">
        <f t="shared" si="22"/>
        <v>11.06444474551777</v>
      </c>
      <c r="E34" s="58">
        <f t="shared" si="23"/>
        <v>1.5806451612903225</v>
      </c>
      <c r="F34" s="8"/>
      <c r="G34" s="44" t="s">
        <v>77</v>
      </c>
      <c r="H34" s="45">
        <f>GETPIVOTDATA("Sum of INTERSTATE",'Pivot Table'!$A$64)</f>
        <v>7</v>
      </c>
      <c r="I34" s="58">
        <f t="shared" si="24"/>
        <v>1.5806349636453958</v>
      </c>
      <c r="J34" s="58">
        <f t="shared" si="25"/>
        <v>0.23333333333333334</v>
      </c>
      <c r="L34" s="44" t="s">
        <v>77</v>
      </c>
      <c r="M34" s="45">
        <f>GETPIVOTDATA("Sum of INTERSTATE",'Pivot Table'!$A$76)</f>
        <v>9</v>
      </c>
      <c r="N34" s="58">
        <f t="shared" si="26"/>
        <v>2.032244953258366</v>
      </c>
      <c r="O34" s="58">
        <f t="shared" si="27"/>
        <v>0.29032258064516131</v>
      </c>
      <c r="P34" s="8"/>
      <c r="Q34" s="44" t="s">
        <v>77</v>
      </c>
      <c r="R34" s="45">
        <f>GETPIVOTDATA("Sum of INTERSTATE",'Pivot Table'!$A$88)</f>
        <v>1</v>
      </c>
      <c r="S34" s="58">
        <f t="shared" si="28"/>
        <v>0.22580499480648511</v>
      </c>
      <c r="T34" s="58">
        <f t="shared" si="29"/>
        <v>3.2258064516129031E-2</v>
      </c>
    </row>
    <row r="35" spans="2:20" customFormat="1" x14ac:dyDescent="0.25">
      <c r="B35" s="44" t="s">
        <v>78</v>
      </c>
      <c r="C35" s="45">
        <f>GETPIVOTDATA("Sum of INTERNATIONAL",'Pivot Table'!$A$52)</f>
        <v>29</v>
      </c>
      <c r="D35" s="58">
        <f t="shared" si="22"/>
        <v>6.5483448493880676</v>
      </c>
      <c r="E35" s="58">
        <f t="shared" si="23"/>
        <v>0.93548387096774188</v>
      </c>
      <c r="F35" s="8"/>
      <c r="G35" s="44" t="s">
        <v>78</v>
      </c>
      <c r="H35" s="45">
        <f>GETPIVOTDATA("Sum of INTERNATIONAL",'Pivot Table'!$A$64)</f>
        <v>6</v>
      </c>
      <c r="I35" s="58">
        <f t="shared" si="24"/>
        <v>1.3548299688389107</v>
      </c>
      <c r="J35" s="58">
        <f t="shared" si="25"/>
        <v>0.2</v>
      </c>
      <c r="L35" s="44" t="s">
        <v>78</v>
      </c>
      <c r="M35" s="45">
        <f>GETPIVOTDATA("Sum of INTERNATIONAL",'Pivot Table'!$A$76)</f>
        <v>5</v>
      </c>
      <c r="N35" s="58">
        <f t="shared" si="26"/>
        <v>1.1290249740324254</v>
      </c>
      <c r="O35" s="58">
        <f t="shared" si="27"/>
        <v>0.16129032258064516</v>
      </c>
      <c r="P35" s="8"/>
      <c r="Q35" s="44" t="s">
        <v>78</v>
      </c>
      <c r="R35" s="45">
        <f>GETPIVOTDATA("Sum of INTERNATIONAL",'Pivot Table'!$A$88)</f>
        <v>5</v>
      </c>
      <c r="S35" s="58">
        <f t="shared" si="28"/>
        <v>1.1290249740324254</v>
      </c>
      <c r="T35" s="58">
        <f t="shared" si="29"/>
        <v>0.16129032258064516</v>
      </c>
    </row>
    <row r="36" spans="2:20" customFormat="1" x14ac:dyDescent="0.25">
      <c r="B36" s="44" t="s">
        <v>79</v>
      </c>
      <c r="C36" s="45">
        <f>GETPIVOTDATA("Sum of INDUSTRY GUEST",'Pivot Table'!$A$52)</f>
        <v>1</v>
      </c>
      <c r="D36" s="58">
        <f t="shared" si="22"/>
        <v>0.22580499480648511</v>
      </c>
      <c r="E36" s="58">
        <f t="shared" si="23"/>
        <v>3.2258064516129031E-2</v>
      </c>
      <c r="F36" s="8"/>
      <c r="G36" s="44" t="s">
        <v>79</v>
      </c>
      <c r="H36" s="45">
        <f>GETPIVOTDATA("Sum of INDUSTRY GUEST",'Pivot Table'!$A$64)</f>
        <v>0</v>
      </c>
      <c r="I36" s="58">
        <f t="shared" si="24"/>
        <v>0</v>
      </c>
      <c r="J36" s="58">
        <f t="shared" si="25"/>
        <v>0</v>
      </c>
      <c r="L36" s="44" t="s">
        <v>79</v>
      </c>
      <c r="M36" s="45">
        <f>GETPIVOTDATA("Sum of INDUSTRY GUEST",'Pivot Table'!$A$76)</f>
        <v>1</v>
      </c>
      <c r="N36" s="58">
        <f t="shared" si="26"/>
        <v>0.22580499480648511</v>
      </c>
      <c r="O36" s="58">
        <f t="shared" si="27"/>
        <v>3.2258064516129031E-2</v>
      </c>
      <c r="P36" s="8"/>
      <c r="Q36" s="44" t="s">
        <v>79</v>
      </c>
      <c r="R36" s="45">
        <f>GETPIVOTDATA("Sum of INDUSTRY GUEST",'Pivot Table'!$A$88)</f>
        <v>4</v>
      </c>
      <c r="S36" s="58">
        <f t="shared" si="28"/>
        <v>0.90321997922594044</v>
      </c>
      <c r="T36" s="58">
        <f t="shared" si="29"/>
        <v>0.12903225806451613</v>
      </c>
    </row>
    <row r="37" spans="2:20" customFormat="1" x14ac:dyDescent="0.25">
      <c r="B37" s="44" t="s">
        <v>5</v>
      </c>
      <c r="C37" s="45">
        <f>GETPIVOTDATA("Sum of MEMB GUEST MICLUB",'Pivot Table'!$A$52)</f>
        <v>183</v>
      </c>
      <c r="D37" s="58">
        <f t="shared" si="22"/>
        <v>41.322314049586772</v>
      </c>
      <c r="E37" s="58">
        <f t="shared" si="23"/>
        <v>5.903225806451613</v>
      </c>
      <c r="F37" s="8"/>
      <c r="G37" s="44" t="s">
        <v>5</v>
      </c>
      <c r="H37" s="45">
        <f>GETPIVOTDATA("Sum of MEMB GUEST MICLUB",'Pivot Table'!$A$64)</f>
        <v>277</v>
      </c>
      <c r="I37" s="58">
        <f t="shared" si="24"/>
        <v>62.547983561396371</v>
      </c>
      <c r="J37" s="58">
        <f t="shared" si="25"/>
        <v>9.2333333333333325</v>
      </c>
      <c r="L37" s="44" t="s">
        <v>5</v>
      </c>
      <c r="M37" s="45">
        <f>GETPIVOTDATA("Sum of MEMB GUEST MICLUB",'Pivot Table'!$A$76)</f>
        <v>191</v>
      </c>
      <c r="N37" s="58">
        <f t="shared" si="26"/>
        <v>43.128754008038655</v>
      </c>
      <c r="O37" s="58">
        <f t="shared" si="27"/>
        <v>6.161290322580645</v>
      </c>
      <c r="P37" s="8"/>
      <c r="Q37" s="44" t="s">
        <v>5</v>
      </c>
      <c r="R37" s="45">
        <f>GETPIVOTDATA("Sum of MEMB GUEST MICLUB",'Pivot Table'!$A$88)</f>
        <v>221</v>
      </c>
      <c r="S37" s="58">
        <f t="shared" si="28"/>
        <v>49.902903852233209</v>
      </c>
      <c r="T37" s="58">
        <f t="shared" si="29"/>
        <v>7.129032258064516</v>
      </c>
    </row>
    <row r="38" spans="2:20" customFormat="1" ht="33" x14ac:dyDescent="0.25">
      <c r="B38" s="40" t="s">
        <v>80</v>
      </c>
      <c r="C38" s="45">
        <f>GETPIVOTDATA("Sum of MEMB GUEST UNACCOMPANIED",'Pivot Table'!$A$52)</f>
        <v>3</v>
      </c>
      <c r="D38" s="58">
        <f t="shared" si="22"/>
        <v>0.67741498441945536</v>
      </c>
      <c r="E38" s="58">
        <f t="shared" si="23"/>
        <v>9.6774193548387094E-2</v>
      </c>
      <c r="F38" s="8"/>
      <c r="G38" s="40" t="s">
        <v>80</v>
      </c>
      <c r="H38" s="45">
        <f>GETPIVOTDATA("Sum of MEMB GUEST UNACCOMPANIED",'Pivot Table'!$A$64)</f>
        <v>0</v>
      </c>
      <c r="I38" s="58">
        <f t="shared" si="24"/>
        <v>0</v>
      </c>
      <c r="J38" s="58">
        <f t="shared" si="25"/>
        <v>0</v>
      </c>
      <c r="L38" s="40" t="s">
        <v>80</v>
      </c>
      <c r="M38" s="45">
        <f>GETPIVOTDATA("Sum of MEMB GUEST UNACCOMPANIED",'Pivot Table'!$A$76)</f>
        <v>0</v>
      </c>
      <c r="N38" s="58">
        <f t="shared" si="26"/>
        <v>0</v>
      </c>
      <c r="O38" s="58">
        <f t="shared" si="27"/>
        <v>0</v>
      </c>
      <c r="P38" s="8"/>
      <c r="Q38" s="40" t="s">
        <v>80</v>
      </c>
      <c r="R38" s="45">
        <f>GETPIVOTDATA("Sum of MEMB GUEST UNACCOMPANIED",'Pivot Table'!$A$88)</f>
        <v>0</v>
      </c>
      <c r="S38" s="58">
        <f t="shared" si="28"/>
        <v>0</v>
      </c>
      <c r="T38" s="58">
        <f t="shared" si="29"/>
        <v>0</v>
      </c>
    </row>
    <row r="39" spans="2:20" customFormat="1" x14ac:dyDescent="0.25">
      <c r="B39" s="44" t="s">
        <v>6</v>
      </c>
      <c r="C39" s="45">
        <f>GETPIVOTDATA("Sum of CORPORATE",'Pivot Table'!$A$52)</f>
        <v>300</v>
      </c>
      <c r="D39" s="58">
        <f t="shared" si="22"/>
        <v>67.741498441945538</v>
      </c>
      <c r="E39" s="58">
        <f t="shared" si="23"/>
        <v>9.67741935483871</v>
      </c>
      <c r="F39" s="8"/>
      <c r="G39" s="44" t="s">
        <v>6</v>
      </c>
      <c r="H39" s="45">
        <f>GETPIVOTDATA("Sum of CORPORATE",'Pivot Table'!$A$64)</f>
        <v>110</v>
      </c>
      <c r="I39" s="58">
        <f t="shared" si="24"/>
        <v>24.83854942871336</v>
      </c>
      <c r="J39" s="58">
        <f t="shared" si="25"/>
        <v>3.6666666666666665</v>
      </c>
      <c r="L39" s="44" t="s">
        <v>6</v>
      </c>
      <c r="M39" s="45">
        <f>GETPIVOTDATA("Sum of CORPORATE",'Pivot Table'!$A$76)</f>
        <v>282</v>
      </c>
      <c r="N39" s="58">
        <f t="shared" ref="N39:N44" si="38">SUM(M39/4.4286)</f>
        <v>63.677008535428797</v>
      </c>
      <c r="O39" s="58">
        <f t="shared" ref="O39:O44" si="39">SUM(M39/31)</f>
        <v>9.0967741935483879</v>
      </c>
      <c r="P39" s="8"/>
      <c r="Q39" s="44" t="s">
        <v>6</v>
      </c>
      <c r="R39" s="45">
        <f>GETPIVOTDATA("Sum of CORPORATE",'Pivot Table'!$A$88)</f>
        <v>349</v>
      </c>
      <c r="S39" s="58">
        <f t="shared" ref="S39:S44" si="40">SUM(R39/4.4286)</f>
        <v>78.805943187463299</v>
      </c>
      <c r="T39" s="58">
        <f t="shared" ref="T39:T44" si="41">SUM(R39/31)</f>
        <v>11.258064516129032</v>
      </c>
    </row>
    <row r="40" spans="2:20" customFormat="1" x14ac:dyDescent="0.25">
      <c r="B40" s="44" t="s">
        <v>116</v>
      </c>
      <c r="C40" s="45">
        <f>GETPIVOTDATA("Sum of EVENT",'Pivot Table'!$A$52)</f>
        <v>176</v>
      </c>
      <c r="D40" s="58">
        <f t="shared" ref="D40" si="42">SUM(C40/4.4286)</f>
        <v>39.741679085941378</v>
      </c>
      <c r="E40" s="58">
        <f t="shared" ref="E40" si="43">SUM(C40/31)</f>
        <v>5.67741935483871</v>
      </c>
      <c r="F40" s="8"/>
      <c r="G40" s="44" t="s">
        <v>116</v>
      </c>
      <c r="H40" s="45">
        <v>0</v>
      </c>
      <c r="I40" s="45">
        <v>0</v>
      </c>
      <c r="J40" s="45">
        <v>0</v>
      </c>
      <c r="K40" s="8"/>
      <c r="L40" s="44" t="s">
        <v>116</v>
      </c>
      <c r="M40" s="45">
        <f>GETPIVOTDATA("Sum of EVENT",'Pivot Table'!$A$76)</f>
        <v>0</v>
      </c>
      <c r="N40" s="58">
        <f t="shared" ref="N40" si="44">SUM(M40/4.4286)</f>
        <v>0</v>
      </c>
      <c r="O40" s="58">
        <f t="shared" ref="O40" si="45">SUM(M40/31)</f>
        <v>0</v>
      </c>
      <c r="P40" s="8"/>
      <c r="Q40" s="44" t="s">
        <v>116</v>
      </c>
      <c r="R40" s="45">
        <f>GETPIVOTDATA("Sum of EVENT",'Pivot Table'!$A$88)</f>
        <v>0</v>
      </c>
      <c r="S40" s="58">
        <f t="shared" ref="S40" si="46">SUM(R40/4.4286)</f>
        <v>0</v>
      </c>
      <c r="T40" s="58">
        <f t="shared" ref="T40" si="47">SUM(R40/31)</f>
        <v>0</v>
      </c>
    </row>
    <row r="41" spans="2:20" customFormat="1" x14ac:dyDescent="0.25">
      <c r="B41" s="44" t="s">
        <v>86</v>
      </c>
      <c r="C41" s="45">
        <f>GETPIVOTDATA("Sum of NON-PLAYING",'Pivot Table'!$A$52)</f>
        <v>21</v>
      </c>
      <c r="D41" s="58">
        <f t="shared" si="22"/>
        <v>4.7419048909361869</v>
      </c>
      <c r="E41" s="58">
        <f t="shared" si="23"/>
        <v>0.67741935483870963</v>
      </c>
      <c r="F41" s="8"/>
      <c r="G41" s="44" t="s">
        <v>86</v>
      </c>
      <c r="H41" s="45">
        <f>GETPIVOTDATA("Sum of NON-PLAYING",'Pivot Table'!$A$64)</f>
        <v>46</v>
      </c>
      <c r="I41" s="58">
        <f t="shared" si="24"/>
        <v>10.387029761098315</v>
      </c>
      <c r="J41" s="58">
        <f t="shared" si="25"/>
        <v>1.5333333333333334</v>
      </c>
      <c r="L41" s="44" t="s">
        <v>86</v>
      </c>
      <c r="M41" s="45">
        <f>GETPIVOTDATA("Sum of NON-PLAYING",'Pivot Table'!$A$76)</f>
        <v>34</v>
      </c>
      <c r="N41" s="58">
        <f t="shared" si="38"/>
        <v>7.6773698234204932</v>
      </c>
      <c r="O41" s="58">
        <f t="shared" si="39"/>
        <v>1.096774193548387</v>
      </c>
      <c r="P41" s="8"/>
      <c r="Q41" s="44" t="s">
        <v>86</v>
      </c>
      <c r="R41" s="45">
        <f>GETPIVOTDATA("Sum of NON-PLAYING",'Pivot Table'!$A$88)</f>
        <v>27</v>
      </c>
      <c r="S41" s="58">
        <f t="shared" si="40"/>
        <v>6.0967348597750979</v>
      </c>
      <c r="T41" s="58">
        <f t="shared" si="41"/>
        <v>0.87096774193548387</v>
      </c>
    </row>
    <row r="42" spans="2:20" x14ac:dyDescent="0.25">
      <c r="B42" s="44" t="s">
        <v>81</v>
      </c>
      <c r="C42" s="45">
        <f>GETPIVOTDATA("Sum of VOUCHER",'Pivot Table'!$A$52)</f>
        <v>4</v>
      </c>
      <c r="D42" s="58">
        <f t="shared" si="22"/>
        <v>0.90321997922594044</v>
      </c>
      <c r="E42" s="58">
        <f t="shared" si="23"/>
        <v>0.12903225806451613</v>
      </c>
      <c r="G42" s="44" t="s">
        <v>81</v>
      </c>
      <c r="H42" s="45">
        <f>GETPIVOTDATA("Sum of VOUCHER",'Pivot Table'!$A$64)</f>
        <v>183</v>
      </c>
      <c r="I42" s="58">
        <f t="shared" si="24"/>
        <v>41.322314049586772</v>
      </c>
      <c r="J42" s="58">
        <f t="shared" si="25"/>
        <v>6.1</v>
      </c>
      <c r="L42" s="44" t="s">
        <v>81</v>
      </c>
      <c r="M42" s="45">
        <f>GETPIVOTDATA("Sum of VOUCHER",'Pivot Table'!$A$76)</f>
        <v>18</v>
      </c>
      <c r="N42" s="58">
        <f t="shared" si="38"/>
        <v>4.0644899065167319</v>
      </c>
      <c r="O42" s="58">
        <f t="shared" si="39"/>
        <v>0.58064516129032262</v>
      </c>
      <c r="Q42" s="44" t="s">
        <v>81</v>
      </c>
      <c r="R42" s="45">
        <f>GETPIVOTDATA("Sum of VOUCHER",'Pivot Table'!$A$88)</f>
        <v>123</v>
      </c>
      <c r="S42" s="58">
        <f t="shared" si="40"/>
        <v>27.774014361197668</v>
      </c>
      <c r="T42" s="58">
        <f t="shared" si="41"/>
        <v>3.967741935483871</v>
      </c>
    </row>
    <row r="43" spans="2:20" x14ac:dyDescent="0.25">
      <c r="B43" s="44" t="s">
        <v>7</v>
      </c>
      <c r="C43" s="45">
        <f>GETPIVOTDATA("Sum of RECIP",'Pivot Table'!$A$52)</f>
        <v>44</v>
      </c>
      <c r="D43" s="58">
        <f t="shared" si="22"/>
        <v>9.9354197714853445</v>
      </c>
      <c r="E43" s="58">
        <f t="shared" si="23"/>
        <v>1.4193548387096775</v>
      </c>
      <c r="G43" s="44" t="s">
        <v>7</v>
      </c>
      <c r="H43" s="45">
        <f>GETPIVOTDATA("Sum of RECIP",'Pivot Table'!$A$64)</f>
        <v>27</v>
      </c>
      <c r="I43" s="58">
        <f t="shared" si="24"/>
        <v>6.0967348597750979</v>
      </c>
      <c r="J43" s="58">
        <f t="shared" si="25"/>
        <v>0.9</v>
      </c>
      <c r="L43" s="44" t="s">
        <v>7</v>
      </c>
      <c r="M43" s="45">
        <f>GETPIVOTDATA("Sum of RECIP",'Pivot Table'!$A$76)</f>
        <v>42</v>
      </c>
      <c r="N43" s="58">
        <f t="shared" si="38"/>
        <v>9.4838097818723739</v>
      </c>
      <c r="O43" s="58">
        <f t="shared" si="39"/>
        <v>1.3548387096774193</v>
      </c>
      <c r="Q43" s="44" t="s">
        <v>7</v>
      </c>
      <c r="R43" s="45">
        <f>GETPIVOTDATA("Sum of RECIP",'Pivot Table'!$A$88)</f>
        <v>58</v>
      </c>
      <c r="S43" s="58">
        <f t="shared" si="40"/>
        <v>13.096689698776135</v>
      </c>
      <c r="T43" s="58">
        <f t="shared" si="41"/>
        <v>1.8709677419354838</v>
      </c>
    </row>
    <row r="44" spans="2:20" x14ac:dyDescent="0.25">
      <c r="B44" s="44" t="s">
        <v>82</v>
      </c>
      <c r="C44" s="45">
        <f>GETPIVOTDATA("Sum of COMP",'Pivot Table'!$A$52)</f>
        <v>1670</v>
      </c>
      <c r="D44" s="58">
        <f t="shared" si="22"/>
        <v>377.09434132683015</v>
      </c>
      <c r="E44" s="58">
        <f t="shared" si="23"/>
        <v>53.87096774193548</v>
      </c>
      <c r="G44" s="44" t="s">
        <v>82</v>
      </c>
      <c r="H44" s="45">
        <f>GETPIVOTDATA("Sum of COMP",'Pivot Table'!$A$64)</f>
        <v>2328</v>
      </c>
      <c r="I44" s="58">
        <f t="shared" si="24"/>
        <v>525.67402790949734</v>
      </c>
      <c r="J44" s="58">
        <f t="shared" si="25"/>
        <v>77.599999999999994</v>
      </c>
      <c r="L44" s="44" t="s">
        <v>82</v>
      </c>
      <c r="M44" s="45">
        <f>GETPIVOTDATA("Sum of COMP",'Pivot Table'!$A$76)</f>
        <v>2498</v>
      </c>
      <c r="N44" s="58">
        <f t="shared" si="38"/>
        <v>564.06087702659977</v>
      </c>
      <c r="O44" s="58">
        <f t="shared" si="39"/>
        <v>80.58064516129032</v>
      </c>
      <c r="Q44" s="44" t="s">
        <v>82</v>
      </c>
      <c r="R44" s="45">
        <f>GETPIVOTDATA("Sum of COMP",'Pivot Table'!$A$88)</f>
        <v>2296</v>
      </c>
      <c r="S44" s="58">
        <f t="shared" si="40"/>
        <v>518.44826807568984</v>
      </c>
      <c r="T44" s="58">
        <f t="shared" si="41"/>
        <v>74.064516129032256</v>
      </c>
    </row>
    <row r="47" spans="2:20" ht="21" x14ac:dyDescent="0.25">
      <c r="B47" s="86" t="s">
        <v>15</v>
      </c>
      <c r="C47" s="88"/>
      <c r="D47" s="47" t="s">
        <v>102</v>
      </c>
      <c r="E47" s="47" t="s">
        <v>101</v>
      </c>
      <c r="F47" s="39"/>
      <c r="G47" s="86" t="s">
        <v>16</v>
      </c>
      <c r="H47" s="88"/>
      <c r="I47" s="47" t="s">
        <v>102</v>
      </c>
      <c r="J47" s="47" t="s">
        <v>101</v>
      </c>
      <c r="L47" s="86" t="s">
        <v>68</v>
      </c>
      <c r="M47" s="88"/>
      <c r="N47" s="47" t="s">
        <v>102</v>
      </c>
      <c r="O47" s="47" t="s">
        <v>101</v>
      </c>
      <c r="P47" s="39"/>
      <c r="Q47" s="86" t="s">
        <v>17</v>
      </c>
      <c r="R47" s="88"/>
      <c r="S47" s="47" t="s">
        <v>102</v>
      </c>
      <c r="T47" s="47" t="s">
        <v>101</v>
      </c>
    </row>
    <row r="48" spans="2:20" x14ac:dyDescent="0.25">
      <c r="J48" s="8"/>
      <c r="T48" s="8"/>
    </row>
    <row r="49" spans="2:30" x14ac:dyDescent="0.25">
      <c r="B49" s="44" t="s">
        <v>1</v>
      </c>
      <c r="C49" s="45">
        <f>GETPIVOTDATA("Sum of AM FIELD",'Pivot Table'!$A$100)</f>
        <v>2237</v>
      </c>
      <c r="D49" s="45">
        <f t="shared" ref="D49:D66" si="48">SUM(C49/4.4286)</f>
        <v>505.12577338210718</v>
      </c>
      <c r="E49" s="45">
        <f t="shared" ref="E49:E66" si="49">SUM(C49/31)</f>
        <v>72.161290322580641</v>
      </c>
      <c r="G49" s="44" t="s">
        <v>1</v>
      </c>
      <c r="H49" s="45">
        <f>GETPIVOTDATA("Sum of AM FIELD",'Pivot Table'!$A$112)</f>
        <v>2147</v>
      </c>
      <c r="I49" s="45">
        <f t="shared" ref="I49:I66" si="50">SUM(H49/4.4286)</f>
        <v>484.80332384952351</v>
      </c>
      <c r="J49" s="45">
        <f t="shared" ref="J49:J66" si="51">SUM(H49/30)</f>
        <v>71.566666666666663</v>
      </c>
      <c r="L49" s="44" t="s">
        <v>1</v>
      </c>
      <c r="M49" s="45">
        <f>GETPIVOTDATA("Sum of AM FIELD",'Pivot Table'!$A$124)</f>
        <v>2386</v>
      </c>
      <c r="N49" s="45">
        <f t="shared" ref="N49:N66" si="52">SUM(M49/4.4286)</f>
        <v>538.77071760827346</v>
      </c>
      <c r="O49" s="45">
        <f t="shared" ref="O49:O66" si="53">SUM(M49/31)</f>
        <v>76.967741935483872</v>
      </c>
      <c r="Q49" s="44" t="s">
        <v>1</v>
      </c>
      <c r="R49" s="45">
        <f>GETPIVOTDATA("Sum of AM FIELD",'Pivot Table'!$A$136)</f>
        <v>2270</v>
      </c>
      <c r="S49" s="58">
        <f t="shared" ref="S49:S66" si="54">SUM(R49/4.4286)</f>
        <v>512.57733821072122</v>
      </c>
      <c r="T49" s="58">
        <f t="shared" ref="T49:T66" si="55">SUM(R49/30)</f>
        <v>75.666666666666671</v>
      </c>
    </row>
    <row r="50" spans="2:30" x14ac:dyDescent="0.25">
      <c r="B50" s="44" t="s">
        <v>2</v>
      </c>
      <c r="C50" s="45">
        <f>GETPIVOTDATA("Sum of PM FIELD",'Pivot Table'!$A$100)</f>
        <v>1826</v>
      </c>
      <c r="D50" s="45">
        <f t="shared" si="48"/>
        <v>412.31992051664179</v>
      </c>
      <c r="E50" s="45">
        <f t="shared" si="49"/>
        <v>58.903225806451616</v>
      </c>
      <c r="G50" s="44" t="s">
        <v>2</v>
      </c>
      <c r="H50" s="45">
        <f>GETPIVOTDATA("Sum of PM FIELD",'Pivot Table'!$A$112)</f>
        <v>1883</v>
      </c>
      <c r="I50" s="45">
        <f t="shared" si="50"/>
        <v>425.19080522061142</v>
      </c>
      <c r="J50" s="45">
        <f t="shared" si="51"/>
        <v>62.766666666666666</v>
      </c>
      <c r="L50" s="44" t="s">
        <v>2</v>
      </c>
      <c r="M50" s="45">
        <f>GETPIVOTDATA("Sum of PM FIELD",'Pivot Table'!$A$124)</f>
        <v>2031</v>
      </c>
      <c r="N50" s="45">
        <f t="shared" si="52"/>
        <v>458.60994445197127</v>
      </c>
      <c r="O50" s="45">
        <f t="shared" si="53"/>
        <v>65.516129032258064</v>
      </c>
      <c r="Q50" s="44" t="s">
        <v>2</v>
      </c>
      <c r="R50" s="45">
        <f>GETPIVOTDATA("Sum of PM FIELD",'Pivot Table'!$A$136)</f>
        <v>1642</v>
      </c>
      <c r="S50" s="58">
        <f t="shared" si="54"/>
        <v>370.77180147224851</v>
      </c>
      <c r="T50" s="58">
        <f t="shared" si="55"/>
        <v>54.733333333333334</v>
      </c>
    </row>
    <row r="51" spans="2:30" x14ac:dyDescent="0.25">
      <c r="B51" s="44" t="s">
        <v>3</v>
      </c>
      <c r="C51" s="45">
        <f>GETPIVOTDATA("Sum of TOTAL FIELD",'Pivot Table'!$A$100)</f>
        <v>4063</v>
      </c>
      <c r="D51" s="45">
        <f t="shared" si="48"/>
        <v>917.44569389874903</v>
      </c>
      <c r="E51" s="45">
        <f t="shared" si="49"/>
        <v>131.06451612903226</v>
      </c>
      <c r="G51" s="44" t="s">
        <v>3</v>
      </c>
      <c r="H51" s="45">
        <f>GETPIVOTDATA("Sum of TOTAL FIELD",'Pivot Table'!$A$112)</f>
        <v>4030</v>
      </c>
      <c r="I51" s="45">
        <f t="shared" si="50"/>
        <v>909.99412907013493</v>
      </c>
      <c r="J51" s="45">
        <f t="shared" si="51"/>
        <v>134.33333333333334</v>
      </c>
      <c r="L51" s="44" t="s">
        <v>3</v>
      </c>
      <c r="M51" s="45">
        <f>GETPIVOTDATA("Sum of TOTAL FIELD",'Pivot Table'!$A$124)</f>
        <v>4417</v>
      </c>
      <c r="N51" s="45">
        <f t="shared" si="52"/>
        <v>997.38066206024473</v>
      </c>
      <c r="O51" s="45">
        <f t="shared" si="53"/>
        <v>142.48387096774192</v>
      </c>
      <c r="Q51" s="44" t="s">
        <v>3</v>
      </c>
      <c r="R51" s="45">
        <f>GETPIVOTDATA("Sum of TOTAL FIELD",'Pivot Table'!$A$136)</f>
        <v>3912</v>
      </c>
      <c r="S51" s="58">
        <f t="shared" si="54"/>
        <v>883.34913968296974</v>
      </c>
      <c r="T51" s="58">
        <f t="shared" si="55"/>
        <v>130.4</v>
      </c>
    </row>
    <row r="52" spans="2:30" x14ac:dyDescent="0.25">
      <c r="B52" s="44" t="s">
        <v>84</v>
      </c>
      <c r="C52" s="45">
        <f>GETPIVOTDATA("Sum of No. GUESTS",'Pivot Table'!$A$100)</f>
        <v>686</v>
      </c>
      <c r="D52" s="45">
        <f t="shared" si="48"/>
        <v>154.90222643724877</v>
      </c>
      <c r="E52" s="45">
        <f t="shared" si="49"/>
        <v>22.129032258064516</v>
      </c>
      <c r="G52" s="44" t="s">
        <v>84</v>
      </c>
      <c r="H52" s="45">
        <f>GETPIVOTDATA("Sum of No. GUESTS",'Pivot Table'!$A$112)</f>
        <v>656</v>
      </c>
      <c r="I52" s="45">
        <f t="shared" si="50"/>
        <v>148.12807659305423</v>
      </c>
      <c r="J52" s="45">
        <f t="shared" si="51"/>
        <v>21.866666666666667</v>
      </c>
      <c r="L52" s="44" t="s">
        <v>84</v>
      </c>
      <c r="M52" s="45">
        <f>GETPIVOTDATA("Sum of No. GUESTS",'Pivot Table'!$A$124)</f>
        <v>715</v>
      </c>
      <c r="N52" s="45">
        <f t="shared" si="52"/>
        <v>161.45057128663686</v>
      </c>
      <c r="O52" s="45">
        <f t="shared" si="53"/>
        <v>23.06451612903226</v>
      </c>
      <c r="Q52" s="44" t="s">
        <v>84</v>
      </c>
      <c r="R52" s="45">
        <f>GETPIVOTDATA("Sum of No. GUESTS",'Pivot Table'!$A$136)</f>
        <v>746</v>
      </c>
      <c r="S52" s="58">
        <f t="shared" si="54"/>
        <v>168.45052612563788</v>
      </c>
      <c r="T52" s="58">
        <f t="shared" si="55"/>
        <v>24.866666666666667</v>
      </c>
    </row>
    <row r="53" spans="2:30" ht="33" x14ac:dyDescent="0.25">
      <c r="B53" s="59" t="s">
        <v>76</v>
      </c>
      <c r="C53" s="48">
        <f>SUM(C52/C51)</f>
        <v>0.16884075806054638</v>
      </c>
      <c r="D53" s="48">
        <f t="shared" si="48"/>
        <v>3.8125086496984685E-2</v>
      </c>
      <c r="E53" s="48">
        <f t="shared" si="49"/>
        <v>5.4464760664692377E-3</v>
      </c>
      <c r="F53" s="60"/>
      <c r="G53" s="59" t="s">
        <v>76</v>
      </c>
      <c r="H53" s="48">
        <f>SUM(H52/H51)</f>
        <v>0.16277915632754342</v>
      </c>
      <c r="I53" s="48">
        <f t="shared" si="50"/>
        <v>3.6756346549144968E-2</v>
      </c>
      <c r="J53" s="48">
        <f t="shared" si="51"/>
        <v>5.4259718775847808E-3</v>
      </c>
      <c r="L53" s="59" t="s">
        <v>76</v>
      </c>
      <c r="M53" s="48">
        <f>SUM(M52/M51)</f>
        <v>0.16187457550373557</v>
      </c>
      <c r="N53" s="48">
        <f t="shared" si="52"/>
        <v>3.6552087680922989E-2</v>
      </c>
      <c r="O53" s="48">
        <f t="shared" si="53"/>
        <v>5.2217605001205021E-3</v>
      </c>
      <c r="P53" s="60"/>
      <c r="Q53" s="59" t="s">
        <v>76</v>
      </c>
      <c r="R53" s="48">
        <f>SUM(R52/R51)</f>
        <v>0.19069529652351738</v>
      </c>
      <c r="S53" s="48">
        <f t="shared" si="54"/>
        <v>4.3059950441113978E-2</v>
      </c>
      <c r="T53" s="48">
        <f t="shared" si="55"/>
        <v>6.3565098841172462E-3</v>
      </c>
    </row>
    <row r="54" spans="2:30" x14ac:dyDescent="0.25">
      <c r="B54" s="40" t="s">
        <v>4</v>
      </c>
      <c r="C54" s="45">
        <f>GETPIVOTDATA("Sum of MEMBER",'Pivot Table'!$A$100)</f>
        <v>3377</v>
      </c>
      <c r="D54" s="45">
        <f t="shared" si="48"/>
        <v>762.5434674615002</v>
      </c>
      <c r="E54" s="45">
        <f t="shared" si="49"/>
        <v>108.93548387096774</v>
      </c>
      <c r="G54" s="40" t="s">
        <v>4</v>
      </c>
      <c r="H54" s="45">
        <f>GETPIVOTDATA("Sum of MEMBER",'Pivot Table'!$A$112)</f>
        <v>3374</v>
      </c>
      <c r="I54" s="45">
        <f t="shared" si="50"/>
        <v>761.86605247708076</v>
      </c>
      <c r="J54" s="45">
        <f t="shared" si="51"/>
        <v>112.46666666666667</v>
      </c>
      <c r="L54" s="40" t="s">
        <v>4</v>
      </c>
      <c r="M54" s="45">
        <f>GETPIVOTDATA("Sum of MEMBER",'Pivot Table'!$A$124)</f>
        <v>3702</v>
      </c>
      <c r="N54" s="45">
        <f t="shared" si="52"/>
        <v>835.93009077360784</v>
      </c>
      <c r="O54" s="45">
        <f t="shared" si="53"/>
        <v>119.41935483870968</v>
      </c>
      <c r="Q54" s="40" t="s">
        <v>4</v>
      </c>
      <c r="R54" s="45">
        <f>GETPIVOTDATA("Sum of MEMBER",'Pivot Table'!$A$136)</f>
        <v>3124</v>
      </c>
      <c r="S54" s="58">
        <f t="shared" si="54"/>
        <v>705.41480377545952</v>
      </c>
      <c r="T54" s="58">
        <f t="shared" si="55"/>
        <v>104.13333333333334</v>
      </c>
    </row>
    <row r="55" spans="2:30" x14ac:dyDescent="0.25">
      <c r="B55" s="44" t="s">
        <v>85</v>
      </c>
      <c r="C55" s="45">
        <f>GETPIVOTDATA("Sum of MANAGER INTRO",'Pivot Table'!$A$100)</f>
        <v>7</v>
      </c>
      <c r="D55" s="45">
        <f t="shared" si="48"/>
        <v>1.5806349636453958</v>
      </c>
      <c r="E55" s="45">
        <f t="shared" si="49"/>
        <v>0.22580645161290322</v>
      </c>
      <c r="G55" s="44" t="s">
        <v>85</v>
      </c>
      <c r="H55" s="45">
        <f>GETPIVOTDATA("Sum of MANAGER INTRO",'Pivot Table'!$A$112)</f>
        <v>5</v>
      </c>
      <c r="I55" s="45">
        <f t="shared" si="50"/>
        <v>1.1290249740324254</v>
      </c>
      <c r="J55" s="45">
        <f t="shared" si="51"/>
        <v>0.16666666666666666</v>
      </c>
      <c r="L55" s="44" t="s">
        <v>85</v>
      </c>
      <c r="M55" s="45">
        <f>GETPIVOTDATA("Sum of MANAGER INTRO",'Pivot Table'!$A$124)</f>
        <v>3</v>
      </c>
      <c r="N55" s="45">
        <f t="shared" si="52"/>
        <v>0.67741498441945536</v>
      </c>
      <c r="O55" s="45">
        <f t="shared" si="53"/>
        <v>9.6774193548387094E-2</v>
      </c>
      <c r="Q55" s="44" t="s">
        <v>85</v>
      </c>
      <c r="R55" s="45">
        <f>GETPIVOTDATA("Sum of MANAGER INTRO",'Pivot Table'!$A$136)</f>
        <v>2</v>
      </c>
      <c r="S55" s="58">
        <f t="shared" si="54"/>
        <v>0.45160998961297022</v>
      </c>
      <c r="T55" s="58">
        <f t="shared" si="55"/>
        <v>6.6666666666666666E-2</v>
      </c>
    </row>
    <row r="56" spans="2:30" x14ac:dyDescent="0.25">
      <c r="B56" s="44" t="s">
        <v>77</v>
      </c>
      <c r="C56" s="45">
        <f>GETPIVOTDATA("Sum of INTERSTATE",'Pivot Table'!$A$100)</f>
        <v>9</v>
      </c>
      <c r="D56" s="45">
        <f t="shared" si="48"/>
        <v>2.032244953258366</v>
      </c>
      <c r="E56" s="45">
        <f t="shared" si="49"/>
        <v>0.29032258064516131</v>
      </c>
      <c r="G56" s="44" t="s">
        <v>77</v>
      </c>
      <c r="H56" s="45">
        <f>GETPIVOTDATA("Sum of INTERSTATE",'Pivot Table'!$A$112)</f>
        <v>18</v>
      </c>
      <c r="I56" s="45">
        <f t="shared" si="50"/>
        <v>4.0644899065167319</v>
      </c>
      <c r="J56" s="45">
        <f t="shared" si="51"/>
        <v>0.6</v>
      </c>
      <c r="L56" s="44" t="s">
        <v>77</v>
      </c>
      <c r="M56" s="45">
        <f>GETPIVOTDATA("Sum of INTERSTATE",'Pivot Table'!$A$124)</f>
        <v>10</v>
      </c>
      <c r="N56" s="45">
        <f t="shared" si="52"/>
        <v>2.2580499480648508</v>
      </c>
      <c r="O56" s="45">
        <f t="shared" si="53"/>
        <v>0.32258064516129031</v>
      </c>
      <c r="Q56" s="44" t="s">
        <v>77</v>
      </c>
      <c r="R56" s="45">
        <f>GETPIVOTDATA("Sum of INTERSTATE",'Pivot Table'!$A$136)</f>
        <v>0</v>
      </c>
      <c r="S56" s="58">
        <f t="shared" si="54"/>
        <v>0</v>
      </c>
      <c r="T56" s="58">
        <f t="shared" si="55"/>
        <v>0</v>
      </c>
    </row>
    <row r="57" spans="2:30" x14ac:dyDescent="0.25">
      <c r="B57" s="44" t="s">
        <v>78</v>
      </c>
      <c r="C57" s="45">
        <f>GETPIVOTDATA("Sum of INTERNATIONAL",'Pivot Table'!$A$100)</f>
        <v>2</v>
      </c>
      <c r="D57" s="45">
        <f t="shared" si="48"/>
        <v>0.45160998961297022</v>
      </c>
      <c r="E57" s="45">
        <f t="shared" si="49"/>
        <v>6.4516129032258063E-2</v>
      </c>
      <c r="G57" s="44" t="s">
        <v>78</v>
      </c>
      <c r="H57" s="45">
        <f>GETPIVOTDATA("Sum of INTERNATIONAL",'Pivot Table'!$A$112)</f>
        <v>32</v>
      </c>
      <c r="I57" s="45">
        <f t="shared" si="50"/>
        <v>7.2257598338075235</v>
      </c>
      <c r="J57" s="45">
        <f t="shared" si="51"/>
        <v>1.0666666666666667</v>
      </c>
      <c r="L57" s="44" t="s">
        <v>78</v>
      </c>
      <c r="M57" s="45">
        <f>GETPIVOTDATA("Sum of INTERNATIONAL",'Pivot Table'!$A$124)</f>
        <v>46</v>
      </c>
      <c r="N57" s="45">
        <f t="shared" si="52"/>
        <v>10.387029761098315</v>
      </c>
      <c r="O57" s="45">
        <f t="shared" si="53"/>
        <v>1.4838709677419355</v>
      </c>
      <c r="Q57" s="44" t="s">
        <v>78</v>
      </c>
      <c r="R57" s="45">
        <f>GETPIVOTDATA("Sum of INTERNATIONAL",'Pivot Table'!$A$136)</f>
        <v>70</v>
      </c>
      <c r="S57" s="58">
        <f t="shared" si="54"/>
        <v>15.806349636453957</v>
      </c>
      <c r="T57" s="58">
        <f t="shared" si="55"/>
        <v>2.3333333333333335</v>
      </c>
    </row>
    <row r="58" spans="2:30" x14ac:dyDescent="0.25">
      <c r="B58" s="44" t="s">
        <v>79</v>
      </c>
      <c r="C58" s="45">
        <f>GETPIVOTDATA("Sum of INDUSTRY GUEST",'Pivot Table'!$A$100)</f>
        <v>0</v>
      </c>
      <c r="D58" s="45">
        <f t="shared" si="48"/>
        <v>0</v>
      </c>
      <c r="E58" s="45">
        <f t="shared" si="49"/>
        <v>0</v>
      </c>
      <c r="G58" s="44" t="s">
        <v>79</v>
      </c>
      <c r="H58" s="45">
        <f>GETPIVOTDATA("Sum of INDUSTRY GUEST",'Pivot Table'!$A$112)</f>
        <v>0</v>
      </c>
      <c r="I58" s="45">
        <f t="shared" si="50"/>
        <v>0</v>
      </c>
      <c r="J58" s="45">
        <f t="shared" si="51"/>
        <v>0</v>
      </c>
      <c r="L58" s="44" t="s">
        <v>79</v>
      </c>
      <c r="M58" s="45">
        <f>GETPIVOTDATA("Sum of INDUSTRY GUEST",'Pivot Table'!$A$124)</f>
        <v>2</v>
      </c>
      <c r="N58" s="45">
        <f t="shared" si="52"/>
        <v>0.45160998961297022</v>
      </c>
      <c r="O58" s="45">
        <f t="shared" si="53"/>
        <v>6.4516129032258063E-2</v>
      </c>
      <c r="Q58" s="44" t="s">
        <v>79</v>
      </c>
      <c r="R58" s="45">
        <f>GETPIVOTDATA("Sum of INDUSTRY GUEST",'Pivot Table'!$A$136)</f>
        <v>5</v>
      </c>
      <c r="S58" s="58">
        <f t="shared" si="54"/>
        <v>1.1290249740324254</v>
      </c>
      <c r="T58" s="58">
        <f t="shared" si="55"/>
        <v>0.16666666666666666</v>
      </c>
      <c r="AD58" s="46"/>
    </row>
    <row r="59" spans="2:30" x14ac:dyDescent="0.25">
      <c r="B59" s="44" t="s">
        <v>5</v>
      </c>
      <c r="C59" s="45">
        <f>GETPIVOTDATA("Sum of MEMB GUEST MICLUB",'Pivot Table'!$A$100)</f>
        <v>204</v>
      </c>
      <c r="D59" s="45">
        <f t="shared" si="48"/>
        <v>46.064218940522963</v>
      </c>
      <c r="E59" s="45">
        <f t="shared" si="49"/>
        <v>6.580645161290323</v>
      </c>
      <c r="G59" s="44" t="s">
        <v>5</v>
      </c>
      <c r="H59" s="45">
        <f>GETPIVOTDATA("Sum of MEMB GUEST MICLUB",'Pivot Table'!$A$112)</f>
        <v>225</v>
      </c>
      <c r="I59" s="45">
        <f t="shared" si="50"/>
        <v>50.806123831459146</v>
      </c>
      <c r="J59" s="45">
        <f t="shared" si="51"/>
        <v>7.5</v>
      </c>
      <c r="L59" s="44" t="s">
        <v>5</v>
      </c>
      <c r="M59" s="45">
        <f>GETPIVOTDATA("Sum of MEMB GUEST MICLUB",'Pivot Table'!$A$124)</f>
        <v>271</v>
      </c>
      <c r="N59" s="45">
        <f t="shared" si="52"/>
        <v>61.193153592557465</v>
      </c>
      <c r="O59" s="45">
        <f t="shared" si="53"/>
        <v>8.741935483870968</v>
      </c>
      <c r="Q59" s="44" t="s">
        <v>5</v>
      </c>
      <c r="R59" s="45">
        <f>GETPIVOTDATA("Sum of MEMB GUEST MICLUB",'Pivot Table'!$A$136)</f>
        <v>360</v>
      </c>
      <c r="S59" s="58">
        <f t="shared" si="54"/>
        <v>81.289798130334631</v>
      </c>
      <c r="T59" s="58">
        <f t="shared" si="55"/>
        <v>12</v>
      </c>
      <c r="AD59" s="46"/>
    </row>
    <row r="60" spans="2:30" ht="33" x14ac:dyDescent="0.25">
      <c r="B60" s="40" t="s">
        <v>80</v>
      </c>
      <c r="C60" s="45">
        <f>GETPIVOTDATA("Sum of MEMB GUEST UNACCOMPANIED",'Pivot Table'!$A$100)</f>
        <v>0</v>
      </c>
      <c r="D60" s="45">
        <f t="shared" si="48"/>
        <v>0</v>
      </c>
      <c r="E60" s="45">
        <f t="shared" si="49"/>
        <v>0</v>
      </c>
      <c r="G60" s="40" t="s">
        <v>80</v>
      </c>
      <c r="H60" s="45">
        <f>GETPIVOTDATA("Sum of MEMB GUEST UNACCOMPANIED",'Pivot Table'!$A$112)</f>
        <v>4</v>
      </c>
      <c r="I60" s="45">
        <f t="shared" si="50"/>
        <v>0.90321997922594044</v>
      </c>
      <c r="J60" s="45">
        <f t="shared" si="51"/>
        <v>0.13333333333333333</v>
      </c>
      <c r="L60" s="40" t="s">
        <v>80</v>
      </c>
      <c r="M60" s="45">
        <f>GETPIVOTDATA("Sum of MEMB GUEST UNACCOMPANIED",'Pivot Table'!$A$124)</f>
        <v>3</v>
      </c>
      <c r="N60" s="45">
        <f t="shared" si="52"/>
        <v>0.67741498441945536</v>
      </c>
      <c r="O60" s="45">
        <f t="shared" si="53"/>
        <v>9.6774193548387094E-2</v>
      </c>
      <c r="Q60" s="40" t="s">
        <v>80</v>
      </c>
      <c r="R60" s="45">
        <f>GETPIVOTDATA("Sum of MEMB GUEST UNACCOMPANIED",'Pivot Table'!$A$136)</f>
        <v>0</v>
      </c>
      <c r="S60" s="58">
        <f t="shared" si="54"/>
        <v>0</v>
      </c>
      <c r="T60" s="58">
        <f t="shared" si="55"/>
        <v>0</v>
      </c>
      <c r="AD60" s="46"/>
    </row>
    <row r="61" spans="2:30" x14ac:dyDescent="0.25">
      <c r="B61" s="44" t="s">
        <v>6</v>
      </c>
      <c r="C61" s="45">
        <f>GETPIVOTDATA("Sum of CORPORATE",'Pivot Table'!$A$100)</f>
        <v>245</v>
      </c>
      <c r="D61" s="45">
        <f t="shared" si="48"/>
        <v>55.322223727588849</v>
      </c>
      <c r="E61" s="45">
        <f t="shared" si="49"/>
        <v>7.903225806451613</v>
      </c>
      <c r="G61" s="44" t="s">
        <v>6</v>
      </c>
      <c r="H61" s="45">
        <f>GETPIVOTDATA("Sum of CORPORATE",'Pivot Table'!$A$112)</f>
        <v>172</v>
      </c>
      <c r="I61" s="45">
        <f t="shared" si="50"/>
        <v>38.83845910671544</v>
      </c>
      <c r="J61" s="45">
        <f t="shared" si="51"/>
        <v>5.7333333333333334</v>
      </c>
      <c r="L61" s="44" t="s">
        <v>6</v>
      </c>
      <c r="M61" s="45">
        <f>GETPIVOTDATA("Sum of CORPORATE",'Pivot Table'!$A$124)</f>
        <v>203</v>
      </c>
      <c r="N61" s="45">
        <f t="shared" si="52"/>
        <v>45.838413945716475</v>
      </c>
      <c r="O61" s="45">
        <f t="shared" si="53"/>
        <v>6.5483870967741939</v>
      </c>
      <c r="Q61" s="44" t="s">
        <v>6</v>
      </c>
      <c r="R61" s="45">
        <f>GETPIVOTDATA("Sum of CORPORATE",'Pivot Table'!$A$136)</f>
        <v>214</v>
      </c>
      <c r="S61" s="58">
        <f t="shared" si="54"/>
        <v>48.322268888587814</v>
      </c>
      <c r="T61" s="58">
        <f t="shared" si="55"/>
        <v>7.1333333333333337</v>
      </c>
      <c r="AD61" s="46"/>
    </row>
    <row r="62" spans="2:30" x14ac:dyDescent="0.25">
      <c r="B62" s="44" t="s">
        <v>116</v>
      </c>
      <c r="C62" s="45">
        <f>GETPIVOTDATA("Sum of EVENT",'Pivot Table'!$A$100)</f>
        <v>100</v>
      </c>
      <c r="D62" s="45">
        <f t="shared" si="48"/>
        <v>22.580499480648509</v>
      </c>
      <c r="E62" s="45">
        <f t="shared" si="49"/>
        <v>3.225806451612903</v>
      </c>
      <c r="G62" s="44" t="s">
        <v>116</v>
      </c>
      <c r="H62" s="45">
        <f>GETPIVOTDATA("Sum of EVENT",'Pivot Table'!$A$112)</f>
        <v>114</v>
      </c>
      <c r="I62" s="45"/>
      <c r="J62" s="45"/>
      <c r="L62" s="44" t="s">
        <v>116</v>
      </c>
      <c r="M62" s="45">
        <f>GETPIVOTDATA("Sum of EVENT",'Pivot Table'!$A$124)</f>
        <v>60</v>
      </c>
      <c r="N62" s="45"/>
      <c r="O62" s="45"/>
      <c r="Q62" s="44" t="s">
        <v>116</v>
      </c>
      <c r="R62" s="45"/>
      <c r="S62" s="58"/>
      <c r="T62" s="58"/>
      <c r="AD62" s="46"/>
    </row>
    <row r="63" spans="2:30" s="60" customFormat="1" x14ac:dyDescent="0.25">
      <c r="B63" s="44" t="s">
        <v>86</v>
      </c>
      <c r="C63" s="45">
        <f>GETPIVOTDATA("Sum of NON-PLAYING",'Pivot Table'!$A$100)</f>
        <v>0</v>
      </c>
      <c r="D63" s="45">
        <f t="shared" si="48"/>
        <v>0</v>
      </c>
      <c r="E63" s="45">
        <f t="shared" si="49"/>
        <v>0</v>
      </c>
      <c r="F63" s="8"/>
      <c r="G63" s="44" t="s">
        <v>86</v>
      </c>
      <c r="H63" s="45">
        <f>GETPIVOTDATA("Sum of NON-PLAYING",'Pivot Table'!$A$112)</f>
        <v>0</v>
      </c>
      <c r="I63" s="45">
        <f t="shared" si="50"/>
        <v>0</v>
      </c>
      <c r="J63" s="45">
        <f t="shared" si="51"/>
        <v>0</v>
      </c>
      <c r="K63" s="72"/>
      <c r="L63" s="44" t="s">
        <v>86</v>
      </c>
      <c r="M63" s="45">
        <f>GETPIVOTDATA("Sum of NON-PLAYING",'Pivot Table'!$A$124,"DAY","Sun")</f>
        <v>0</v>
      </c>
      <c r="N63" s="45">
        <f t="shared" si="52"/>
        <v>0</v>
      </c>
      <c r="O63" s="45">
        <f t="shared" si="53"/>
        <v>0</v>
      </c>
      <c r="P63" s="8"/>
      <c r="Q63" s="44" t="s">
        <v>86</v>
      </c>
      <c r="R63" s="45">
        <f>GETPIVOTDATA("Sum of NON-PLAYING",'Pivot Table'!$A$136)</f>
        <v>42</v>
      </c>
      <c r="S63" s="58">
        <f t="shared" si="54"/>
        <v>9.4838097818723739</v>
      </c>
      <c r="T63" s="58">
        <f t="shared" si="55"/>
        <v>1.4</v>
      </c>
      <c r="U63" s="72"/>
      <c r="V63" s="70"/>
      <c r="W63" s="71"/>
      <c r="X63" s="71"/>
      <c r="Y63" s="71"/>
      <c r="Z63" s="72"/>
      <c r="AA63" s="70"/>
      <c r="AB63" s="71"/>
      <c r="AC63" s="71"/>
      <c r="AD63" s="71"/>
    </row>
    <row r="64" spans="2:30" x14ac:dyDescent="0.25">
      <c r="B64" s="44" t="s">
        <v>81</v>
      </c>
      <c r="C64" s="45">
        <f>GETPIVOTDATA("Sum of VOUCHER",'Pivot Table'!$A$100)</f>
        <v>18</v>
      </c>
      <c r="D64" s="45">
        <f t="shared" si="48"/>
        <v>4.0644899065167319</v>
      </c>
      <c r="E64" s="45">
        <f t="shared" si="49"/>
        <v>0.58064516129032262</v>
      </c>
      <c r="G64" s="44" t="s">
        <v>81</v>
      </c>
      <c r="H64" s="45">
        <f>GETPIVOTDATA("Sum of VOUCHER",'Pivot Table'!$A$112)</f>
        <v>26</v>
      </c>
      <c r="I64" s="45">
        <f t="shared" si="50"/>
        <v>5.8709298649686126</v>
      </c>
      <c r="J64" s="45">
        <f t="shared" si="51"/>
        <v>0.8666666666666667</v>
      </c>
      <c r="L64" s="44" t="s">
        <v>81</v>
      </c>
      <c r="M64" s="45">
        <f>GETPIVOTDATA("Sum of VOUCHER",'Pivot Table'!$A$124)</f>
        <v>34</v>
      </c>
      <c r="N64" s="45">
        <f t="shared" si="52"/>
        <v>7.6773698234204932</v>
      </c>
      <c r="O64" s="45">
        <f t="shared" si="53"/>
        <v>1.096774193548387</v>
      </c>
      <c r="Q64" s="44" t="s">
        <v>81</v>
      </c>
      <c r="R64" s="45">
        <f>GETPIVOTDATA("Sum of VOUCHER",'Pivot Table'!$A$136)</f>
        <v>28</v>
      </c>
      <c r="S64" s="58">
        <f t="shared" si="54"/>
        <v>6.3225398545815832</v>
      </c>
      <c r="T64" s="58">
        <f t="shared" si="55"/>
        <v>0.93333333333333335</v>
      </c>
      <c r="V64" s="68"/>
      <c r="AA64" s="68"/>
      <c r="AD64" s="46"/>
    </row>
    <row r="65" spans="2:30" x14ac:dyDescent="0.25">
      <c r="B65" s="44" t="s">
        <v>7</v>
      </c>
      <c r="C65" s="45">
        <f>GETPIVOTDATA("Sum of RECIP",'Pivot Table'!$A$100)</f>
        <v>101</v>
      </c>
      <c r="D65" s="45">
        <f t="shared" si="48"/>
        <v>22.806304475454997</v>
      </c>
      <c r="E65" s="45">
        <f t="shared" si="49"/>
        <v>3.2580645161290325</v>
      </c>
      <c r="G65" s="44" t="s">
        <v>7</v>
      </c>
      <c r="H65" s="45">
        <f>GETPIVOTDATA("Sum of RECIP",'Pivot Table'!$A$112)</f>
        <v>60</v>
      </c>
      <c r="I65" s="45">
        <f t="shared" si="50"/>
        <v>13.548299688389106</v>
      </c>
      <c r="J65" s="45">
        <f t="shared" si="51"/>
        <v>2</v>
      </c>
      <c r="L65" s="44" t="s">
        <v>7</v>
      </c>
      <c r="M65" s="45">
        <f>GETPIVOTDATA("Sum of RECIP",'Pivot Table'!$A$124)</f>
        <v>83</v>
      </c>
      <c r="N65" s="45">
        <f t="shared" si="52"/>
        <v>18.741814568938263</v>
      </c>
      <c r="O65" s="45">
        <f t="shared" si="53"/>
        <v>2.6774193548387095</v>
      </c>
      <c r="Q65" s="44" t="s">
        <v>7</v>
      </c>
      <c r="R65" s="45">
        <f>GETPIVOTDATA("Sum of RECIP",'Pivot Table'!$A$136)</f>
        <v>67</v>
      </c>
      <c r="S65" s="58">
        <f t="shared" si="54"/>
        <v>15.128934652034502</v>
      </c>
      <c r="T65" s="58">
        <f t="shared" si="55"/>
        <v>2.2333333333333334</v>
      </c>
      <c r="AD65" s="46"/>
    </row>
    <row r="66" spans="2:30" x14ac:dyDescent="0.25">
      <c r="B66" s="44" t="s">
        <v>82</v>
      </c>
      <c r="C66" s="45">
        <f>GETPIVOTDATA("Sum of COMP",'Pivot Table'!$A$100)</f>
        <v>2218</v>
      </c>
      <c r="D66" s="45">
        <f t="shared" si="48"/>
        <v>500.83547848078393</v>
      </c>
      <c r="E66" s="45">
        <f t="shared" si="49"/>
        <v>71.548387096774192</v>
      </c>
      <c r="G66" s="44" t="s">
        <v>82</v>
      </c>
      <c r="H66" s="45">
        <f>GETPIVOTDATA("Sum of COMP",'Pivot Table'!$A$112)</f>
        <v>1919</v>
      </c>
      <c r="I66" s="45">
        <f t="shared" si="50"/>
        <v>433.31978503364491</v>
      </c>
      <c r="J66" s="45">
        <f t="shared" si="51"/>
        <v>63.966666666666669</v>
      </c>
      <c r="L66" s="44" t="s">
        <v>82</v>
      </c>
      <c r="M66" s="45">
        <f>GETPIVOTDATA("Sum of COMP",'Pivot Table'!$A$124)</f>
        <v>2555</v>
      </c>
      <c r="N66" s="45">
        <f t="shared" si="52"/>
        <v>576.93176173056941</v>
      </c>
      <c r="O66" s="45">
        <f t="shared" si="53"/>
        <v>82.41935483870968</v>
      </c>
      <c r="Q66" s="44" t="s">
        <v>82</v>
      </c>
      <c r="R66" s="45">
        <f>GETPIVOTDATA("Sum of COMP",'Pivot Table'!$A$136)</f>
        <v>2363</v>
      </c>
      <c r="S66" s="58">
        <f t="shared" si="54"/>
        <v>533.57720272772428</v>
      </c>
      <c r="T66" s="58">
        <f t="shared" si="55"/>
        <v>78.766666666666666</v>
      </c>
      <c r="AD66" s="46"/>
    </row>
    <row r="67" spans="2:30" x14ac:dyDescent="0.25">
      <c r="D67" s="69"/>
      <c r="E67" s="69"/>
      <c r="I67" s="69"/>
      <c r="J67" s="69"/>
      <c r="AD67" s="46"/>
    </row>
    <row r="68" spans="2:30" x14ac:dyDescent="0.25">
      <c r="D68" s="69"/>
      <c r="E68" s="69"/>
      <c r="I68" s="69"/>
      <c r="J68" s="69"/>
      <c r="AD68" s="46"/>
    </row>
    <row r="69" spans="2:30" x14ac:dyDescent="0.25">
      <c r="D69" s="69"/>
      <c r="E69" s="69"/>
      <c r="I69" s="69"/>
      <c r="J69" s="69"/>
      <c r="AD69" s="46"/>
    </row>
    <row r="70" spans="2:30" x14ac:dyDescent="0.25">
      <c r="B70" s="68"/>
      <c r="D70" s="69"/>
      <c r="E70" s="69"/>
      <c r="G70" s="68"/>
      <c r="I70" s="69"/>
      <c r="J70" s="69"/>
      <c r="L70" s="68"/>
      <c r="Q70" s="68"/>
      <c r="V70" s="68"/>
      <c r="AA70" s="68"/>
      <c r="AD70" s="46"/>
    </row>
    <row r="71" spans="2:30" x14ac:dyDescent="0.25">
      <c r="D71" s="69"/>
      <c r="E71" s="69"/>
      <c r="I71" s="69"/>
      <c r="J71" s="69"/>
      <c r="AD71" s="46"/>
    </row>
    <row r="72" spans="2:30" x14ac:dyDescent="0.25">
      <c r="D72" s="69"/>
      <c r="E72" s="69"/>
      <c r="I72" s="69"/>
      <c r="J72" s="69"/>
      <c r="AD72" s="46"/>
    </row>
    <row r="73" spans="2:30" x14ac:dyDescent="0.25">
      <c r="D73" s="69"/>
      <c r="E73" s="69"/>
      <c r="I73" s="69"/>
      <c r="J73" s="69"/>
      <c r="AD73" s="46"/>
    </row>
    <row r="74" spans="2:30" x14ac:dyDescent="0.25">
      <c r="D74" s="69"/>
      <c r="E74" s="69"/>
      <c r="I74" s="69"/>
      <c r="J74" s="69"/>
      <c r="AD74" s="46"/>
    </row>
    <row r="75" spans="2:30" x14ac:dyDescent="0.25">
      <c r="D75" s="69"/>
      <c r="E75" s="69"/>
      <c r="I75" s="69"/>
      <c r="J75" s="69"/>
      <c r="AD75" s="46"/>
    </row>
  </sheetData>
  <mergeCells count="16">
    <mergeCell ref="B47:C47"/>
    <mergeCell ref="G47:H47"/>
    <mergeCell ref="L47:M47"/>
    <mergeCell ref="Q47:R47"/>
    <mergeCell ref="AA25:AB25"/>
    <mergeCell ref="AA3:AB3"/>
    <mergeCell ref="B25:C25"/>
    <mergeCell ref="G25:H25"/>
    <mergeCell ref="L25:M25"/>
    <mergeCell ref="Q25:R25"/>
    <mergeCell ref="V25:W25"/>
    <mergeCell ref="B3:C3"/>
    <mergeCell ref="V3:W3"/>
    <mergeCell ref="G3:H3"/>
    <mergeCell ref="L3:M3"/>
    <mergeCell ref="Q3:R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0F759-CF8C-4B75-803E-DE8094AE9923}">
  <dimension ref="B3:R44"/>
  <sheetViews>
    <sheetView showGridLines="0" topLeftCell="A20" workbookViewId="0">
      <selection activeCell="O27" sqref="O27:O44"/>
    </sheetView>
  </sheetViews>
  <sheetFormatPr defaultRowHeight="16.5" x14ac:dyDescent="0.25"/>
  <cols>
    <col min="1" max="1" width="9.140625" style="8"/>
    <col min="2" max="2" width="18.42578125" style="8" customWidth="1"/>
    <col min="3" max="3" width="9.140625" style="46"/>
    <col min="4" max="4" width="9.140625" style="8"/>
    <col min="5" max="5" width="18.42578125" style="8" customWidth="1"/>
    <col min="6" max="6" width="10.28515625" style="46" bestFit="1" customWidth="1"/>
    <col min="7" max="7" width="9.140625" style="8"/>
    <col min="8" max="8" width="18.42578125" style="8" customWidth="1"/>
    <col min="9" max="9" width="9.140625" style="46"/>
    <col min="10" max="10" width="9.140625" style="8"/>
    <col min="11" max="11" width="18.42578125" style="8" customWidth="1"/>
    <col min="12" max="12" width="9.140625" style="46"/>
    <col min="13" max="13" width="9.140625" style="8"/>
    <col min="14" max="14" width="18.42578125" style="8" customWidth="1"/>
    <col min="15" max="15" width="9.140625" style="46"/>
    <col min="16" max="16" width="9.140625" style="8"/>
    <col min="17" max="17" width="18.42578125" style="8" customWidth="1"/>
    <col min="18" max="18" width="9.140625" style="46"/>
    <col min="19" max="16384" width="9.140625" style="8"/>
  </cols>
  <sheetData>
    <row r="3" spans="2:18" x14ac:dyDescent="0.25">
      <c r="B3" s="92" t="s">
        <v>8</v>
      </c>
      <c r="C3" s="92"/>
      <c r="E3" s="92" t="s">
        <v>83</v>
      </c>
      <c r="F3" s="92"/>
      <c r="H3" s="92" t="s">
        <v>9</v>
      </c>
      <c r="I3" s="92"/>
      <c r="K3" s="92" t="s">
        <v>10</v>
      </c>
      <c r="L3" s="92"/>
      <c r="N3" s="92" t="s">
        <v>11</v>
      </c>
      <c r="O3" s="92"/>
      <c r="Q3" s="92" t="s">
        <v>12</v>
      </c>
      <c r="R3" s="92"/>
    </row>
    <row r="5" spans="2:18" x14ac:dyDescent="0.25">
      <c r="B5" s="44" t="s">
        <v>1</v>
      </c>
      <c r="C5" s="45">
        <f>GETPIVOTDATA("Sum of AM FIELD",'Pivot Table'!$A$4)</f>
        <v>2614</v>
      </c>
      <c r="E5" s="44" t="s">
        <v>1</v>
      </c>
      <c r="F5" s="45">
        <f>GETPIVOTDATA("Sum of AM FIELD",'Pivot Table'!$A$16)</f>
        <v>2290</v>
      </c>
      <c r="H5" s="44" t="s">
        <v>1</v>
      </c>
      <c r="I5" s="45">
        <f>GETPIVOTDATA("Sum of AM FIELD",'Pivot Table'!$A$28)</f>
        <v>2333</v>
      </c>
      <c r="K5" s="44" t="s">
        <v>1</v>
      </c>
      <c r="L5" s="45">
        <f>GETPIVOTDATA("Sum of AM FIELD",'Pivot Table'!$A$40)</f>
        <v>2263</v>
      </c>
      <c r="N5" s="44" t="s">
        <v>1</v>
      </c>
      <c r="O5" s="45">
        <f>GETPIVOTDATA("Sum of AM FIELD",'Pivot Table'!$A$52)</f>
        <v>2308</v>
      </c>
      <c r="Q5" s="44" t="s">
        <v>1</v>
      </c>
      <c r="R5" s="45">
        <f>GETPIVOTDATA("Sum of AM FIELD",'Pivot Table'!$A$64)</f>
        <v>1911</v>
      </c>
    </row>
    <row r="6" spans="2:18" x14ac:dyDescent="0.25">
      <c r="B6" s="44" t="s">
        <v>2</v>
      </c>
      <c r="C6" s="45">
        <f>GETPIVOTDATA("Sum of PM FIELD",'Pivot Table'!$A$4)</f>
        <v>1773</v>
      </c>
      <c r="E6" s="44" t="s">
        <v>2</v>
      </c>
      <c r="F6" s="45">
        <f>GETPIVOTDATA("Sum of PM FIELD",'Pivot Table'!$A$16)</f>
        <v>1998</v>
      </c>
      <c r="H6" s="44" t="s">
        <v>2</v>
      </c>
      <c r="I6" s="45">
        <f>GETPIVOTDATA("Sum of PM FIELD",'Pivot Table'!$A$28)</f>
        <v>2302</v>
      </c>
      <c r="K6" s="44" t="s">
        <v>2</v>
      </c>
      <c r="L6" s="45">
        <f>GETPIVOTDATA("Sum of PM FIELD",'Pivot Table'!$A$40)</f>
        <v>1923</v>
      </c>
      <c r="N6" s="44" t="s">
        <v>2</v>
      </c>
      <c r="O6" s="45">
        <f>GETPIVOTDATA("Sum of PM FIELD",'Pivot Table'!$A$52)</f>
        <v>1748</v>
      </c>
      <c r="Q6" s="44" t="s">
        <v>2</v>
      </c>
      <c r="R6" s="45">
        <f>GETPIVOTDATA("Sum of PM FIELD",'Pivot Table'!$A$64)</f>
        <v>1890</v>
      </c>
    </row>
    <row r="7" spans="2:18" x14ac:dyDescent="0.25">
      <c r="B7" s="44" t="s">
        <v>3</v>
      </c>
      <c r="C7" s="45">
        <f>GETPIVOTDATA("Sum of TOTAL FIELD",'Pivot Table'!$A$4)</f>
        <v>4387</v>
      </c>
      <c r="E7" s="44" t="s">
        <v>3</v>
      </c>
      <c r="F7" s="45">
        <f>GETPIVOTDATA("Sum of TOTAL FIELD",'Pivot Table'!$A$16)</f>
        <v>4288</v>
      </c>
      <c r="H7" s="44" t="s">
        <v>3</v>
      </c>
      <c r="I7" s="45">
        <f>GETPIVOTDATA("Sum of TOTAL FIELD",'Pivot Table'!$A$28)</f>
        <v>4635</v>
      </c>
      <c r="K7" s="44" t="s">
        <v>3</v>
      </c>
      <c r="L7" s="45">
        <f>GETPIVOTDATA("Sum of TOTAL FIELD",'Pivot Table'!$A$40)</f>
        <v>4186</v>
      </c>
      <c r="N7" s="44" t="s">
        <v>3</v>
      </c>
      <c r="O7" s="45">
        <f>GETPIVOTDATA("Sum of TOTAL FIELD",'Pivot Table'!$A$52)</f>
        <v>4056</v>
      </c>
      <c r="Q7" s="44" t="s">
        <v>3</v>
      </c>
      <c r="R7" s="45">
        <f>GETPIVOTDATA("Sum of TOTAL FIELD",'Pivot Table'!$A$64)</f>
        <v>3801</v>
      </c>
    </row>
    <row r="8" spans="2:18" x14ac:dyDescent="0.25">
      <c r="B8" s="44" t="s">
        <v>84</v>
      </c>
      <c r="C8" s="45">
        <f>GETPIVOTDATA("Sum of No. GUESTS",'Pivot Table'!$A$4)</f>
        <v>683</v>
      </c>
      <c r="E8" s="44" t="s">
        <v>84</v>
      </c>
      <c r="F8" s="45">
        <f>GETPIVOTDATA("Sum of No. GUESTS",'Pivot Table'!$A$16)</f>
        <v>737</v>
      </c>
      <c r="H8" s="44" t="s">
        <v>84</v>
      </c>
      <c r="I8" s="45">
        <f>GETPIVOTDATA("Sum of No. GUESTS",'Pivot Table'!$A$28)</f>
        <v>976</v>
      </c>
      <c r="K8" s="44" t="s">
        <v>84</v>
      </c>
      <c r="L8" s="45">
        <f>GETPIVOTDATA("Sum of No. GUESTS",'Pivot Table'!$A$40)</f>
        <v>661</v>
      </c>
      <c r="N8" s="44" t="s">
        <v>84</v>
      </c>
      <c r="O8" s="45">
        <f>GETPIVOTDATA("Sum of No. GUESTS",'Pivot Table'!$A$52)</f>
        <v>791</v>
      </c>
      <c r="Q8" s="44" t="s">
        <v>84</v>
      </c>
      <c r="R8" s="45">
        <f>GETPIVOTDATA("Sum of No. GUESTS",'Pivot Table'!$A$64)</f>
        <v>616</v>
      </c>
    </row>
    <row r="9" spans="2:18" s="62" customFormat="1" ht="33" x14ac:dyDescent="0.25">
      <c r="B9" s="61" t="s">
        <v>76</v>
      </c>
      <c r="C9" s="48">
        <f>SUM(C8/C7)</f>
        <v>0.1556872578071575</v>
      </c>
      <c r="E9" s="61" t="s">
        <v>76</v>
      </c>
      <c r="F9" s="48">
        <f>SUM(F8/F7)</f>
        <v>0.171875</v>
      </c>
      <c r="H9" s="61" t="s">
        <v>76</v>
      </c>
      <c r="I9" s="48">
        <f>SUM(I8/I7)</f>
        <v>0.21057173678532901</v>
      </c>
      <c r="K9" s="61" t="s">
        <v>76</v>
      </c>
      <c r="L9" s="48">
        <f>SUM(L8/L7)</f>
        <v>0.15790731008122313</v>
      </c>
      <c r="N9" s="61" t="s">
        <v>76</v>
      </c>
      <c r="O9" s="48">
        <f>SUM(O8/O7)</f>
        <v>0.19501972386587771</v>
      </c>
      <c r="Q9" s="61" t="s">
        <v>76</v>
      </c>
      <c r="R9" s="48">
        <f>SUM(R8/R7)</f>
        <v>0.16206261510128914</v>
      </c>
    </row>
    <row r="10" spans="2:18" x14ac:dyDescent="0.25">
      <c r="B10" s="40" t="s">
        <v>4</v>
      </c>
      <c r="C10" s="45">
        <f>GETPIVOTDATA("Sum of MEMBER",'Pivot Table'!$A$4)</f>
        <v>3619</v>
      </c>
      <c r="E10" s="40" t="s">
        <v>4</v>
      </c>
      <c r="F10" s="45">
        <f>GETPIVOTDATA("Sum of MEMBER",'Pivot Table'!$A$16)</f>
        <v>3495</v>
      </c>
      <c r="H10" s="40" t="s">
        <v>4</v>
      </c>
      <c r="I10" s="45">
        <f>GETPIVOTDATA("Sum of MEMBER",'Pivot Table'!$A$28)</f>
        <v>3553</v>
      </c>
      <c r="K10" s="40" t="s">
        <v>4</v>
      </c>
      <c r="L10" s="45">
        <f>GETPIVOTDATA("Sum of MEMBER",'Pivot Table'!$A$40)</f>
        <v>3258</v>
      </c>
      <c r="N10" s="40" t="s">
        <v>4</v>
      </c>
      <c r="O10" s="45">
        <f>GETPIVOTDATA("Sum of MEMBER",'Pivot Table'!$A$52)</f>
        <v>3244</v>
      </c>
      <c r="Q10" s="40" t="s">
        <v>4</v>
      </c>
      <c r="R10" s="45">
        <f>GETPIVOTDATA("Sum of MEMBER",'Pivot Table'!$A$64)</f>
        <v>3139</v>
      </c>
    </row>
    <row r="11" spans="2:18" x14ac:dyDescent="0.25">
      <c r="B11" s="44" t="s">
        <v>85</v>
      </c>
      <c r="C11" s="45">
        <f>GETPIVOTDATA("Sum of MANAGER INTRO",'Pivot Table'!$A$4)</f>
        <v>3</v>
      </c>
      <c r="E11" s="44" t="s">
        <v>85</v>
      </c>
      <c r="F11" s="45">
        <f>GETPIVOTDATA("Sum of MANAGER INTRO",'Pivot Table'!$A$16)</f>
        <v>1</v>
      </c>
      <c r="H11" s="44" t="s">
        <v>85</v>
      </c>
      <c r="I11" s="45">
        <f>GETPIVOTDATA("Sum of MANAGER INTRO",'Pivot Table'!$A$28)</f>
        <v>1</v>
      </c>
      <c r="K11" s="44" t="s">
        <v>85</v>
      </c>
      <c r="L11" s="45">
        <f>GETPIVOTDATA("Sum of MANAGER INTRO",'Pivot Table'!$A$40)</f>
        <v>1</v>
      </c>
      <c r="N11" s="44" t="s">
        <v>85</v>
      </c>
      <c r="O11" s="45">
        <f>GETPIVOTDATA("Sum of MANAGER INTRO",'Pivot Table'!$A$52)</f>
        <v>2</v>
      </c>
      <c r="Q11" s="44" t="s">
        <v>85</v>
      </c>
      <c r="R11" s="45">
        <f>GETPIVOTDATA("Sum of MANAGER INTRO",'Pivot Table'!$A$64)</f>
        <v>6</v>
      </c>
    </row>
    <row r="12" spans="2:18" x14ac:dyDescent="0.25">
      <c r="B12" s="44" t="s">
        <v>77</v>
      </c>
      <c r="C12" s="45">
        <f>GETPIVOTDATA("Sum of INTERSTATE",'Pivot Table'!$A$4)</f>
        <v>3</v>
      </c>
      <c r="E12" s="44" t="s">
        <v>77</v>
      </c>
      <c r="F12" s="45">
        <f>GETPIVOTDATA("Sum of INTERSTATE",'Pivot Table'!$A$16)</f>
        <v>14</v>
      </c>
      <c r="H12" s="44" t="s">
        <v>77</v>
      </c>
      <c r="I12" s="45">
        <f>GETPIVOTDATA("Sum of INTERSTATE",'Pivot Table'!$A$28)</f>
        <v>34</v>
      </c>
      <c r="K12" s="44" t="s">
        <v>77</v>
      </c>
      <c r="L12" s="45">
        <f>GETPIVOTDATA("Sum of INTERSTATE",'Pivot Table'!$A$40)</f>
        <v>20</v>
      </c>
      <c r="N12" s="44" t="s">
        <v>77</v>
      </c>
      <c r="O12" s="45">
        <f>GETPIVOTDATA("Sum of INTERSTATE",'Pivot Table'!$A$52)</f>
        <v>49</v>
      </c>
      <c r="Q12" s="44" t="s">
        <v>77</v>
      </c>
      <c r="R12" s="45">
        <f>GETPIVOTDATA("Sum of INTERSTATE",'Pivot Table'!$A$64)</f>
        <v>7</v>
      </c>
    </row>
    <row r="13" spans="2:18" x14ac:dyDescent="0.25">
      <c r="B13" s="44" t="s">
        <v>78</v>
      </c>
      <c r="C13" s="45">
        <f>GETPIVOTDATA("Sum of INTERNATIONAL",'Pivot Table'!$A$4)</f>
        <v>84</v>
      </c>
      <c r="E13" s="44" t="s">
        <v>78</v>
      </c>
      <c r="F13" s="45">
        <f>GETPIVOTDATA("Sum of INTERNATIONAL",'Pivot Table'!$A$16)</f>
        <v>87</v>
      </c>
      <c r="H13" s="44" t="s">
        <v>78</v>
      </c>
      <c r="I13" s="45">
        <f>GETPIVOTDATA("Sum of INTERNATIONAL",'Pivot Table'!$A$28)</f>
        <v>134</v>
      </c>
      <c r="K13" s="44" t="s">
        <v>78</v>
      </c>
      <c r="L13" s="45">
        <f>GETPIVOTDATA("Sum of INTERNATIONAL",'Pivot Table'!$A$40)</f>
        <v>8</v>
      </c>
      <c r="N13" s="44" t="s">
        <v>78</v>
      </c>
      <c r="O13" s="45">
        <f>GETPIVOTDATA("Sum of INTERNATIONAL",'Pivot Table'!$A$52)</f>
        <v>29</v>
      </c>
      <c r="Q13" s="44" t="s">
        <v>78</v>
      </c>
      <c r="R13" s="45">
        <f>GETPIVOTDATA("Sum of INTERNATIONAL",'Pivot Table'!$A$64)</f>
        <v>6</v>
      </c>
    </row>
    <row r="14" spans="2:18" x14ac:dyDescent="0.25">
      <c r="B14" s="44" t="s">
        <v>79</v>
      </c>
      <c r="C14" s="45">
        <f>GETPIVOTDATA("Sum of INDUSTRY GUEST",'Pivot Table'!$A$4)</f>
        <v>14</v>
      </c>
      <c r="E14" s="44" t="s">
        <v>79</v>
      </c>
      <c r="F14" s="45">
        <f>GETPIVOTDATA("Sum of INDUSTRY GUEST",'Pivot Table'!$A$16)</f>
        <v>6</v>
      </c>
      <c r="H14" s="44" t="s">
        <v>79</v>
      </c>
      <c r="I14" s="45">
        <f>GETPIVOTDATA("Sum of INDUSTRY GUEST",'Pivot Table'!$A$28)</f>
        <v>0</v>
      </c>
      <c r="K14" s="44" t="s">
        <v>79</v>
      </c>
      <c r="L14" s="45">
        <f>GETPIVOTDATA("Sum of INDUSTRY GUEST",'Pivot Table'!$A$40)</f>
        <v>6</v>
      </c>
      <c r="N14" s="44" t="s">
        <v>79</v>
      </c>
      <c r="O14" s="45">
        <f>GETPIVOTDATA("Sum of INDUSTRY GUEST",'Pivot Table'!$A$52)</f>
        <v>1</v>
      </c>
      <c r="Q14" s="44" t="s">
        <v>79</v>
      </c>
      <c r="R14" s="45">
        <f>GETPIVOTDATA("Sum of INDUSTRY GUEST",'Pivot Table'!$A$64)</f>
        <v>0</v>
      </c>
    </row>
    <row r="15" spans="2:18" x14ac:dyDescent="0.25">
      <c r="B15" s="44" t="s">
        <v>5</v>
      </c>
      <c r="C15" s="45">
        <f>GETPIVOTDATA("Sum of MEMB GUEST MICLUB",'Pivot Table'!$A$4)</f>
        <v>437</v>
      </c>
      <c r="E15" s="44" t="s">
        <v>5</v>
      </c>
      <c r="F15" s="45">
        <f>GETPIVOTDATA("Sum of MEMB GUEST MICLUB",'Pivot Table'!$A$16)</f>
        <v>265</v>
      </c>
      <c r="H15" s="44" t="s">
        <v>5</v>
      </c>
      <c r="I15" s="45">
        <f>GETPIVOTDATA("Sum of MEMB GUEST MICLUB",'Pivot Table'!$A$28)</f>
        <v>412</v>
      </c>
      <c r="K15" s="44" t="s">
        <v>5</v>
      </c>
      <c r="L15" s="45">
        <f>GETPIVOTDATA("Sum of MEMB GUEST MICLUB",'Pivot Table'!$A$40)</f>
        <v>261</v>
      </c>
      <c r="N15" s="44" t="s">
        <v>5</v>
      </c>
      <c r="O15" s="45">
        <f>GETPIVOTDATA("Sum of MEMB GUEST MICLUB",'Pivot Table'!$A$52)</f>
        <v>183</v>
      </c>
      <c r="Q15" s="44" t="s">
        <v>5</v>
      </c>
      <c r="R15" s="45">
        <f>GETPIVOTDATA("Sum of MEMB GUEST MICLUB",'Pivot Table'!$A$64)</f>
        <v>277</v>
      </c>
    </row>
    <row r="16" spans="2:18" ht="33" x14ac:dyDescent="0.25">
      <c r="B16" s="40" t="s">
        <v>80</v>
      </c>
      <c r="C16" s="45">
        <f>GETPIVOTDATA("Sum of MEMB GUEST UNACCOMPANIED",'Pivot Table'!$A$4)</f>
        <v>2</v>
      </c>
      <c r="E16" s="40" t="s">
        <v>80</v>
      </c>
      <c r="F16" s="45">
        <f>GETPIVOTDATA("Sum of MEMB GUEST UNACCOMPANIED",'Pivot Table'!$A$16)</f>
        <v>10</v>
      </c>
      <c r="H16" s="40" t="s">
        <v>80</v>
      </c>
      <c r="I16" s="45">
        <f>GETPIVOTDATA("Sum of MEMB GUEST UNACCOMPANIED",'Pivot Table'!$A$28)</f>
        <v>14</v>
      </c>
      <c r="K16" s="40" t="s">
        <v>80</v>
      </c>
      <c r="L16" s="45">
        <f>GETPIVOTDATA("Sum of MEMB GUEST UNACCOMPANIED",'Pivot Table'!$A$40)</f>
        <v>0</v>
      </c>
      <c r="N16" s="40" t="s">
        <v>80</v>
      </c>
      <c r="O16" s="45">
        <f>GETPIVOTDATA("Sum of MEMB GUEST UNACCOMPANIED",'Pivot Table'!$A$52)</f>
        <v>3</v>
      </c>
      <c r="Q16" s="40" t="s">
        <v>80</v>
      </c>
      <c r="R16" s="45">
        <f>GETPIVOTDATA("Sum of MEMB GUEST UNACCOMPANIED",'Pivot Table'!$A$64)</f>
        <v>0</v>
      </c>
    </row>
    <row r="17" spans="2:18" x14ac:dyDescent="0.25">
      <c r="B17" s="44" t="s">
        <v>6</v>
      </c>
      <c r="C17" s="45">
        <f>GETPIVOTDATA("Sum of CORPORATE",'Pivot Table'!$A$4)</f>
        <v>0</v>
      </c>
      <c r="E17" s="44" t="s">
        <v>6</v>
      </c>
      <c r="F17" s="45">
        <f>GETPIVOTDATA("Sum of CORPORATE",'Pivot Table'!$A$16)</f>
        <v>193</v>
      </c>
      <c r="H17" s="44" t="s">
        <v>6</v>
      </c>
      <c r="I17" s="45">
        <f>GETPIVOTDATA("Sum of CORPORATE",'Pivot Table'!$A$28)</f>
        <v>266</v>
      </c>
      <c r="K17" s="44" t="s">
        <v>6</v>
      </c>
      <c r="L17" s="45">
        <f>GETPIVOTDATA("Sum of CORPORATE",'Pivot Table'!$A$40)</f>
        <v>264</v>
      </c>
      <c r="N17" s="44" t="s">
        <v>6</v>
      </c>
      <c r="O17" s="45">
        <f>GETPIVOTDATA("Sum of CORPORATE",'Pivot Table'!$A$52)</f>
        <v>300</v>
      </c>
      <c r="Q17" s="44" t="s">
        <v>6</v>
      </c>
      <c r="R17" s="45">
        <f>GETPIVOTDATA("Sum of CORPORATE",'Pivot Table'!$A$64)</f>
        <v>110</v>
      </c>
    </row>
    <row r="18" spans="2:18" x14ac:dyDescent="0.25">
      <c r="B18" s="44" t="s">
        <v>116</v>
      </c>
      <c r="C18" s="45">
        <f>GETPIVOTDATA("Sum of EVENT",'Pivot Table'!$A$4)</f>
        <v>0</v>
      </c>
      <c r="E18" s="44" t="s">
        <v>116</v>
      </c>
      <c r="F18" s="45">
        <f>GETPIVOTDATA("Sum of EVENT",'Pivot Table'!$A$16)</f>
        <v>32</v>
      </c>
      <c r="H18" s="44" t="s">
        <v>116</v>
      </c>
      <c r="I18" s="45">
        <f>GETPIVOTDATA("Sum of EVENT",'Pivot Table'!$A$28)</f>
        <v>72</v>
      </c>
      <c r="K18" s="44" t="s">
        <v>116</v>
      </c>
      <c r="L18" s="45">
        <f>GETPIVOTDATA("Sum of EVENT",'Pivot Table'!$A$40)</f>
        <v>208</v>
      </c>
      <c r="N18" s="44" t="s">
        <v>116</v>
      </c>
      <c r="O18" s="45">
        <f>GETPIVOTDATA("Sum of EVENT",'Pivot Table'!$A$52)</f>
        <v>176</v>
      </c>
      <c r="Q18" s="44" t="s">
        <v>116</v>
      </c>
      <c r="R18" s="45">
        <v>0</v>
      </c>
    </row>
    <row r="19" spans="2:18" x14ac:dyDescent="0.25">
      <c r="B19" s="44" t="s">
        <v>86</v>
      </c>
      <c r="C19" s="45">
        <f>GETPIVOTDATA("Sum of NON-PLAYING",'Pivot Table'!$A$4)</f>
        <v>85</v>
      </c>
      <c r="E19" s="44" t="s">
        <v>86</v>
      </c>
      <c r="F19" s="45">
        <f>GETPIVOTDATA("Sum of NON-PLAYING",'Pivot Table'!$A$16)</f>
        <v>56</v>
      </c>
      <c r="H19" s="44" t="s">
        <v>86</v>
      </c>
      <c r="I19" s="45">
        <f>GETPIVOTDATA("Sum of NON-PLAYING",'Pivot Table'!$A$28)</f>
        <v>34</v>
      </c>
      <c r="K19" s="44" t="s">
        <v>86</v>
      </c>
      <c r="L19" s="45">
        <f>GETPIVOTDATA("Sum of NON-PLAYING",'Pivot Table'!$A$40)</f>
        <v>59</v>
      </c>
      <c r="N19" s="44" t="s">
        <v>86</v>
      </c>
      <c r="O19" s="45">
        <f>GETPIVOTDATA("Sum of NON-PLAYING",'Pivot Table'!$A$52)</f>
        <v>21</v>
      </c>
      <c r="Q19" s="44" t="s">
        <v>86</v>
      </c>
      <c r="R19" s="45">
        <f>GETPIVOTDATA("Sum of NON-PLAYING",'Pivot Table'!$A$64)</f>
        <v>46</v>
      </c>
    </row>
    <row r="20" spans="2:18" x14ac:dyDescent="0.25">
      <c r="B20" s="44" t="s">
        <v>81</v>
      </c>
      <c r="C20" s="45">
        <f>GETPIVOTDATA("Sum of VOUCHER",'Pivot Table'!$A$4)</f>
        <v>40</v>
      </c>
      <c r="E20" s="44" t="s">
        <v>81</v>
      </c>
      <c r="F20" s="45">
        <f>GETPIVOTDATA("Sum of VOUCHER",'Pivot Table'!$A$16)</f>
        <v>15</v>
      </c>
      <c r="H20" s="44" t="s">
        <v>81</v>
      </c>
      <c r="I20" s="45">
        <f>GETPIVOTDATA("Sum of VOUCHER",'Pivot Table'!$A$28)</f>
        <v>10</v>
      </c>
      <c r="K20" s="44" t="s">
        <v>81</v>
      </c>
      <c r="L20" s="45">
        <f>GETPIVOTDATA("Sum of VOUCHER",'Pivot Table'!$A$40)</f>
        <v>23</v>
      </c>
      <c r="N20" s="44" t="s">
        <v>81</v>
      </c>
      <c r="O20" s="45">
        <f>GETPIVOTDATA("Sum of VOUCHER",'Pivot Table'!$A$52)</f>
        <v>4</v>
      </c>
      <c r="Q20" s="44" t="s">
        <v>81</v>
      </c>
      <c r="R20" s="45">
        <f>GETPIVOTDATA("Sum of VOUCHER",'Pivot Table'!$A$64)</f>
        <v>183</v>
      </c>
    </row>
    <row r="21" spans="2:18" x14ac:dyDescent="0.25">
      <c r="B21" s="44" t="s">
        <v>7</v>
      </c>
      <c r="C21" s="45">
        <f>GETPIVOTDATA("Sum of RECIP",'Pivot Table'!$A$4)</f>
        <v>100</v>
      </c>
      <c r="E21" s="44" t="s">
        <v>7</v>
      </c>
      <c r="F21" s="45">
        <f>GETPIVOTDATA("Sum of RECIP",'Pivot Table'!$A$16)</f>
        <v>114</v>
      </c>
      <c r="H21" s="44" t="s">
        <v>7</v>
      </c>
      <c r="I21" s="45">
        <f>GETPIVOTDATA("Sum of RECIP",'Pivot Table'!$A$28)</f>
        <v>105</v>
      </c>
      <c r="K21" s="44" t="s">
        <v>7</v>
      </c>
      <c r="L21" s="45">
        <f>GETPIVOTDATA("Sum of RECIP",'Pivot Table'!$A$40)</f>
        <v>78</v>
      </c>
      <c r="N21" s="44" t="s">
        <v>7</v>
      </c>
      <c r="O21" s="45">
        <f>GETPIVOTDATA("Sum of RECIP",'Pivot Table'!$A$52)</f>
        <v>44</v>
      </c>
      <c r="Q21" s="44" t="s">
        <v>7</v>
      </c>
      <c r="R21" s="45">
        <f>GETPIVOTDATA("Sum of RECIP",'Pivot Table'!$A$64)</f>
        <v>27</v>
      </c>
    </row>
    <row r="22" spans="2:18" x14ac:dyDescent="0.25">
      <c r="B22" s="44" t="s">
        <v>82</v>
      </c>
      <c r="C22" s="45">
        <f>GETPIVOTDATA("Sum of COMP",'Pivot Table'!$A$4)</f>
        <v>2545</v>
      </c>
      <c r="E22" s="44" t="s">
        <v>82</v>
      </c>
      <c r="F22" s="45">
        <f>GETPIVOTDATA("Sum of COMP",'Pivot Table'!$A$16)</f>
        <v>2083</v>
      </c>
      <c r="H22" s="44" t="s">
        <v>82</v>
      </c>
      <c r="I22" s="45">
        <f>GETPIVOTDATA("Sum of COMP",'Pivot Table'!$A$28)</f>
        <v>2087</v>
      </c>
      <c r="K22" s="44" t="s">
        <v>82</v>
      </c>
      <c r="L22" s="45">
        <f>GETPIVOTDATA("Sum of COMP",'Pivot Table'!$A$40)</f>
        <v>2265</v>
      </c>
      <c r="N22" s="44" t="s">
        <v>82</v>
      </c>
      <c r="O22" s="45">
        <f>GETPIVOTDATA("Sum of COMP",'Pivot Table'!$A$52)</f>
        <v>1670</v>
      </c>
      <c r="Q22" s="44" t="s">
        <v>82</v>
      </c>
      <c r="R22" s="45">
        <f>GETPIVOTDATA("Sum of COMP",'Pivot Table'!$A$64)</f>
        <v>2328</v>
      </c>
    </row>
    <row r="25" spans="2:18" x14ac:dyDescent="0.25">
      <c r="B25" s="93" t="s">
        <v>13</v>
      </c>
      <c r="C25" s="94"/>
      <c r="E25" s="93" t="s">
        <v>14</v>
      </c>
      <c r="F25" s="94"/>
      <c r="H25" s="92" t="s">
        <v>15</v>
      </c>
      <c r="I25" s="92"/>
      <c r="K25" s="92" t="s">
        <v>16</v>
      </c>
      <c r="L25" s="92"/>
      <c r="N25" s="92" t="s">
        <v>68</v>
      </c>
      <c r="O25" s="92"/>
      <c r="Q25" s="92" t="s">
        <v>17</v>
      </c>
      <c r="R25" s="92"/>
    </row>
    <row r="27" spans="2:18" x14ac:dyDescent="0.25">
      <c r="B27" s="44" t="s">
        <v>1</v>
      </c>
      <c r="C27" s="45">
        <f>GETPIVOTDATA("Sum of AM FIELD",'Pivot Table'!$A$76)</f>
        <v>2160</v>
      </c>
      <c r="E27" s="44" t="s">
        <v>1</v>
      </c>
      <c r="F27" s="45">
        <f>GETPIVOTDATA("Sum of AM FIELD",'Pivot Table'!$A$88)</f>
        <v>2166</v>
      </c>
      <c r="H27" s="44" t="s">
        <v>1</v>
      </c>
      <c r="I27" s="45">
        <f>GETPIVOTDATA("Sum of AM FIELD",'Pivot Table'!$A$100)</f>
        <v>2237</v>
      </c>
      <c r="K27" s="44" t="s">
        <v>1</v>
      </c>
      <c r="L27" s="45">
        <f>GETPIVOTDATA("Sum of AM FIELD",'Pivot Table'!$A$112)</f>
        <v>2147</v>
      </c>
      <c r="N27" s="44" t="s">
        <v>1</v>
      </c>
      <c r="O27" s="45">
        <f>GETPIVOTDATA("Sum of AM FIELD",'Pivot Table'!$A$124)</f>
        <v>2386</v>
      </c>
      <c r="Q27" s="44" t="s">
        <v>1</v>
      </c>
      <c r="R27" s="45">
        <f>GETPIVOTDATA("Sum of AM FIELD",'Pivot Table'!$A$136)</f>
        <v>2270</v>
      </c>
    </row>
    <row r="28" spans="2:18" x14ac:dyDescent="0.25">
      <c r="B28" s="44" t="s">
        <v>2</v>
      </c>
      <c r="C28" s="45">
        <f>GETPIVOTDATA("Sum of PM FIELD",'Pivot Table'!$A$76)</f>
        <v>1824</v>
      </c>
      <c r="E28" s="44" t="s">
        <v>2</v>
      </c>
      <c r="F28" s="45">
        <f>GETPIVOTDATA("Sum of PM FIELD",'Pivot Table'!$A$88)</f>
        <v>1826</v>
      </c>
      <c r="H28" s="44" t="s">
        <v>2</v>
      </c>
      <c r="I28" s="45">
        <f>GETPIVOTDATA("Sum of PM FIELD",'Pivot Table'!$A$100)</f>
        <v>1826</v>
      </c>
      <c r="K28" s="44" t="s">
        <v>2</v>
      </c>
      <c r="L28" s="45">
        <f>GETPIVOTDATA("Sum of PM FIELD",'Pivot Table'!$A$112)</f>
        <v>1883</v>
      </c>
      <c r="N28" s="44" t="s">
        <v>2</v>
      </c>
      <c r="O28" s="45">
        <f>GETPIVOTDATA("Sum of PM FIELD",'Pivot Table'!$A$124)</f>
        <v>2031</v>
      </c>
      <c r="Q28" s="44" t="s">
        <v>2</v>
      </c>
      <c r="R28" s="45">
        <f>GETPIVOTDATA("Sum of PM FIELD",'Pivot Table'!$A$136)</f>
        <v>1642</v>
      </c>
    </row>
    <row r="29" spans="2:18" x14ac:dyDescent="0.25">
      <c r="B29" s="44" t="s">
        <v>3</v>
      </c>
      <c r="C29" s="45">
        <f>GETPIVOTDATA("Sum of TOTAL FIELD",'Pivot Table'!$A$76)</f>
        <v>3984</v>
      </c>
      <c r="E29" s="44" t="s">
        <v>3</v>
      </c>
      <c r="F29" s="45">
        <f>SUM(F27:F28)</f>
        <v>3992</v>
      </c>
      <c r="H29" s="44" t="s">
        <v>3</v>
      </c>
      <c r="I29" s="45">
        <f>GETPIVOTDATA("Sum of TOTAL FIELD",'Pivot Table'!$A$100)</f>
        <v>4063</v>
      </c>
      <c r="K29" s="44" t="s">
        <v>3</v>
      </c>
      <c r="L29" s="45">
        <f>GETPIVOTDATA("Sum of TOTAL FIELD",'Pivot Table'!$A$112)</f>
        <v>4030</v>
      </c>
      <c r="N29" s="44" t="s">
        <v>3</v>
      </c>
      <c r="O29" s="45">
        <f>GETPIVOTDATA("Sum of TOTAL FIELD",'Pivot Table'!$A$124)</f>
        <v>4417</v>
      </c>
      <c r="Q29" s="44" t="s">
        <v>3</v>
      </c>
      <c r="R29" s="45">
        <f>GETPIVOTDATA("Sum of TOTAL FIELD",'Pivot Table'!$A$136)</f>
        <v>3912</v>
      </c>
    </row>
    <row r="30" spans="2:18" x14ac:dyDescent="0.25">
      <c r="B30" s="44" t="s">
        <v>84</v>
      </c>
      <c r="C30" s="45">
        <f>GETPIVOTDATA("Sum of No. GUESTS",'Pivot Table'!$A$76)</f>
        <v>554</v>
      </c>
      <c r="E30" s="44" t="s">
        <v>84</v>
      </c>
      <c r="F30" s="45">
        <f>GETPIVOTDATA("Sum of No. GUESTS",'Pivot Table'!$A$88)</f>
        <v>767</v>
      </c>
      <c r="H30" s="44" t="s">
        <v>84</v>
      </c>
      <c r="I30" s="45">
        <f>GETPIVOTDATA("Sum of No. GUESTS",'Pivot Table'!$A$100)</f>
        <v>686</v>
      </c>
      <c r="K30" s="44" t="s">
        <v>84</v>
      </c>
      <c r="L30" s="45">
        <f>GETPIVOTDATA("Sum of No. GUESTS",'Pivot Table'!$A$112)</f>
        <v>656</v>
      </c>
      <c r="N30" s="44" t="s">
        <v>84</v>
      </c>
      <c r="O30" s="45">
        <f>GETPIVOTDATA("Sum of No. GUESTS",'Pivot Table'!$A$124)</f>
        <v>715</v>
      </c>
      <c r="Q30" s="44" t="s">
        <v>84</v>
      </c>
      <c r="R30" s="45">
        <f>GETPIVOTDATA("Sum of No. GUESTS",'Pivot Table'!$A$136)</f>
        <v>746</v>
      </c>
    </row>
    <row r="31" spans="2:18" s="62" customFormat="1" ht="33" x14ac:dyDescent="0.25">
      <c r="B31" s="61" t="s">
        <v>76</v>
      </c>
      <c r="C31" s="48">
        <f>SUM(C30/C29)</f>
        <v>0.1390562248995984</v>
      </c>
      <c r="E31" s="61" t="s">
        <v>76</v>
      </c>
      <c r="F31" s="48">
        <f>SUM(F30/F29)</f>
        <v>0.19213426853707416</v>
      </c>
      <c r="H31" s="61" t="s">
        <v>76</v>
      </c>
      <c r="I31" s="48">
        <f>SUM(I30/I29)</f>
        <v>0.16884075806054638</v>
      </c>
      <c r="K31" s="61" t="s">
        <v>76</v>
      </c>
      <c r="L31" s="48"/>
      <c r="N31" s="61" t="s">
        <v>76</v>
      </c>
      <c r="O31" s="48"/>
      <c r="Q31" s="61" t="s">
        <v>76</v>
      </c>
      <c r="R31" s="48">
        <f>SUM(R30/R29)</f>
        <v>0.19069529652351738</v>
      </c>
    </row>
    <row r="32" spans="2:18" x14ac:dyDescent="0.25">
      <c r="B32" s="40" t="s">
        <v>4</v>
      </c>
      <c r="C32" s="45">
        <f>GETPIVOTDATA("Sum of MEMBER",'Pivot Table'!$A$76)</f>
        <v>3396</v>
      </c>
      <c r="E32" s="40" t="s">
        <v>4</v>
      </c>
      <c r="F32" s="45">
        <f>GETPIVOTDATA("Sum of MEMBER",'Pivot Table'!$A$88)</f>
        <v>3198</v>
      </c>
      <c r="H32" s="40" t="s">
        <v>4</v>
      </c>
      <c r="I32" s="45">
        <f>GETPIVOTDATA("Sum of MEMBER",'Pivot Table'!$A$100)</f>
        <v>3377</v>
      </c>
      <c r="K32" s="40" t="s">
        <v>4</v>
      </c>
      <c r="L32" s="45">
        <f>GETPIVOTDATA("Sum of MEMBER",'Pivot Table'!$A$112)</f>
        <v>3374</v>
      </c>
      <c r="N32" s="40" t="s">
        <v>4</v>
      </c>
      <c r="O32" s="45">
        <f>GETPIVOTDATA("Sum of MEMBER",'Pivot Table'!$A$124)</f>
        <v>3702</v>
      </c>
      <c r="Q32" s="40" t="s">
        <v>4</v>
      </c>
      <c r="R32" s="45">
        <f>GETPIVOTDATA("Sum of MEMBER",'Pivot Table'!$A$136)</f>
        <v>3124</v>
      </c>
    </row>
    <row r="33" spans="2:18" x14ac:dyDescent="0.25">
      <c r="B33" s="44" t="s">
        <v>85</v>
      </c>
      <c r="C33" s="45">
        <f>GETPIVOTDATA("Sum of MANAGER INTRO",'Pivot Table'!$A$76)</f>
        <v>6</v>
      </c>
      <c r="E33" s="44" t="s">
        <v>85</v>
      </c>
      <c r="F33" s="45">
        <f>GETPIVOTDATA("Sum of MANAGER INTRO",'Pivot Table'!$A$88)</f>
        <v>6</v>
      </c>
      <c r="H33" s="44" t="s">
        <v>85</v>
      </c>
      <c r="I33" s="45">
        <f>GETPIVOTDATA("Sum of MANAGER INTRO",'Pivot Table'!$A$100)</f>
        <v>7</v>
      </c>
      <c r="K33" s="44" t="s">
        <v>85</v>
      </c>
      <c r="L33" s="45">
        <f>GETPIVOTDATA("Sum of MANAGER INTRO",'Pivot Table'!$A$112)</f>
        <v>5</v>
      </c>
      <c r="N33" s="44" t="s">
        <v>85</v>
      </c>
      <c r="O33" s="45">
        <f>GETPIVOTDATA("Sum of MANAGER INTRO",'Pivot Table'!$A$124)</f>
        <v>3</v>
      </c>
      <c r="Q33" s="44" t="s">
        <v>85</v>
      </c>
      <c r="R33" s="45">
        <f>GETPIVOTDATA("Sum of MANAGER INTRO",'Pivot Table'!$A$136)</f>
        <v>2</v>
      </c>
    </row>
    <row r="34" spans="2:18" x14ac:dyDescent="0.25">
      <c r="B34" s="44" t="s">
        <v>77</v>
      </c>
      <c r="C34" s="45">
        <f>GETPIVOTDATA("Sum of INTERSTATE",'Pivot Table'!$A$76)</f>
        <v>9</v>
      </c>
      <c r="E34" s="44" t="s">
        <v>77</v>
      </c>
      <c r="F34" s="45">
        <f>GETPIVOTDATA("Sum of INTERSTATE",'Pivot Table'!$A$88)</f>
        <v>1</v>
      </c>
      <c r="H34" s="44" t="s">
        <v>77</v>
      </c>
      <c r="I34" s="45">
        <f>GETPIVOTDATA("Sum of INTERSTATE",'Pivot Table'!$A$100)</f>
        <v>9</v>
      </c>
      <c r="K34" s="44" t="s">
        <v>77</v>
      </c>
      <c r="L34" s="45">
        <f>GETPIVOTDATA("Sum of INTERSTATE",'Pivot Table'!$A$112)</f>
        <v>18</v>
      </c>
      <c r="N34" s="44" t="s">
        <v>77</v>
      </c>
      <c r="O34" s="45">
        <f>GETPIVOTDATA("Sum of INTERSTATE",'Pivot Table'!$A$124)</f>
        <v>10</v>
      </c>
      <c r="Q34" s="44" t="s">
        <v>77</v>
      </c>
      <c r="R34" s="45">
        <f>GETPIVOTDATA("Sum of INTERSTATE",'Pivot Table'!$A$136)</f>
        <v>0</v>
      </c>
    </row>
    <row r="35" spans="2:18" x14ac:dyDescent="0.25">
      <c r="B35" s="44" t="s">
        <v>78</v>
      </c>
      <c r="C35" s="45">
        <f>GETPIVOTDATA("Sum of INTERNATIONAL",'Pivot Table'!$A$76)</f>
        <v>5</v>
      </c>
      <c r="E35" s="44" t="s">
        <v>78</v>
      </c>
      <c r="F35" s="45">
        <f>GETPIVOTDATA("Sum of INTERNATIONAL",'Pivot Table'!$A$88)</f>
        <v>5</v>
      </c>
      <c r="H35" s="44" t="s">
        <v>78</v>
      </c>
      <c r="I35" s="45">
        <f>GETPIVOTDATA("Sum of INTERNATIONAL",'Pivot Table'!$A$100)</f>
        <v>2</v>
      </c>
      <c r="K35" s="44" t="s">
        <v>78</v>
      </c>
      <c r="L35" s="45">
        <f>GETPIVOTDATA("Sum of INTERNATIONAL",'Pivot Table'!$A$112)</f>
        <v>32</v>
      </c>
      <c r="N35" s="44" t="s">
        <v>78</v>
      </c>
      <c r="O35" s="45">
        <f>GETPIVOTDATA("Sum of INTERNATIONAL",'Pivot Table'!$A$124)</f>
        <v>46</v>
      </c>
      <c r="Q35" s="44" t="s">
        <v>78</v>
      </c>
      <c r="R35" s="45">
        <f>GETPIVOTDATA("Sum of INTERNATIONAL",'Pivot Table'!$A$136)</f>
        <v>70</v>
      </c>
    </row>
    <row r="36" spans="2:18" x14ac:dyDescent="0.25">
      <c r="B36" s="44" t="s">
        <v>79</v>
      </c>
      <c r="C36" s="45">
        <f>GETPIVOTDATA("Sum of INDUSTRY GUEST",'Pivot Table'!$A$76)</f>
        <v>1</v>
      </c>
      <c r="E36" s="44" t="s">
        <v>79</v>
      </c>
      <c r="F36" s="45">
        <f>GETPIVOTDATA("Sum of INDUSTRY GUEST",'Pivot Table'!$A$88)</f>
        <v>4</v>
      </c>
      <c r="H36" s="44" t="s">
        <v>79</v>
      </c>
      <c r="I36" s="45">
        <f>GETPIVOTDATA("Sum of INDUSTRY GUEST",'Pivot Table'!$A$100)</f>
        <v>0</v>
      </c>
      <c r="K36" s="44" t="s">
        <v>79</v>
      </c>
      <c r="L36" s="45">
        <f>GETPIVOTDATA("Sum of INDUSTRY GUEST",'Pivot Table'!$A$112)</f>
        <v>0</v>
      </c>
      <c r="N36" s="44" t="s">
        <v>79</v>
      </c>
      <c r="O36" s="45">
        <f>GETPIVOTDATA("Sum of INDUSTRY GUEST",'Pivot Table'!$A$124)</f>
        <v>2</v>
      </c>
      <c r="Q36" s="44" t="s">
        <v>79</v>
      </c>
      <c r="R36" s="45">
        <f>GETPIVOTDATA("Sum of INDUSTRY GUEST",'Pivot Table'!$A$136)</f>
        <v>5</v>
      </c>
    </row>
    <row r="37" spans="2:18" x14ac:dyDescent="0.25">
      <c r="B37" s="44" t="s">
        <v>5</v>
      </c>
      <c r="C37" s="45">
        <f>GETPIVOTDATA("Sum of MEMB GUEST MICLUB",'Pivot Table'!$A$76)</f>
        <v>191</v>
      </c>
      <c r="E37" s="44" t="s">
        <v>5</v>
      </c>
      <c r="F37" s="45">
        <f>GETPIVOTDATA("Sum of MEMB GUEST MICLUB",'Pivot Table'!$A$88)</f>
        <v>221</v>
      </c>
      <c r="H37" s="44" t="s">
        <v>5</v>
      </c>
      <c r="I37" s="45">
        <f>GETPIVOTDATA("Sum of MEMB GUEST MICLUB",'Pivot Table'!$A$100)</f>
        <v>204</v>
      </c>
      <c r="K37" s="44" t="s">
        <v>5</v>
      </c>
      <c r="L37" s="45">
        <f>GETPIVOTDATA("Sum of MEMB GUEST MICLUB",'Pivot Table'!$A$112)</f>
        <v>225</v>
      </c>
      <c r="N37" s="44" t="s">
        <v>5</v>
      </c>
      <c r="O37" s="45">
        <f>GETPIVOTDATA("Sum of MEMB GUEST MICLUB",'Pivot Table'!$A$124)</f>
        <v>271</v>
      </c>
      <c r="Q37" s="44" t="s">
        <v>5</v>
      </c>
      <c r="R37" s="45">
        <f>GETPIVOTDATA("Sum of MEMB GUEST MICLUB",'Pivot Table'!$A$136)</f>
        <v>360</v>
      </c>
    </row>
    <row r="38" spans="2:18" ht="33" x14ac:dyDescent="0.25">
      <c r="B38" s="40" t="s">
        <v>80</v>
      </c>
      <c r="C38" s="45">
        <f>GETPIVOTDATA("Sum of MEMB GUEST UNACCOMPANIED",'Pivot Table'!$A$76)</f>
        <v>0</v>
      </c>
      <c r="E38" s="40" t="s">
        <v>80</v>
      </c>
      <c r="F38" s="45">
        <f>GETPIVOTDATA("Sum of MEMB GUEST UNACCOMPANIED",'Pivot Table'!$A$88)</f>
        <v>0</v>
      </c>
      <c r="H38" s="40" t="s">
        <v>80</v>
      </c>
      <c r="I38" s="45">
        <f>GETPIVOTDATA("Sum of MEMB GUEST UNACCOMPANIED",'Pivot Table'!$A$100)</f>
        <v>0</v>
      </c>
      <c r="K38" s="40" t="s">
        <v>80</v>
      </c>
      <c r="L38" s="45">
        <f>GETPIVOTDATA("Sum of MEMB GUEST UNACCOMPANIED",'Pivot Table'!$A$112)</f>
        <v>4</v>
      </c>
      <c r="N38" s="40" t="s">
        <v>80</v>
      </c>
      <c r="O38" s="45">
        <f>GETPIVOTDATA("Sum of MEMB GUEST UNACCOMPANIED",'Pivot Table'!$A$124)</f>
        <v>3</v>
      </c>
      <c r="Q38" s="40" t="s">
        <v>80</v>
      </c>
      <c r="R38" s="45">
        <f>GETPIVOTDATA("Sum of MEMB GUEST UNACCOMPANIED",'Pivot Table'!$A$136)</f>
        <v>0</v>
      </c>
    </row>
    <row r="39" spans="2:18" x14ac:dyDescent="0.25">
      <c r="B39" s="44" t="s">
        <v>6</v>
      </c>
      <c r="C39" s="45">
        <f>GETPIVOTDATA("Sum of CORPORATE",'Pivot Table'!$A$76)</f>
        <v>282</v>
      </c>
      <c r="E39" s="44" t="s">
        <v>6</v>
      </c>
      <c r="F39" s="45">
        <f>GETPIVOTDATA("Sum of CORPORATE",'Pivot Table'!$A$88)</f>
        <v>349</v>
      </c>
      <c r="H39" s="44" t="s">
        <v>6</v>
      </c>
      <c r="I39" s="45">
        <f>GETPIVOTDATA("Sum of CORPORATE",'Pivot Table'!$A$100)</f>
        <v>245</v>
      </c>
      <c r="K39" s="44" t="s">
        <v>6</v>
      </c>
      <c r="L39" s="45">
        <f>GETPIVOTDATA("Sum of CORPORATE",'Pivot Table'!$A$112)</f>
        <v>172</v>
      </c>
      <c r="N39" s="44" t="s">
        <v>6</v>
      </c>
      <c r="O39" s="45">
        <f>GETPIVOTDATA("Sum of CORPORATE",'Pivot Table'!$A$124)</f>
        <v>203</v>
      </c>
      <c r="Q39" s="44" t="s">
        <v>6</v>
      </c>
      <c r="R39" s="45">
        <f>GETPIVOTDATA("Sum of CORPORATE",'Pivot Table'!$A$136)</f>
        <v>214</v>
      </c>
    </row>
    <row r="40" spans="2:18" x14ac:dyDescent="0.25">
      <c r="B40" s="44" t="s">
        <v>116</v>
      </c>
      <c r="C40" s="45">
        <v>0</v>
      </c>
      <c r="E40" s="44" t="s">
        <v>116</v>
      </c>
      <c r="F40" s="45">
        <v>0</v>
      </c>
      <c r="H40" s="44" t="s">
        <v>116</v>
      </c>
      <c r="I40" s="45">
        <f>GETPIVOTDATA("Sum of EVENT",'Pivot Table'!$A$100)</f>
        <v>100</v>
      </c>
      <c r="K40" s="44" t="s">
        <v>116</v>
      </c>
      <c r="L40" s="45">
        <f>GETPIVOTDATA("Sum of EVENT",'Pivot Table'!$A$112)</f>
        <v>114</v>
      </c>
      <c r="N40" s="44" t="s">
        <v>116</v>
      </c>
      <c r="O40" s="45">
        <f>GETPIVOTDATA("Sum of EVENT",'Pivot Table'!$A$124)</f>
        <v>60</v>
      </c>
      <c r="Q40" s="44" t="s">
        <v>116</v>
      </c>
      <c r="R40" s="45">
        <f>GETPIVOTDATA("Sum of EVENT",'Pivot Table'!$A$136)</f>
        <v>0</v>
      </c>
    </row>
    <row r="41" spans="2:18" x14ac:dyDescent="0.25">
      <c r="B41" s="44" t="s">
        <v>86</v>
      </c>
      <c r="C41" s="45">
        <f>GETPIVOTDATA("Sum of NON-PLAYING",'Pivot Table'!$A$76)</f>
        <v>34</v>
      </c>
      <c r="E41" s="44" t="s">
        <v>86</v>
      </c>
      <c r="F41" s="45">
        <f>GETPIVOTDATA("Sum of NON-PLAYING",'Pivot Table'!$A$88)</f>
        <v>27</v>
      </c>
      <c r="H41" s="44" t="s">
        <v>86</v>
      </c>
      <c r="I41" s="45">
        <f>GETPIVOTDATA("Sum of NON-PLAYING",'Pivot Table'!$A$100)</f>
        <v>0</v>
      </c>
      <c r="K41" s="44" t="s">
        <v>86</v>
      </c>
      <c r="L41" s="45">
        <f>GETPIVOTDATA("Sum of NON-PLAYING",'Pivot Table'!$A$112)</f>
        <v>0</v>
      </c>
      <c r="N41" s="44" t="s">
        <v>86</v>
      </c>
      <c r="O41" s="45">
        <f>GETPIVOTDATA("Sum of NON-PLAYING",'Pivot Table'!$A$124,"DAY","Sun")</f>
        <v>0</v>
      </c>
      <c r="Q41" s="44" t="s">
        <v>86</v>
      </c>
      <c r="R41" s="45">
        <f>GETPIVOTDATA("Sum of NON-PLAYING",'Pivot Table'!$A$136)</f>
        <v>42</v>
      </c>
    </row>
    <row r="42" spans="2:18" x14ac:dyDescent="0.25">
      <c r="B42" s="44" t="s">
        <v>81</v>
      </c>
      <c r="C42" s="45">
        <f>GETPIVOTDATA("Sum of VOUCHER",'Pivot Table'!$A$76)</f>
        <v>18</v>
      </c>
      <c r="E42" s="44" t="s">
        <v>81</v>
      </c>
      <c r="F42" s="45">
        <f>GETPIVOTDATA("Sum of VOUCHER",'Pivot Table'!$A$88)</f>
        <v>123</v>
      </c>
      <c r="H42" s="44" t="s">
        <v>81</v>
      </c>
      <c r="I42" s="45">
        <f>GETPIVOTDATA("Sum of VOUCHER",'Pivot Table'!$A$100)</f>
        <v>18</v>
      </c>
      <c r="K42" s="44" t="s">
        <v>81</v>
      </c>
      <c r="L42" s="45">
        <f>GETPIVOTDATA("Sum of VOUCHER",'Pivot Table'!$A$112)</f>
        <v>26</v>
      </c>
      <c r="N42" s="44" t="s">
        <v>81</v>
      </c>
      <c r="O42" s="45">
        <f>GETPIVOTDATA("Sum of VOUCHER",'Pivot Table'!$A$124)</f>
        <v>34</v>
      </c>
      <c r="Q42" s="44" t="s">
        <v>81</v>
      </c>
      <c r="R42" s="45">
        <f>GETPIVOTDATA("Sum of VOUCHER",'Pivot Table'!$A$136)</f>
        <v>28</v>
      </c>
    </row>
    <row r="43" spans="2:18" x14ac:dyDescent="0.25">
      <c r="B43" s="44" t="s">
        <v>7</v>
      </c>
      <c r="C43" s="45">
        <f>GETPIVOTDATA("Sum of RECIP",'Pivot Table'!$A$76)</f>
        <v>42</v>
      </c>
      <c r="E43" s="44" t="s">
        <v>7</v>
      </c>
      <c r="F43" s="45">
        <f>GETPIVOTDATA("Sum of RECIP",'Pivot Table'!$A$88)</f>
        <v>58</v>
      </c>
      <c r="H43" s="44" t="s">
        <v>7</v>
      </c>
      <c r="I43" s="45">
        <f>GETPIVOTDATA("Sum of RECIP",'Pivot Table'!$A$100)</f>
        <v>101</v>
      </c>
      <c r="K43" s="44" t="s">
        <v>7</v>
      </c>
      <c r="L43" s="45">
        <f>GETPIVOTDATA("Sum of RECIP",'Pivot Table'!$A$112)</f>
        <v>60</v>
      </c>
      <c r="N43" s="44" t="s">
        <v>7</v>
      </c>
      <c r="O43" s="45">
        <f>GETPIVOTDATA("Sum of RECIP",'Pivot Table'!$A$124)</f>
        <v>83</v>
      </c>
      <c r="Q43" s="44" t="s">
        <v>7</v>
      </c>
      <c r="R43" s="45">
        <f>GETPIVOTDATA("Sum of RECIP",'Pivot Table'!$A$136)</f>
        <v>67</v>
      </c>
    </row>
    <row r="44" spans="2:18" x14ac:dyDescent="0.25">
      <c r="B44" s="44" t="s">
        <v>82</v>
      </c>
      <c r="C44" s="45">
        <f>GETPIVOTDATA("Sum of COMP",'Pivot Table'!$A$76)</f>
        <v>2498</v>
      </c>
      <c r="E44" s="44" t="s">
        <v>82</v>
      </c>
      <c r="F44" s="45">
        <f>GETPIVOTDATA("Sum of COMP",'Pivot Table'!$A$88)</f>
        <v>2296</v>
      </c>
      <c r="H44" s="44" t="s">
        <v>82</v>
      </c>
      <c r="I44" s="45">
        <f>GETPIVOTDATA("Sum of COMP",'Pivot Table'!$A$100)</f>
        <v>2218</v>
      </c>
      <c r="K44" s="44" t="s">
        <v>82</v>
      </c>
      <c r="L44" s="45">
        <f>GETPIVOTDATA("Sum of COMP",'Pivot Table'!$A$112)</f>
        <v>1919</v>
      </c>
      <c r="N44" s="44" t="s">
        <v>82</v>
      </c>
      <c r="O44" s="45">
        <f>GETPIVOTDATA("Sum of COMP",'Pivot Table'!$A$124)</f>
        <v>2555</v>
      </c>
      <c r="Q44" s="44" t="s">
        <v>82</v>
      </c>
      <c r="R44" s="45">
        <f>GETPIVOTDATA("Sum of COMP",'Pivot Table'!$A$136)</f>
        <v>2363</v>
      </c>
    </row>
  </sheetData>
  <mergeCells count="12">
    <mergeCell ref="H25:I25"/>
    <mergeCell ref="K25:L25"/>
    <mergeCell ref="N25:O25"/>
    <mergeCell ref="Q25:R25"/>
    <mergeCell ref="B3:C3"/>
    <mergeCell ref="E3:F3"/>
    <mergeCell ref="H3:I3"/>
    <mergeCell ref="K3:L3"/>
    <mergeCell ref="N3:O3"/>
    <mergeCell ref="Q3:R3"/>
    <mergeCell ref="E25:F25"/>
    <mergeCell ref="B25:C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9B8E1-998A-4DF6-8828-8E3E5CEE0B62}">
  <dimension ref="A2:R144"/>
  <sheetViews>
    <sheetView topLeftCell="A103" zoomScaleNormal="100" workbookViewId="0">
      <selection activeCell="B125" sqref="B125"/>
    </sheetView>
  </sheetViews>
  <sheetFormatPr defaultRowHeight="15" x14ac:dyDescent="0.25"/>
  <cols>
    <col min="1" max="1" width="13.42578125" bestFit="1" customWidth="1"/>
    <col min="2" max="3" width="16.140625" bestFit="1" customWidth="1"/>
    <col min="4" max="4" width="19.140625" bestFit="1" customWidth="1"/>
    <col min="5" max="5" width="18.7109375" bestFit="1" customWidth="1"/>
    <col min="6" max="6" width="15.7109375" bestFit="1" customWidth="1"/>
    <col min="7" max="7" width="23.42578125" bestFit="1" customWidth="1"/>
    <col min="8" max="8" width="19.85546875" bestFit="1" customWidth="1"/>
    <col min="9" max="9" width="19.28515625" bestFit="1" customWidth="1"/>
    <col min="10" max="11" width="19.42578125" bestFit="1" customWidth="1"/>
    <col min="12" max="12" width="13.42578125" bestFit="1" customWidth="1"/>
    <col min="13" max="13" width="17" bestFit="1" customWidth="1"/>
    <col min="14" max="14" width="13.42578125" bestFit="1" customWidth="1"/>
    <col min="15" max="15" width="19.42578125" bestFit="1" customWidth="1"/>
    <col min="16" max="16" width="18.28515625" bestFit="1" customWidth="1"/>
    <col min="17" max="17" width="13.42578125" bestFit="1" customWidth="1"/>
  </cols>
  <sheetData>
    <row r="2" spans="1:18" x14ac:dyDescent="0.25">
      <c r="A2" t="s">
        <v>42</v>
      </c>
    </row>
    <row r="4" spans="1:18" x14ac:dyDescent="0.25">
      <c r="A4" s="2" t="s">
        <v>43</v>
      </c>
      <c r="B4" s="2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69</v>
      </c>
      <c r="I4" t="s">
        <v>70</v>
      </c>
      <c r="J4" t="s">
        <v>71</v>
      </c>
      <c r="K4" t="s">
        <v>66</v>
      </c>
      <c r="L4" t="s">
        <v>72</v>
      </c>
      <c r="M4" t="s">
        <v>50</v>
      </c>
      <c r="N4" t="s">
        <v>117</v>
      </c>
      <c r="O4" t="s">
        <v>73</v>
      </c>
      <c r="P4" t="s">
        <v>51</v>
      </c>
      <c r="Q4" t="s">
        <v>52</v>
      </c>
      <c r="R4" t="s">
        <v>53</v>
      </c>
    </row>
    <row r="5" spans="1:18" x14ac:dyDescent="0.25">
      <c r="A5" s="1" t="s">
        <v>54</v>
      </c>
      <c r="B5">
        <v>358</v>
      </c>
      <c r="C5">
        <v>263</v>
      </c>
      <c r="D5">
        <v>621</v>
      </c>
      <c r="E5">
        <v>133</v>
      </c>
      <c r="F5">
        <v>465</v>
      </c>
      <c r="G5">
        <v>0</v>
      </c>
      <c r="H5">
        <v>3</v>
      </c>
      <c r="I5">
        <v>27</v>
      </c>
      <c r="J5">
        <v>1</v>
      </c>
      <c r="K5">
        <v>79</v>
      </c>
      <c r="L5">
        <v>0</v>
      </c>
      <c r="M5">
        <v>0</v>
      </c>
      <c r="N5">
        <v>0</v>
      </c>
      <c r="O5">
        <v>23</v>
      </c>
      <c r="P5">
        <v>8</v>
      </c>
      <c r="Q5">
        <v>15</v>
      </c>
      <c r="R5">
        <v>379</v>
      </c>
    </row>
    <row r="6" spans="1:18" x14ac:dyDescent="0.25">
      <c r="A6" s="1" t="s">
        <v>55</v>
      </c>
      <c r="B6">
        <v>378</v>
      </c>
      <c r="C6">
        <v>96</v>
      </c>
      <c r="D6">
        <v>474</v>
      </c>
      <c r="E6">
        <v>0</v>
      </c>
      <c r="F6">
        <v>467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7</v>
      </c>
      <c r="P6">
        <v>0</v>
      </c>
      <c r="Q6">
        <v>0</v>
      </c>
      <c r="R6">
        <v>0</v>
      </c>
    </row>
    <row r="7" spans="1:18" x14ac:dyDescent="0.25">
      <c r="A7" s="1" t="s">
        <v>56</v>
      </c>
      <c r="B7">
        <v>299</v>
      </c>
      <c r="C7">
        <v>317</v>
      </c>
      <c r="D7">
        <v>616</v>
      </c>
      <c r="E7">
        <v>217</v>
      </c>
      <c r="F7">
        <v>391</v>
      </c>
      <c r="G7">
        <v>0</v>
      </c>
      <c r="H7">
        <v>0</v>
      </c>
      <c r="I7">
        <v>35</v>
      </c>
      <c r="J7">
        <v>10</v>
      </c>
      <c r="K7">
        <v>136</v>
      </c>
      <c r="L7">
        <v>0</v>
      </c>
      <c r="M7">
        <v>0</v>
      </c>
      <c r="N7">
        <v>0</v>
      </c>
      <c r="O7">
        <v>8</v>
      </c>
      <c r="P7">
        <v>16</v>
      </c>
      <c r="Q7">
        <v>20</v>
      </c>
      <c r="R7">
        <v>180</v>
      </c>
    </row>
    <row r="8" spans="1:18" x14ac:dyDescent="0.25">
      <c r="A8" s="1" t="s">
        <v>57</v>
      </c>
      <c r="B8">
        <v>337</v>
      </c>
      <c r="C8">
        <v>337</v>
      </c>
      <c r="D8">
        <v>674</v>
      </c>
      <c r="E8">
        <v>14</v>
      </c>
      <c r="F8">
        <v>648</v>
      </c>
      <c r="G8">
        <v>2</v>
      </c>
      <c r="H8">
        <v>0</v>
      </c>
      <c r="I8">
        <v>0</v>
      </c>
      <c r="J8">
        <v>0</v>
      </c>
      <c r="K8">
        <v>9</v>
      </c>
      <c r="L8">
        <v>0</v>
      </c>
      <c r="M8">
        <v>0</v>
      </c>
      <c r="N8">
        <v>0</v>
      </c>
      <c r="O8">
        <v>12</v>
      </c>
      <c r="P8">
        <v>0</v>
      </c>
      <c r="Q8">
        <v>3</v>
      </c>
      <c r="R8">
        <v>653</v>
      </c>
    </row>
    <row r="9" spans="1:18" x14ac:dyDescent="0.25">
      <c r="A9" s="1" t="s">
        <v>58</v>
      </c>
      <c r="B9">
        <v>427</v>
      </c>
      <c r="C9">
        <v>325</v>
      </c>
      <c r="D9">
        <v>752</v>
      </c>
      <c r="E9">
        <v>225</v>
      </c>
      <c r="F9">
        <v>508</v>
      </c>
      <c r="G9">
        <v>1</v>
      </c>
      <c r="H9">
        <v>0</v>
      </c>
      <c r="I9">
        <v>20</v>
      </c>
      <c r="J9">
        <v>2</v>
      </c>
      <c r="K9">
        <v>144</v>
      </c>
      <c r="L9">
        <v>2</v>
      </c>
      <c r="M9">
        <v>0</v>
      </c>
      <c r="N9">
        <v>0</v>
      </c>
      <c r="O9">
        <v>19</v>
      </c>
      <c r="P9">
        <v>16</v>
      </c>
      <c r="Q9">
        <v>40</v>
      </c>
      <c r="R9">
        <v>296</v>
      </c>
    </row>
    <row r="10" spans="1:18" x14ac:dyDescent="0.25">
      <c r="A10" s="1" t="s">
        <v>59</v>
      </c>
      <c r="B10">
        <v>364</v>
      </c>
      <c r="C10">
        <v>121</v>
      </c>
      <c r="D10">
        <v>485</v>
      </c>
      <c r="E10">
        <v>1</v>
      </c>
      <c r="F10">
        <v>480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</v>
      </c>
      <c r="P10">
        <v>0</v>
      </c>
      <c r="Q10">
        <v>1</v>
      </c>
      <c r="R10">
        <v>421</v>
      </c>
    </row>
    <row r="11" spans="1:18" x14ac:dyDescent="0.25">
      <c r="A11" s="1" t="s">
        <v>60</v>
      </c>
      <c r="B11">
        <v>451</v>
      </c>
      <c r="C11">
        <v>314</v>
      </c>
      <c r="D11">
        <v>765</v>
      </c>
      <c r="E11">
        <v>93</v>
      </c>
      <c r="F11">
        <v>660</v>
      </c>
      <c r="G11">
        <v>0</v>
      </c>
      <c r="H11">
        <v>0</v>
      </c>
      <c r="I11">
        <v>2</v>
      </c>
      <c r="J11">
        <v>1</v>
      </c>
      <c r="K11">
        <v>69</v>
      </c>
      <c r="L11">
        <v>0</v>
      </c>
      <c r="M11">
        <v>0</v>
      </c>
      <c r="N11">
        <v>0</v>
      </c>
      <c r="O11">
        <v>12</v>
      </c>
      <c r="P11">
        <v>0</v>
      </c>
      <c r="Q11">
        <v>21</v>
      </c>
      <c r="R11">
        <v>616</v>
      </c>
    </row>
    <row r="12" spans="1:18" x14ac:dyDescent="0.25">
      <c r="A12" s="1" t="s">
        <v>61</v>
      </c>
      <c r="B12">
        <v>2614</v>
      </c>
      <c r="C12">
        <v>1773</v>
      </c>
      <c r="D12">
        <v>4387</v>
      </c>
      <c r="E12">
        <v>683</v>
      </c>
      <c r="F12">
        <v>3619</v>
      </c>
      <c r="G12">
        <v>3</v>
      </c>
      <c r="H12">
        <v>3</v>
      </c>
      <c r="I12">
        <v>84</v>
      </c>
      <c r="J12">
        <v>14</v>
      </c>
      <c r="K12">
        <v>437</v>
      </c>
      <c r="L12">
        <v>2</v>
      </c>
      <c r="M12">
        <v>0</v>
      </c>
      <c r="N12">
        <v>0</v>
      </c>
      <c r="O12">
        <v>85</v>
      </c>
      <c r="P12">
        <v>40</v>
      </c>
      <c r="Q12">
        <v>100</v>
      </c>
      <c r="R12">
        <v>2545</v>
      </c>
    </row>
    <row r="14" spans="1:18" x14ac:dyDescent="0.25">
      <c r="A14" s="1" t="s">
        <v>74</v>
      </c>
    </row>
    <row r="16" spans="1:18" x14ac:dyDescent="0.25">
      <c r="A16" s="2" t="s">
        <v>43</v>
      </c>
      <c r="B16" s="2" t="s">
        <v>44</v>
      </c>
      <c r="C16" t="s">
        <v>45</v>
      </c>
      <c r="D16" t="s">
        <v>46</v>
      </c>
      <c r="E16" t="s">
        <v>47</v>
      </c>
      <c r="F16" t="s">
        <v>48</v>
      </c>
      <c r="G16" t="s">
        <v>49</v>
      </c>
      <c r="H16" t="s">
        <v>69</v>
      </c>
      <c r="I16" t="s">
        <v>70</v>
      </c>
      <c r="J16" t="s">
        <v>71</v>
      </c>
      <c r="K16" t="s">
        <v>66</v>
      </c>
      <c r="L16" t="s">
        <v>72</v>
      </c>
      <c r="M16" t="s">
        <v>50</v>
      </c>
      <c r="N16" t="s">
        <v>117</v>
      </c>
      <c r="O16" t="s">
        <v>73</v>
      </c>
      <c r="P16" t="s">
        <v>51</v>
      </c>
      <c r="Q16" t="s">
        <v>52</v>
      </c>
      <c r="R16" t="s">
        <v>53</v>
      </c>
    </row>
    <row r="17" spans="1:18" x14ac:dyDescent="0.25">
      <c r="A17" s="1" t="s">
        <v>54</v>
      </c>
      <c r="B17">
        <v>197</v>
      </c>
      <c r="C17">
        <v>296</v>
      </c>
      <c r="D17">
        <v>493</v>
      </c>
      <c r="E17">
        <v>89</v>
      </c>
      <c r="F17">
        <v>387</v>
      </c>
      <c r="G17">
        <v>0</v>
      </c>
      <c r="H17">
        <v>10</v>
      </c>
      <c r="I17">
        <v>18</v>
      </c>
      <c r="J17">
        <v>0</v>
      </c>
      <c r="K17">
        <v>23</v>
      </c>
      <c r="L17">
        <v>8</v>
      </c>
      <c r="M17">
        <v>0</v>
      </c>
      <c r="N17">
        <v>0</v>
      </c>
      <c r="O17">
        <v>17</v>
      </c>
      <c r="P17">
        <v>4</v>
      </c>
      <c r="Q17">
        <v>26</v>
      </c>
      <c r="R17">
        <v>263</v>
      </c>
    </row>
    <row r="18" spans="1:18" x14ac:dyDescent="0.25">
      <c r="A18" s="1" t="s">
        <v>55</v>
      </c>
      <c r="B18">
        <v>425</v>
      </c>
      <c r="C18">
        <v>168</v>
      </c>
      <c r="D18">
        <v>593</v>
      </c>
      <c r="E18">
        <v>15</v>
      </c>
      <c r="F18">
        <v>565</v>
      </c>
      <c r="G18">
        <v>0</v>
      </c>
      <c r="H18">
        <v>0</v>
      </c>
      <c r="I18">
        <v>0</v>
      </c>
      <c r="J18">
        <v>0</v>
      </c>
      <c r="K18">
        <v>11</v>
      </c>
      <c r="L18">
        <v>0</v>
      </c>
      <c r="M18">
        <v>0</v>
      </c>
      <c r="N18">
        <v>0</v>
      </c>
      <c r="O18">
        <v>13</v>
      </c>
      <c r="P18">
        <v>0</v>
      </c>
      <c r="Q18">
        <v>4</v>
      </c>
      <c r="R18">
        <v>0</v>
      </c>
    </row>
    <row r="19" spans="1:18" x14ac:dyDescent="0.25">
      <c r="A19" s="1" t="s">
        <v>56</v>
      </c>
      <c r="B19">
        <v>315</v>
      </c>
      <c r="C19">
        <v>277</v>
      </c>
      <c r="D19">
        <v>592</v>
      </c>
      <c r="E19">
        <v>265</v>
      </c>
      <c r="F19">
        <v>326</v>
      </c>
      <c r="G19">
        <v>0</v>
      </c>
      <c r="H19">
        <v>0</v>
      </c>
      <c r="I19">
        <v>51</v>
      </c>
      <c r="J19">
        <v>6</v>
      </c>
      <c r="K19">
        <v>73</v>
      </c>
      <c r="L19">
        <v>0</v>
      </c>
      <c r="M19">
        <v>104</v>
      </c>
      <c r="N19">
        <v>0</v>
      </c>
      <c r="O19">
        <v>1</v>
      </c>
      <c r="P19">
        <v>8</v>
      </c>
      <c r="Q19">
        <v>23</v>
      </c>
      <c r="R19">
        <v>133</v>
      </c>
    </row>
    <row r="20" spans="1:18" x14ac:dyDescent="0.25">
      <c r="A20" s="1" t="s">
        <v>57</v>
      </c>
      <c r="B20">
        <v>335</v>
      </c>
      <c r="C20">
        <v>239</v>
      </c>
      <c r="D20">
        <v>574</v>
      </c>
      <c r="E20">
        <v>12</v>
      </c>
      <c r="F20">
        <v>555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7</v>
      </c>
      <c r="P20">
        <v>0</v>
      </c>
      <c r="Q20">
        <v>12</v>
      </c>
      <c r="R20">
        <v>588</v>
      </c>
    </row>
    <row r="21" spans="1:18" x14ac:dyDescent="0.25">
      <c r="A21" s="1" t="s">
        <v>58</v>
      </c>
      <c r="B21">
        <v>301</v>
      </c>
      <c r="C21">
        <v>329</v>
      </c>
      <c r="D21">
        <v>630</v>
      </c>
      <c r="E21">
        <v>216</v>
      </c>
      <c r="F21">
        <v>407</v>
      </c>
      <c r="G21">
        <v>1</v>
      </c>
      <c r="H21">
        <v>4</v>
      </c>
      <c r="I21">
        <v>14</v>
      </c>
      <c r="J21">
        <v>0</v>
      </c>
      <c r="K21">
        <v>78</v>
      </c>
      <c r="L21">
        <v>2</v>
      </c>
      <c r="M21">
        <v>89</v>
      </c>
      <c r="N21">
        <v>0</v>
      </c>
      <c r="O21">
        <v>7</v>
      </c>
      <c r="P21">
        <v>0</v>
      </c>
      <c r="Q21">
        <v>28</v>
      </c>
      <c r="R21">
        <v>161</v>
      </c>
    </row>
    <row r="22" spans="1:18" x14ac:dyDescent="0.25">
      <c r="A22" s="1" t="s">
        <v>59</v>
      </c>
      <c r="B22">
        <v>322</v>
      </c>
      <c r="C22">
        <v>303</v>
      </c>
      <c r="D22">
        <v>625</v>
      </c>
      <c r="E22">
        <v>8</v>
      </c>
      <c r="F22">
        <v>617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8</v>
      </c>
      <c r="R22">
        <v>413</v>
      </c>
    </row>
    <row r="23" spans="1:18" x14ac:dyDescent="0.25">
      <c r="A23" s="1" t="s">
        <v>60</v>
      </c>
      <c r="B23">
        <v>395</v>
      </c>
      <c r="C23">
        <v>386</v>
      </c>
      <c r="D23">
        <v>781</v>
      </c>
      <c r="E23">
        <v>132</v>
      </c>
      <c r="F23">
        <v>638</v>
      </c>
      <c r="G23">
        <v>0</v>
      </c>
      <c r="H23">
        <v>0</v>
      </c>
      <c r="I23">
        <v>4</v>
      </c>
      <c r="J23">
        <v>0</v>
      </c>
      <c r="K23">
        <v>80</v>
      </c>
      <c r="L23">
        <v>0</v>
      </c>
      <c r="M23">
        <v>0</v>
      </c>
      <c r="N23">
        <v>32</v>
      </c>
      <c r="O23">
        <v>11</v>
      </c>
      <c r="P23">
        <v>3</v>
      </c>
      <c r="Q23">
        <v>13</v>
      </c>
      <c r="R23">
        <v>525</v>
      </c>
    </row>
    <row r="24" spans="1:18" x14ac:dyDescent="0.25">
      <c r="A24" s="1" t="s">
        <v>61</v>
      </c>
      <c r="B24">
        <v>2290</v>
      </c>
      <c r="C24">
        <v>1998</v>
      </c>
      <c r="D24">
        <v>4288</v>
      </c>
      <c r="E24">
        <v>737</v>
      </c>
      <c r="F24">
        <v>3495</v>
      </c>
      <c r="G24">
        <v>1</v>
      </c>
      <c r="H24">
        <v>14</v>
      </c>
      <c r="I24">
        <v>87</v>
      </c>
      <c r="J24">
        <v>6</v>
      </c>
      <c r="K24">
        <v>265</v>
      </c>
      <c r="L24">
        <v>10</v>
      </c>
      <c r="M24">
        <v>193</v>
      </c>
      <c r="N24">
        <v>32</v>
      </c>
      <c r="O24">
        <v>56</v>
      </c>
      <c r="P24">
        <v>15</v>
      </c>
      <c r="Q24">
        <v>114</v>
      </c>
      <c r="R24">
        <v>2083</v>
      </c>
    </row>
    <row r="26" spans="1:18" x14ac:dyDescent="0.25">
      <c r="A26" s="1" t="s">
        <v>62</v>
      </c>
    </row>
    <row r="28" spans="1:18" x14ac:dyDescent="0.25">
      <c r="A28" s="2" t="s">
        <v>43</v>
      </c>
      <c r="B28" s="2" t="s">
        <v>44</v>
      </c>
      <c r="C28" t="s">
        <v>45</v>
      </c>
      <c r="D28" t="s">
        <v>46</v>
      </c>
      <c r="E28" t="s">
        <v>47</v>
      </c>
      <c r="F28" t="s">
        <v>48</v>
      </c>
      <c r="G28" t="s">
        <v>49</v>
      </c>
      <c r="H28" t="s">
        <v>69</v>
      </c>
      <c r="I28" t="s">
        <v>70</v>
      </c>
      <c r="J28" t="s">
        <v>71</v>
      </c>
      <c r="K28" t="s">
        <v>66</v>
      </c>
      <c r="L28" t="s">
        <v>72</v>
      </c>
      <c r="M28" t="s">
        <v>50</v>
      </c>
      <c r="N28" t="s">
        <v>117</v>
      </c>
      <c r="O28" t="s">
        <v>73</v>
      </c>
      <c r="P28" t="s">
        <v>51</v>
      </c>
      <c r="Q28" t="s">
        <v>52</v>
      </c>
      <c r="R28" t="s">
        <v>53</v>
      </c>
    </row>
    <row r="29" spans="1:18" x14ac:dyDescent="0.25">
      <c r="A29" s="1" t="s">
        <v>54</v>
      </c>
      <c r="B29">
        <v>241</v>
      </c>
      <c r="C29">
        <v>328</v>
      </c>
      <c r="D29">
        <v>569</v>
      </c>
      <c r="E29">
        <v>174</v>
      </c>
      <c r="F29">
        <v>372</v>
      </c>
      <c r="G29">
        <v>0</v>
      </c>
      <c r="H29">
        <v>4</v>
      </c>
      <c r="I29">
        <v>42</v>
      </c>
      <c r="J29">
        <v>0</v>
      </c>
      <c r="K29">
        <v>49</v>
      </c>
      <c r="L29">
        <v>10</v>
      </c>
      <c r="M29">
        <v>40</v>
      </c>
      <c r="N29">
        <v>16</v>
      </c>
      <c r="O29">
        <v>7</v>
      </c>
      <c r="P29">
        <v>0</v>
      </c>
      <c r="Q29">
        <v>29</v>
      </c>
      <c r="R29">
        <v>239</v>
      </c>
    </row>
    <row r="30" spans="1:18" x14ac:dyDescent="0.25">
      <c r="A30" s="1" t="s">
        <v>55</v>
      </c>
      <c r="B30">
        <v>369</v>
      </c>
      <c r="C30">
        <v>129</v>
      </c>
      <c r="D30">
        <v>498</v>
      </c>
      <c r="E30">
        <v>67</v>
      </c>
      <c r="F30">
        <v>430</v>
      </c>
      <c r="G30">
        <v>0</v>
      </c>
      <c r="H30">
        <v>0</v>
      </c>
      <c r="I30">
        <v>4</v>
      </c>
      <c r="J30">
        <v>0</v>
      </c>
      <c r="K30">
        <v>63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</row>
    <row r="31" spans="1:18" x14ac:dyDescent="0.25">
      <c r="A31" s="1" t="s">
        <v>56</v>
      </c>
      <c r="B31">
        <v>310</v>
      </c>
      <c r="C31">
        <v>377</v>
      </c>
      <c r="D31">
        <v>687</v>
      </c>
      <c r="E31">
        <v>361</v>
      </c>
      <c r="F31">
        <v>320</v>
      </c>
      <c r="G31">
        <v>0</v>
      </c>
      <c r="H31">
        <v>3</v>
      </c>
      <c r="I31">
        <v>40</v>
      </c>
      <c r="J31">
        <v>0</v>
      </c>
      <c r="K31">
        <v>49</v>
      </c>
      <c r="L31">
        <v>4</v>
      </c>
      <c r="M31">
        <v>226</v>
      </c>
      <c r="N31">
        <v>0</v>
      </c>
      <c r="O31">
        <v>6</v>
      </c>
      <c r="P31">
        <v>6</v>
      </c>
      <c r="Q31">
        <v>33</v>
      </c>
      <c r="R31">
        <v>85</v>
      </c>
    </row>
    <row r="32" spans="1:18" x14ac:dyDescent="0.25">
      <c r="A32" s="1" t="s">
        <v>57</v>
      </c>
      <c r="B32">
        <v>317</v>
      </c>
      <c r="C32">
        <v>405</v>
      </c>
      <c r="D32">
        <v>722</v>
      </c>
      <c r="E32">
        <v>10</v>
      </c>
      <c r="F32">
        <v>712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10</v>
      </c>
      <c r="R32">
        <v>669</v>
      </c>
    </row>
    <row r="33" spans="1:18" x14ac:dyDescent="0.25">
      <c r="A33" s="1" t="s">
        <v>58</v>
      </c>
      <c r="B33">
        <v>401</v>
      </c>
      <c r="C33">
        <v>499</v>
      </c>
      <c r="D33">
        <v>900</v>
      </c>
      <c r="E33">
        <v>223</v>
      </c>
      <c r="F33">
        <v>609</v>
      </c>
      <c r="G33">
        <v>1</v>
      </c>
      <c r="H33">
        <v>27</v>
      </c>
      <c r="I33">
        <v>43</v>
      </c>
      <c r="J33">
        <v>0</v>
      </c>
      <c r="K33">
        <v>126</v>
      </c>
      <c r="L33">
        <v>0</v>
      </c>
      <c r="M33">
        <v>0</v>
      </c>
      <c r="N33">
        <v>56</v>
      </c>
      <c r="O33">
        <v>12</v>
      </c>
      <c r="P33">
        <v>4</v>
      </c>
      <c r="Q33">
        <v>22</v>
      </c>
      <c r="R33">
        <v>228</v>
      </c>
    </row>
    <row r="34" spans="1:18" x14ac:dyDescent="0.25">
      <c r="A34" s="1" t="s">
        <v>59</v>
      </c>
      <c r="B34">
        <v>325</v>
      </c>
      <c r="C34">
        <v>190</v>
      </c>
      <c r="D34">
        <v>515</v>
      </c>
      <c r="E34">
        <v>47</v>
      </c>
      <c r="F34">
        <v>465</v>
      </c>
      <c r="G34">
        <v>0</v>
      </c>
      <c r="H34">
        <v>0</v>
      </c>
      <c r="I34">
        <v>1</v>
      </c>
      <c r="J34">
        <v>0</v>
      </c>
      <c r="K34">
        <v>46</v>
      </c>
      <c r="L34">
        <v>0</v>
      </c>
      <c r="M34">
        <v>0</v>
      </c>
      <c r="N34">
        <v>0</v>
      </c>
      <c r="O34">
        <v>3</v>
      </c>
      <c r="P34">
        <v>0</v>
      </c>
      <c r="Q34">
        <v>0</v>
      </c>
      <c r="R34">
        <v>375</v>
      </c>
    </row>
    <row r="35" spans="1:18" x14ac:dyDescent="0.25">
      <c r="A35" s="1" t="s">
        <v>60</v>
      </c>
      <c r="B35">
        <v>370</v>
      </c>
      <c r="C35">
        <v>374</v>
      </c>
      <c r="D35">
        <v>744</v>
      </c>
      <c r="E35">
        <v>94</v>
      </c>
      <c r="F35">
        <v>645</v>
      </c>
      <c r="G35">
        <v>0</v>
      </c>
      <c r="H35">
        <v>0</v>
      </c>
      <c r="I35">
        <v>4</v>
      </c>
      <c r="J35">
        <v>0</v>
      </c>
      <c r="K35">
        <v>79</v>
      </c>
      <c r="L35">
        <v>0</v>
      </c>
      <c r="M35">
        <v>0</v>
      </c>
      <c r="N35">
        <v>0</v>
      </c>
      <c r="O35">
        <v>5</v>
      </c>
      <c r="P35">
        <v>0</v>
      </c>
      <c r="Q35">
        <v>11</v>
      </c>
      <c r="R35">
        <v>491</v>
      </c>
    </row>
    <row r="36" spans="1:18" x14ac:dyDescent="0.25">
      <c r="A36" s="1" t="s">
        <v>61</v>
      </c>
      <c r="B36">
        <v>2333</v>
      </c>
      <c r="C36">
        <v>2302</v>
      </c>
      <c r="D36">
        <v>4635</v>
      </c>
      <c r="E36">
        <v>976</v>
      </c>
      <c r="F36">
        <v>3553</v>
      </c>
      <c r="G36">
        <v>1</v>
      </c>
      <c r="H36">
        <v>34</v>
      </c>
      <c r="I36">
        <v>134</v>
      </c>
      <c r="J36">
        <v>0</v>
      </c>
      <c r="K36">
        <v>412</v>
      </c>
      <c r="L36">
        <v>14</v>
      </c>
      <c r="M36">
        <v>266</v>
      </c>
      <c r="N36">
        <v>72</v>
      </c>
      <c r="O36">
        <v>34</v>
      </c>
      <c r="P36">
        <v>10</v>
      </c>
      <c r="Q36">
        <v>105</v>
      </c>
      <c r="R36">
        <v>2087</v>
      </c>
    </row>
    <row r="38" spans="1:18" x14ac:dyDescent="0.25">
      <c r="A38" s="1" t="s">
        <v>63</v>
      </c>
    </row>
    <row r="40" spans="1:18" x14ac:dyDescent="0.25">
      <c r="A40" s="2" t="s">
        <v>43</v>
      </c>
      <c r="B40" s="2" t="s">
        <v>44</v>
      </c>
      <c r="C40" t="s">
        <v>45</v>
      </c>
      <c r="D40" t="s">
        <v>46</v>
      </c>
      <c r="E40" t="s">
        <v>47</v>
      </c>
      <c r="F40" t="s">
        <v>48</v>
      </c>
      <c r="G40" t="s">
        <v>49</v>
      </c>
      <c r="H40" t="s">
        <v>69</v>
      </c>
      <c r="I40" t="s">
        <v>70</v>
      </c>
      <c r="J40" t="s">
        <v>71</v>
      </c>
      <c r="K40" t="s">
        <v>66</v>
      </c>
      <c r="L40" t="s">
        <v>72</v>
      </c>
      <c r="M40" t="s">
        <v>50</v>
      </c>
      <c r="N40" t="s">
        <v>117</v>
      </c>
      <c r="O40" t="s">
        <v>73</v>
      </c>
      <c r="P40" t="s">
        <v>51</v>
      </c>
      <c r="Q40" t="s">
        <v>52</v>
      </c>
      <c r="R40" t="s">
        <v>53</v>
      </c>
    </row>
    <row r="41" spans="1:18" x14ac:dyDescent="0.25">
      <c r="A41" s="1" t="s">
        <v>54</v>
      </c>
      <c r="B41">
        <v>240</v>
      </c>
      <c r="C41">
        <v>289</v>
      </c>
      <c r="D41">
        <v>529</v>
      </c>
      <c r="E41">
        <v>109</v>
      </c>
      <c r="F41">
        <v>406</v>
      </c>
      <c r="G41">
        <v>0</v>
      </c>
      <c r="H41">
        <v>5</v>
      </c>
      <c r="I41">
        <v>4</v>
      </c>
      <c r="J41">
        <v>2</v>
      </c>
      <c r="K41">
        <v>67</v>
      </c>
      <c r="L41">
        <v>0</v>
      </c>
      <c r="M41">
        <v>0</v>
      </c>
      <c r="N41">
        <v>0</v>
      </c>
      <c r="O41">
        <v>14</v>
      </c>
      <c r="P41">
        <v>12</v>
      </c>
      <c r="Q41">
        <v>19</v>
      </c>
      <c r="R41">
        <v>314</v>
      </c>
    </row>
    <row r="42" spans="1:18" x14ac:dyDescent="0.25">
      <c r="A42" s="1" t="s">
        <v>55</v>
      </c>
      <c r="B42">
        <v>357</v>
      </c>
      <c r="C42">
        <v>200</v>
      </c>
      <c r="D42">
        <v>557</v>
      </c>
      <c r="E42">
        <v>20</v>
      </c>
      <c r="F42">
        <v>525</v>
      </c>
      <c r="G42">
        <v>0</v>
      </c>
      <c r="H42">
        <v>2</v>
      </c>
      <c r="I42">
        <v>1</v>
      </c>
      <c r="J42">
        <v>0</v>
      </c>
      <c r="K42">
        <v>17</v>
      </c>
      <c r="L42">
        <v>0</v>
      </c>
      <c r="M42">
        <v>0</v>
      </c>
      <c r="N42">
        <v>0</v>
      </c>
      <c r="O42">
        <v>12</v>
      </c>
      <c r="P42">
        <v>0</v>
      </c>
      <c r="Q42">
        <v>0</v>
      </c>
      <c r="R42">
        <v>155</v>
      </c>
    </row>
    <row r="43" spans="1:18" x14ac:dyDescent="0.25">
      <c r="A43" s="1" t="s">
        <v>56</v>
      </c>
      <c r="B43">
        <v>249</v>
      </c>
      <c r="C43">
        <v>268</v>
      </c>
      <c r="D43">
        <v>517</v>
      </c>
      <c r="E43">
        <v>309</v>
      </c>
      <c r="F43">
        <v>208</v>
      </c>
      <c r="G43">
        <v>0</v>
      </c>
      <c r="H43">
        <v>2</v>
      </c>
      <c r="I43">
        <v>0</v>
      </c>
      <c r="J43">
        <v>1</v>
      </c>
      <c r="K43">
        <v>27</v>
      </c>
      <c r="L43">
        <v>0</v>
      </c>
      <c r="M43">
        <v>244</v>
      </c>
      <c r="N43">
        <v>0</v>
      </c>
      <c r="O43">
        <v>0</v>
      </c>
      <c r="P43">
        <v>4</v>
      </c>
      <c r="Q43">
        <v>31</v>
      </c>
      <c r="R43">
        <v>75</v>
      </c>
    </row>
    <row r="44" spans="1:18" x14ac:dyDescent="0.25">
      <c r="A44" s="1" t="s">
        <v>57</v>
      </c>
      <c r="B44">
        <v>309</v>
      </c>
      <c r="C44">
        <v>332</v>
      </c>
      <c r="D44">
        <v>641</v>
      </c>
      <c r="E44">
        <v>5</v>
      </c>
      <c r="F44">
        <v>623</v>
      </c>
      <c r="G44">
        <v>1</v>
      </c>
      <c r="H44">
        <v>0</v>
      </c>
      <c r="I44">
        <v>0</v>
      </c>
      <c r="J44">
        <v>2</v>
      </c>
      <c r="K44">
        <v>0</v>
      </c>
      <c r="L44">
        <v>0</v>
      </c>
      <c r="M44">
        <v>0</v>
      </c>
      <c r="N44">
        <v>0</v>
      </c>
      <c r="O44">
        <v>13</v>
      </c>
      <c r="P44">
        <v>0</v>
      </c>
      <c r="Q44">
        <v>2</v>
      </c>
      <c r="R44">
        <v>605</v>
      </c>
    </row>
    <row r="45" spans="1:18" x14ac:dyDescent="0.25">
      <c r="A45" s="1" t="s">
        <v>58</v>
      </c>
      <c r="B45">
        <v>358</v>
      </c>
      <c r="C45">
        <v>257</v>
      </c>
      <c r="D45">
        <v>615</v>
      </c>
      <c r="E45">
        <v>158</v>
      </c>
      <c r="F45">
        <v>392</v>
      </c>
      <c r="G45">
        <v>0</v>
      </c>
      <c r="H45">
        <v>11</v>
      </c>
      <c r="I45">
        <v>3</v>
      </c>
      <c r="J45">
        <v>1</v>
      </c>
      <c r="K45">
        <v>99</v>
      </c>
      <c r="L45">
        <v>0</v>
      </c>
      <c r="M45">
        <v>20</v>
      </c>
      <c r="N45">
        <v>56</v>
      </c>
      <c r="O45">
        <v>9</v>
      </c>
      <c r="P45">
        <v>7</v>
      </c>
      <c r="Q45">
        <v>17</v>
      </c>
      <c r="R45">
        <v>233</v>
      </c>
    </row>
    <row r="46" spans="1:18" x14ac:dyDescent="0.25">
      <c r="A46" s="1" t="s">
        <v>59</v>
      </c>
      <c r="B46">
        <v>425</v>
      </c>
      <c r="C46">
        <v>222</v>
      </c>
      <c r="D46">
        <v>647</v>
      </c>
      <c r="E46">
        <v>1</v>
      </c>
      <c r="F46">
        <v>639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7</v>
      </c>
      <c r="P46">
        <v>0</v>
      </c>
      <c r="Q46">
        <v>0</v>
      </c>
      <c r="R46">
        <v>577</v>
      </c>
    </row>
    <row r="47" spans="1:18" x14ac:dyDescent="0.25">
      <c r="A47" s="1" t="s">
        <v>60</v>
      </c>
      <c r="B47">
        <v>325</v>
      </c>
      <c r="C47">
        <v>355</v>
      </c>
      <c r="D47">
        <v>680</v>
      </c>
      <c r="E47">
        <v>59</v>
      </c>
      <c r="F47">
        <v>465</v>
      </c>
      <c r="G47">
        <v>0</v>
      </c>
      <c r="H47">
        <v>0</v>
      </c>
      <c r="I47">
        <v>0</v>
      </c>
      <c r="J47">
        <v>0</v>
      </c>
      <c r="K47">
        <v>50</v>
      </c>
      <c r="L47">
        <v>0</v>
      </c>
      <c r="M47">
        <v>0</v>
      </c>
      <c r="N47">
        <v>152</v>
      </c>
      <c r="O47">
        <v>4</v>
      </c>
      <c r="P47">
        <v>0</v>
      </c>
      <c r="Q47">
        <v>9</v>
      </c>
      <c r="R47">
        <v>306</v>
      </c>
    </row>
    <row r="48" spans="1:18" x14ac:dyDescent="0.25">
      <c r="A48" s="1" t="s">
        <v>61</v>
      </c>
      <c r="B48">
        <v>2263</v>
      </c>
      <c r="C48">
        <v>1923</v>
      </c>
      <c r="D48">
        <v>4186</v>
      </c>
      <c r="E48">
        <v>661</v>
      </c>
      <c r="F48">
        <v>3258</v>
      </c>
      <c r="G48">
        <v>1</v>
      </c>
      <c r="H48">
        <v>20</v>
      </c>
      <c r="I48">
        <v>8</v>
      </c>
      <c r="J48">
        <v>6</v>
      </c>
      <c r="K48">
        <v>261</v>
      </c>
      <c r="L48">
        <v>0</v>
      </c>
      <c r="M48">
        <v>264</v>
      </c>
      <c r="N48">
        <v>208</v>
      </c>
      <c r="O48">
        <v>59</v>
      </c>
      <c r="P48">
        <v>23</v>
      </c>
      <c r="Q48">
        <v>78</v>
      </c>
      <c r="R48">
        <v>2265</v>
      </c>
    </row>
    <row r="50" spans="1:18" x14ac:dyDescent="0.25">
      <c r="A50" s="1" t="s">
        <v>64</v>
      </c>
    </row>
    <row r="52" spans="1:18" x14ac:dyDescent="0.25">
      <c r="A52" s="2" t="s">
        <v>43</v>
      </c>
      <c r="B52" s="2" t="s">
        <v>44</v>
      </c>
      <c r="C52" t="s">
        <v>45</v>
      </c>
      <c r="D52" t="s">
        <v>46</v>
      </c>
      <c r="E52" t="s">
        <v>47</v>
      </c>
      <c r="F52" t="s">
        <v>48</v>
      </c>
      <c r="G52" t="s">
        <v>49</v>
      </c>
      <c r="H52" t="s">
        <v>69</v>
      </c>
      <c r="I52" t="s">
        <v>70</v>
      </c>
      <c r="J52" t="s">
        <v>71</v>
      </c>
      <c r="K52" t="s">
        <v>66</v>
      </c>
      <c r="L52" t="s">
        <v>72</v>
      </c>
      <c r="M52" t="s">
        <v>50</v>
      </c>
      <c r="N52" t="s">
        <v>117</v>
      </c>
      <c r="O52" t="s">
        <v>73</v>
      </c>
      <c r="P52" t="s">
        <v>51</v>
      </c>
      <c r="Q52" t="s">
        <v>52</v>
      </c>
      <c r="R52" t="s">
        <v>53</v>
      </c>
    </row>
    <row r="53" spans="1:18" x14ac:dyDescent="0.25">
      <c r="A53" s="1" t="s">
        <v>54</v>
      </c>
      <c r="B53">
        <v>253</v>
      </c>
      <c r="C53">
        <v>327</v>
      </c>
      <c r="D53">
        <v>580</v>
      </c>
      <c r="E53">
        <v>227</v>
      </c>
      <c r="F53">
        <v>353</v>
      </c>
      <c r="G53">
        <v>0</v>
      </c>
      <c r="H53">
        <v>14</v>
      </c>
      <c r="I53">
        <v>2</v>
      </c>
      <c r="J53">
        <v>1</v>
      </c>
      <c r="K53">
        <v>26</v>
      </c>
      <c r="L53">
        <v>1</v>
      </c>
      <c r="M53">
        <v>0</v>
      </c>
      <c r="N53">
        <v>176</v>
      </c>
      <c r="O53">
        <v>0</v>
      </c>
      <c r="P53">
        <v>0</v>
      </c>
      <c r="Q53">
        <v>7</v>
      </c>
      <c r="R53">
        <v>209</v>
      </c>
    </row>
    <row r="54" spans="1:18" x14ac:dyDescent="0.25">
      <c r="A54" s="1" t="s">
        <v>55</v>
      </c>
      <c r="B54">
        <v>432</v>
      </c>
      <c r="C54">
        <v>143</v>
      </c>
      <c r="D54">
        <v>575</v>
      </c>
      <c r="E54">
        <v>0</v>
      </c>
      <c r="F54">
        <v>573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2</v>
      </c>
      <c r="P54">
        <v>0</v>
      </c>
      <c r="Q54">
        <v>0</v>
      </c>
      <c r="R54">
        <v>0</v>
      </c>
    </row>
    <row r="55" spans="1:18" x14ac:dyDescent="0.25">
      <c r="A55" s="1" t="s">
        <v>56</v>
      </c>
      <c r="B55">
        <v>369</v>
      </c>
      <c r="C55">
        <v>269</v>
      </c>
      <c r="D55">
        <v>638</v>
      </c>
      <c r="E55">
        <v>270</v>
      </c>
      <c r="F55">
        <v>368</v>
      </c>
      <c r="G55">
        <v>0</v>
      </c>
      <c r="H55">
        <v>16</v>
      </c>
      <c r="I55">
        <v>17</v>
      </c>
      <c r="J55">
        <v>0</v>
      </c>
      <c r="K55">
        <v>53</v>
      </c>
      <c r="L55">
        <v>0</v>
      </c>
      <c r="M55">
        <v>180</v>
      </c>
      <c r="N55">
        <v>0</v>
      </c>
      <c r="O55">
        <v>0</v>
      </c>
      <c r="P55">
        <v>0</v>
      </c>
      <c r="Q55">
        <v>4</v>
      </c>
      <c r="R55">
        <v>101</v>
      </c>
    </row>
    <row r="56" spans="1:18" x14ac:dyDescent="0.25">
      <c r="A56" s="1" t="s">
        <v>57</v>
      </c>
      <c r="B56">
        <v>284</v>
      </c>
      <c r="C56">
        <v>268</v>
      </c>
      <c r="D56">
        <v>552</v>
      </c>
      <c r="E56">
        <v>2</v>
      </c>
      <c r="F56">
        <v>539</v>
      </c>
      <c r="G56">
        <v>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11</v>
      </c>
      <c r="P56">
        <v>0</v>
      </c>
      <c r="Q56">
        <v>0</v>
      </c>
      <c r="R56">
        <v>524</v>
      </c>
    </row>
    <row r="57" spans="1:18" x14ac:dyDescent="0.25">
      <c r="A57" s="1" t="s">
        <v>58</v>
      </c>
      <c r="B57">
        <v>356</v>
      </c>
      <c r="C57">
        <v>198</v>
      </c>
      <c r="D57">
        <v>554</v>
      </c>
      <c r="E57">
        <v>210</v>
      </c>
      <c r="F57">
        <v>344</v>
      </c>
      <c r="G57">
        <v>0</v>
      </c>
      <c r="H57">
        <v>19</v>
      </c>
      <c r="I57">
        <v>4</v>
      </c>
      <c r="J57">
        <v>0</v>
      </c>
      <c r="K57">
        <v>43</v>
      </c>
      <c r="L57">
        <v>2</v>
      </c>
      <c r="M57">
        <v>120</v>
      </c>
      <c r="N57">
        <v>0</v>
      </c>
      <c r="O57">
        <v>0</v>
      </c>
      <c r="P57">
        <v>4</v>
      </c>
      <c r="Q57">
        <v>18</v>
      </c>
      <c r="R57">
        <v>174</v>
      </c>
    </row>
    <row r="58" spans="1:18" x14ac:dyDescent="0.25">
      <c r="A58" s="1" t="s">
        <v>59</v>
      </c>
      <c r="B58">
        <v>312</v>
      </c>
      <c r="C58">
        <v>233</v>
      </c>
      <c r="D58">
        <v>545</v>
      </c>
      <c r="E58">
        <v>7</v>
      </c>
      <c r="F58">
        <v>536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2</v>
      </c>
      <c r="P58">
        <v>0</v>
      </c>
      <c r="Q58">
        <v>7</v>
      </c>
      <c r="R58">
        <v>307</v>
      </c>
    </row>
    <row r="59" spans="1:18" x14ac:dyDescent="0.25">
      <c r="A59" s="1" t="s">
        <v>60</v>
      </c>
      <c r="B59">
        <v>302</v>
      </c>
      <c r="C59">
        <v>310</v>
      </c>
      <c r="D59">
        <v>612</v>
      </c>
      <c r="E59">
        <v>75</v>
      </c>
      <c r="F59">
        <v>531</v>
      </c>
      <c r="G59">
        <v>0</v>
      </c>
      <c r="H59">
        <v>0</v>
      </c>
      <c r="I59">
        <v>6</v>
      </c>
      <c r="J59">
        <v>0</v>
      </c>
      <c r="K59">
        <v>61</v>
      </c>
      <c r="L59">
        <v>0</v>
      </c>
      <c r="M59">
        <v>0</v>
      </c>
      <c r="N59">
        <v>0</v>
      </c>
      <c r="O59">
        <v>6</v>
      </c>
      <c r="P59">
        <v>0</v>
      </c>
      <c r="Q59">
        <v>8</v>
      </c>
      <c r="R59">
        <v>355</v>
      </c>
    </row>
    <row r="60" spans="1:18" x14ac:dyDescent="0.25">
      <c r="A60" s="1" t="s">
        <v>61</v>
      </c>
      <c r="B60">
        <v>2308</v>
      </c>
      <c r="C60">
        <v>1748</v>
      </c>
      <c r="D60">
        <v>4056</v>
      </c>
      <c r="E60">
        <v>791</v>
      </c>
      <c r="F60">
        <v>3244</v>
      </c>
      <c r="G60">
        <v>2</v>
      </c>
      <c r="H60">
        <v>49</v>
      </c>
      <c r="I60">
        <v>29</v>
      </c>
      <c r="J60">
        <v>1</v>
      </c>
      <c r="K60">
        <v>183</v>
      </c>
      <c r="L60">
        <v>3</v>
      </c>
      <c r="M60">
        <v>300</v>
      </c>
      <c r="N60">
        <v>176</v>
      </c>
      <c r="O60">
        <v>21</v>
      </c>
      <c r="P60">
        <v>4</v>
      </c>
      <c r="Q60">
        <v>44</v>
      </c>
      <c r="R60">
        <v>1670</v>
      </c>
    </row>
    <row r="62" spans="1:18" x14ac:dyDescent="0.25">
      <c r="A62" s="1" t="s">
        <v>65</v>
      </c>
    </row>
    <row r="64" spans="1:18" x14ac:dyDescent="0.25">
      <c r="A64" s="2" t="s">
        <v>43</v>
      </c>
      <c r="B64" s="2" t="s">
        <v>44</v>
      </c>
      <c r="C64" t="s">
        <v>45</v>
      </c>
      <c r="D64" t="s">
        <v>46</v>
      </c>
      <c r="E64" t="s">
        <v>47</v>
      </c>
      <c r="F64" t="s">
        <v>48</v>
      </c>
      <c r="G64" t="s">
        <v>49</v>
      </c>
      <c r="H64" t="s">
        <v>69</v>
      </c>
      <c r="I64" t="s">
        <v>70</v>
      </c>
      <c r="J64" t="s">
        <v>71</v>
      </c>
      <c r="K64" t="s">
        <v>66</v>
      </c>
      <c r="L64" t="s">
        <v>72</v>
      </c>
      <c r="M64" t="s">
        <v>50</v>
      </c>
      <c r="N64" t="s">
        <v>73</v>
      </c>
      <c r="O64" t="s">
        <v>51</v>
      </c>
      <c r="P64" t="s">
        <v>52</v>
      </c>
      <c r="Q64" t="s">
        <v>53</v>
      </c>
    </row>
    <row r="65" spans="1:18" x14ac:dyDescent="0.25">
      <c r="A65" s="1" t="s">
        <v>54</v>
      </c>
      <c r="B65">
        <v>152</v>
      </c>
      <c r="C65">
        <v>243</v>
      </c>
      <c r="D65">
        <v>395</v>
      </c>
      <c r="E65">
        <v>50</v>
      </c>
      <c r="F65">
        <v>341</v>
      </c>
      <c r="G65">
        <v>0</v>
      </c>
      <c r="H65">
        <v>5</v>
      </c>
      <c r="I65">
        <v>0</v>
      </c>
      <c r="J65">
        <v>0</v>
      </c>
      <c r="K65">
        <v>39</v>
      </c>
      <c r="L65">
        <v>0</v>
      </c>
      <c r="M65">
        <v>0</v>
      </c>
      <c r="N65">
        <v>4</v>
      </c>
      <c r="O65">
        <v>3</v>
      </c>
      <c r="P65">
        <v>3</v>
      </c>
      <c r="Q65">
        <v>261</v>
      </c>
    </row>
    <row r="66" spans="1:18" x14ac:dyDescent="0.25">
      <c r="A66" s="1" t="s">
        <v>55</v>
      </c>
      <c r="B66">
        <v>277</v>
      </c>
      <c r="C66">
        <v>132</v>
      </c>
      <c r="D66">
        <v>409</v>
      </c>
      <c r="E66">
        <v>28</v>
      </c>
      <c r="F66">
        <v>380</v>
      </c>
      <c r="G66">
        <v>0</v>
      </c>
      <c r="H66">
        <v>0</v>
      </c>
      <c r="I66">
        <v>0</v>
      </c>
      <c r="J66">
        <v>0</v>
      </c>
      <c r="K66">
        <v>28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</row>
    <row r="67" spans="1:18" x14ac:dyDescent="0.25">
      <c r="A67" s="1" t="s">
        <v>56</v>
      </c>
      <c r="B67">
        <v>134</v>
      </c>
      <c r="C67">
        <v>244</v>
      </c>
      <c r="D67">
        <v>378</v>
      </c>
      <c r="E67">
        <v>146</v>
      </c>
      <c r="F67">
        <v>228</v>
      </c>
      <c r="G67">
        <v>4</v>
      </c>
      <c r="H67">
        <v>0</v>
      </c>
      <c r="I67">
        <v>4</v>
      </c>
      <c r="J67">
        <v>0</v>
      </c>
      <c r="K67">
        <v>22</v>
      </c>
      <c r="L67">
        <v>0</v>
      </c>
      <c r="M67">
        <v>110</v>
      </c>
      <c r="N67">
        <v>4</v>
      </c>
      <c r="O67">
        <v>4</v>
      </c>
      <c r="P67">
        <v>2</v>
      </c>
      <c r="Q67">
        <v>53</v>
      </c>
    </row>
    <row r="68" spans="1:18" x14ac:dyDescent="0.25">
      <c r="A68" s="1" t="s">
        <v>57</v>
      </c>
      <c r="B68">
        <v>341</v>
      </c>
      <c r="C68">
        <v>399</v>
      </c>
      <c r="D68">
        <v>740</v>
      </c>
      <c r="E68">
        <v>4</v>
      </c>
      <c r="F68">
        <v>728</v>
      </c>
      <c r="G68">
        <v>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8</v>
      </c>
      <c r="O68">
        <v>0</v>
      </c>
      <c r="P68">
        <v>2</v>
      </c>
      <c r="Q68">
        <v>715</v>
      </c>
    </row>
    <row r="69" spans="1:18" x14ac:dyDescent="0.25">
      <c r="A69" s="1" t="s">
        <v>58</v>
      </c>
      <c r="B69">
        <v>372</v>
      </c>
      <c r="C69">
        <v>328</v>
      </c>
      <c r="D69">
        <v>700</v>
      </c>
      <c r="E69">
        <v>223</v>
      </c>
      <c r="F69">
        <v>466</v>
      </c>
      <c r="G69">
        <v>0</v>
      </c>
      <c r="H69">
        <v>2</v>
      </c>
      <c r="I69">
        <v>2</v>
      </c>
      <c r="J69">
        <v>0</v>
      </c>
      <c r="K69">
        <v>100</v>
      </c>
      <c r="L69">
        <v>0</v>
      </c>
      <c r="M69">
        <v>0</v>
      </c>
      <c r="N69">
        <v>11</v>
      </c>
      <c r="O69">
        <v>106</v>
      </c>
      <c r="P69">
        <v>13</v>
      </c>
      <c r="Q69">
        <v>331</v>
      </c>
    </row>
    <row r="70" spans="1:18" x14ac:dyDescent="0.25">
      <c r="A70" s="1" t="s">
        <v>59</v>
      </c>
      <c r="B70">
        <v>304</v>
      </c>
      <c r="C70">
        <v>220</v>
      </c>
      <c r="D70">
        <v>524</v>
      </c>
      <c r="E70">
        <v>56</v>
      </c>
      <c r="F70">
        <v>463</v>
      </c>
      <c r="G70">
        <v>0</v>
      </c>
      <c r="H70">
        <v>0</v>
      </c>
      <c r="I70">
        <v>0</v>
      </c>
      <c r="J70">
        <v>0</v>
      </c>
      <c r="K70">
        <v>51</v>
      </c>
      <c r="L70">
        <v>0</v>
      </c>
      <c r="M70">
        <v>0</v>
      </c>
      <c r="N70">
        <v>5</v>
      </c>
      <c r="O70">
        <v>0</v>
      </c>
      <c r="P70">
        <v>5</v>
      </c>
      <c r="Q70">
        <v>448</v>
      </c>
    </row>
    <row r="71" spans="1:18" x14ac:dyDescent="0.25">
      <c r="A71" s="1" t="s">
        <v>60</v>
      </c>
      <c r="B71">
        <v>331</v>
      </c>
      <c r="C71">
        <v>324</v>
      </c>
      <c r="D71">
        <v>655</v>
      </c>
      <c r="E71">
        <v>109</v>
      </c>
      <c r="F71">
        <v>533</v>
      </c>
      <c r="G71">
        <v>0</v>
      </c>
      <c r="H71">
        <v>0</v>
      </c>
      <c r="I71">
        <v>0</v>
      </c>
      <c r="J71">
        <v>0</v>
      </c>
      <c r="K71">
        <v>37</v>
      </c>
      <c r="L71">
        <v>0</v>
      </c>
      <c r="M71">
        <v>0</v>
      </c>
      <c r="N71">
        <v>13</v>
      </c>
      <c r="O71">
        <v>70</v>
      </c>
      <c r="P71">
        <v>2</v>
      </c>
      <c r="Q71">
        <v>520</v>
      </c>
    </row>
    <row r="72" spans="1:18" x14ac:dyDescent="0.25">
      <c r="A72" s="1" t="s">
        <v>61</v>
      </c>
      <c r="B72">
        <v>1911</v>
      </c>
      <c r="C72">
        <v>1890</v>
      </c>
      <c r="D72">
        <v>3801</v>
      </c>
      <c r="E72">
        <v>616</v>
      </c>
      <c r="F72">
        <v>3139</v>
      </c>
      <c r="G72">
        <v>6</v>
      </c>
      <c r="H72">
        <v>7</v>
      </c>
      <c r="I72">
        <v>6</v>
      </c>
      <c r="J72">
        <v>0</v>
      </c>
      <c r="K72">
        <v>277</v>
      </c>
      <c r="L72">
        <v>0</v>
      </c>
      <c r="M72">
        <v>110</v>
      </c>
      <c r="N72">
        <v>46</v>
      </c>
      <c r="O72">
        <v>183</v>
      </c>
      <c r="P72">
        <v>27</v>
      </c>
      <c r="Q72">
        <v>2328</v>
      </c>
    </row>
    <row r="74" spans="1:18" x14ac:dyDescent="0.25">
      <c r="A74" s="1" t="s">
        <v>67</v>
      </c>
    </row>
    <row r="76" spans="1:18" x14ac:dyDescent="0.25">
      <c r="A76" s="2" t="s">
        <v>43</v>
      </c>
      <c r="B76" s="2" t="s">
        <v>44</v>
      </c>
      <c r="C76" t="s">
        <v>45</v>
      </c>
      <c r="D76" t="s">
        <v>46</v>
      </c>
      <c r="E76" t="s">
        <v>47</v>
      </c>
      <c r="F76" t="s">
        <v>48</v>
      </c>
      <c r="G76" t="s">
        <v>49</v>
      </c>
      <c r="H76" t="s">
        <v>69</v>
      </c>
      <c r="I76" t="s">
        <v>70</v>
      </c>
      <c r="J76" t="s">
        <v>71</v>
      </c>
      <c r="K76" t="s">
        <v>66</v>
      </c>
      <c r="L76" t="s">
        <v>72</v>
      </c>
      <c r="M76" t="s">
        <v>50</v>
      </c>
      <c r="N76" t="s">
        <v>117</v>
      </c>
      <c r="O76" t="s">
        <v>73</v>
      </c>
      <c r="P76" t="s">
        <v>51</v>
      </c>
      <c r="Q76" t="s">
        <v>52</v>
      </c>
      <c r="R76" t="s">
        <v>53</v>
      </c>
    </row>
    <row r="77" spans="1:18" x14ac:dyDescent="0.25">
      <c r="A77" s="1" t="s">
        <v>54</v>
      </c>
      <c r="B77">
        <v>191</v>
      </c>
      <c r="C77">
        <v>300</v>
      </c>
      <c r="D77">
        <v>491</v>
      </c>
      <c r="E77">
        <v>87</v>
      </c>
      <c r="F77">
        <v>402</v>
      </c>
      <c r="G77">
        <v>2</v>
      </c>
      <c r="H77">
        <v>0</v>
      </c>
      <c r="I77">
        <v>0</v>
      </c>
      <c r="J77">
        <v>0</v>
      </c>
      <c r="K77">
        <v>19</v>
      </c>
      <c r="L77">
        <v>0</v>
      </c>
      <c r="M77">
        <v>60</v>
      </c>
      <c r="N77">
        <v>0</v>
      </c>
      <c r="O77">
        <v>2</v>
      </c>
      <c r="P77">
        <v>2</v>
      </c>
      <c r="Q77">
        <v>4</v>
      </c>
      <c r="R77">
        <v>247</v>
      </c>
    </row>
    <row r="78" spans="1:18" x14ac:dyDescent="0.25">
      <c r="A78" s="1" t="s">
        <v>55</v>
      </c>
      <c r="B78">
        <v>299</v>
      </c>
      <c r="C78">
        <v>89</v>
      </c>
      <c r="D78">
        <v>388</v>
      </c>
      <c r="E78">
        <v>0</v>
      </c>
      <c r="F78">
        <v>388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25">
      <c r="A79" s="1" t="s">
        <v>56</v>
      </c>
      <c r="B79">
        <v>248</v>
      </c>
      <c r="C79">
        <v>225</v>
      </c>
      <c r="D79">
        <v>473</v>
      </c>
      <c r="E79">
        <v>252</v>
      </c>
      <c r="F79">
        <v>218</v>
      </c>
      <c r="G79">
        <v>0</v>
      </c>
      <c r="H79">
        <v>8</v>
      </c>
      <c r="I79">
        <v>0</v>
      </c>
      <c r="J79">
        <v>0</v>
      </c>
      <c r="K79">
        <v>24</v>
      </c>
      <c r="L79">
        <v>0</v>
      </c>
      <c r="M79">
        <v>206</v>
      </c>
      <c r="N79">
        <v>0</v>
      </c>
      <c r="O79">
        <v>3</v>
      </c>
      <c r="P79">
        <v>1</v>
      </c>
      <c r="Q79">
        <v>13</v>
      </c>
      <c r="R79">
        <v>172</v>
      </c>
    </row>
    <row r="80" spans="1:18" x14ac:dyDescent="0.25">
      <c r="A80" s="1" t="s">
        <v>57</v>
      </c>
      <c r="B80">
        <v>282</v>
      </c>
      <c r="C80">
        <v>276</v>
      </c>
      <c r="D80">
        <v>558</v>
      </c>
      <c r="E80">
        <v>1</v>
      </c>
      <c r="F80">
        <v>553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4</v>
      </c>
      <c r="P80">
        <v>0</v>
      </c>
      <c r="Q80">
        <v>0</v>
      </c>
      <c r="R80">
        <v>541</v>
      </c>
    </row>
    <row r="81" spans="1:18" x14ac:dyDescent="0.25">
      <c r="A81" s="1" t="s">
        <v>58</v>
      </c>
      <c r="B81">
        <v>339</v>
      </c>
      <c r="C81">
        <v>260</v>
      </c>
      <c r="D81">
        <v>599</v>
      </c>
      <c r="E81">
        <v>115</v>
      </c>
      <c r="F81">
        <v>475</v>
      </c>
      <c r="G81">
        <v>2</v>
      </c>
      <c r="H81">
        <v>1</v>
      </c>
      <c r="I81">
        <v>1</v>
      </c>
      <c r="J81">
        <v>1</v>
      </c>
      <c r="K81">
        <v>78</v>
      </c>
      <c r="L81">
        <v>0</v>
      </c>
      <c r="M81">
        <v>4</v>
      </c>
      <c r="N81">
        <v>0</v>
      </c>
      <c r="O81">
        <v>9</v>
      </c>
      <c r="P81">
        <v>15</v>
      </c>
      <c r="Q81">
        <v>13</v>
      </c>
      <c r="R81">
        <v>287</v>
      </c>
    </row>
    <row r="82" spans="1:18" x14ac:dyDescent="0.25">
      <c r="A82" s="1" t="s">
        <v>59</v>
      </c>
      <c r="B82">
        <v>370</v>
      </c>
      <c r="C82">
        <v>272</v>
      </c>
      <c r="D82">
        <v>642</v>
      </c>
      <c r="E82">
        <v>15</v>
      </c>
      <c r="F82">
        <v>624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12</v>
      </c>
      <c r="N82">
        <v>0</v>
      </c>
      <c r="O82">
        <v>3</v>
      </c>
      <c r="P82">
        <v>0</v>
      </c>
      <c r="Q82">
        <v>3</v>
      </c>
      <c r="R82">
        <v>607</v>
      </c>
    </row>
    <row r="83" spans="1:18" x14ac:dyDescent="0.25">
      <c r="A83" s="1" t="s">
        <v>60</v>
      </c>
      <c r="B83">
        <v>431</v>
      </c>
      <c r="C83">
        <v>402</v>
      </c>
      <c r="D83">
        <v>833</v>
      </c>
      <c r="E83">
        <v>84</v>
      </c>
      <c r="F83">
        <v>736</v>
      </c>
      <c r="G83">
        <v>1</v>
      </c>
      <c r="H83">
        <v>0</v>
      </c>
      <c r="I83">
        <v>4</v>
      </c>
      <c r="J83">
        <v>0</v>
      </c>
      <c r="K83">
        <v>70</v>
      </c>
      <c r="L83">
        <v>0</v>
      </c>
      <c r="M83">
        <v>0</v>
      </c>
      <c r="N83">
        <v>0</v>
      </c>
      <c r="O83">
        <v>13</v>
      </c>
      <c r="P83">
        <v>0</v>
      </c>
      <c r="Q83">
        <v>9</v>
      </c>
      <c r="R83">
        <v>644</v>
      </c>
    </row>
    <row r="84" spans="1:18" x14ac:dyDescent="0.25">
      <c r="A84" s="1" t="s">
        <v>61</v>
      </c>
      <c r="B84">
        <v>2160</v>
      </c>
      <c r="C84">
        <v>1824</v>
      </c>
      <c r="D84">
        <v>3984</v>
      </c>
      <c r="E84">
        <v>554</v>
      </c>
      <c r="F84">
        <v>3396</v>
      </c>
      <c r="G84">
        <v>6</v>
      </c>
      <c r="H84">
        <v>9</v>
      </c>
      <c r="I84">
        <v>5</v>
      </c>
      <c r="J84">
        <v>1</v>
      </c>
      <c r="K84">
        <v>191</v>
      </c>
      <c r="L84">
        <v>0</v>
      </c>
      <c r="M84">
        <v>282</v>
      </c>
      <c r="N84">
        <v>0</v>
      </c>
      <c r="O84">
        <v>34</v>
      </c>
      <c r="P84">
        <v>18</v>
      </c>
      <c r="Q84">
        <v>42</v>
      </c>
      <c r="R84">
        <v>2498</v>
      </c>
    </row>
    <row r="86" spans="1:18" x14ac:dyDescent="0.25">
      <c r="A86" s="1" t="s">
        <v>75</v>
      </c>
    </row>
    <row r="88" spans="1:18" x14ac:dyDescent="0.25">
      <c r="A88" s="2" t="s">
        <v>43</v>
      </c>
      <c r="B88" s="2" t="s">
        <v>44</v>
      </c>
      <c r="C88" t="s">
        <v>45</v>
      </c>
      <c r="D88" t="s">
        <v>46</v>
      </c>
      <c r="E88" t="s">
        <v>47</v>
      </c>
      <c r="F88" t="s">
        <v>48</v>
      </c>
      <c r="G88" t="s">
        <v>49</v>
      </c>
      <c r="H88" t="s">
        <v>69</v>
      </c>
      <c r="I88" t="s">
        <v>70</v>
      </c>
      <c r="J88" t="s">
        <v>71</v>
      </c>
      <c r="K88" t="s">
        <v>66</v>
      </c>
      <c r="L88" t="s">
        <v>72</v>
      </c>
      <c r="M88" t="s">
        <v>50</v>
      </c>
      <c r="N88" t="s">
        <v>117</v>
      </c>
      <c r="O88" t="s">
        <v>73</v>
      </c>
      <c r="P88" t="s">
        <v>51</v>
      </c>
      <c r="Q88" t="s">
        <v>52</v>
      </c>
      <c r="R88" t="s">
        <v>53</v>
      </c>
    </row>
    <row r="89" spans="1:18" x14ac:dyDescent="0.25">
      <c r="A89" s="1" t="s">
        <v>54</v>
      </c>
      <c r="B89">
        <v>159</v>
      </c>
      <c r="C89">
        <v>218</v>
      </c>
      <c r="D89">
        <v>377</v>
      </c>
      <c r="E89">
        <v>63</v>
      </c>
      <c r="F89">
        <v>311</v>
      </c>
      <c r="G89">
        <v>0</v>
      </c>
      <c r="H89">
        <v>1</v>
      </c>
      <c r="I89">
        <v>0</v>
      </c>
      <c r="J89">
        <v>3</v>
      </c>
      <c r="K89">
        <v>40</v>
      </c>
      <c r="L89">
        <v>0</v>
      </c>
      <c r="M89">
        <v>0</v>
      </c>
      <c r="N89">
        <v>0</v>
      </c>
      <c r="O89">
        <v>3</v>
      </c>
      <c r="P89">
        <v>0</v>
      </c>
      <c r="Q89">
        <v>19</v>
      </c>
      <c r="R89">
        <v>204</v>
      </c>
    </row>
    <row r="90" spans="1:18" x14ac:dyDescent="0.25">
      <c r="A90" s="1" t="s">
        <v>55</v>
      </c>
      <c r="B90">
        <v>405</v>
      </c>
      <c r="C90">
        <v>135</v>
      </c>
      <c r="D90">
        <v>540</v>
      </c>
      <c r="E90">
        <v>7</v>
      </c>
      <c r="F90">
        <v>527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6</v>
      </c>
      <c r="P90">
        <v>0</v>
      </c>
      <c r="Q90">
        <v>7</v>
      </c>
      <c r="R90">
        <v>0</v>
      </c>
    </row>
    <row r="91" spans="1:18" x14ac:dyDescent="0.25">
      <c r="A91" s="1" t="s">
        <v>56</v>
      </c>
      <c r="B91">
        <v>265</v>
      </c>
      <c r="C91">
        <v>278</v>
      </c>
      <c r="D91">
        <v>543</v>
      </c>
      <c r="E91">
        <v>297</v>
      </c>
      <c r="F91">
        <v>246</v>
      </c>
      <c r="G91">
        <v>4</v>
      </c>
      <c r="H91">
        <v>0</v>
      </c>
      <c r="I91">
        <v>0</v>
      </c>
      <c r="J91">
        <v>0</v>
      </c>
      <c r="K91">
        <v>25</v>
      </c>
      <c r="L91">
        <v>0</v>
      </c>
      <c r="M91">
        <v>261</v>
      </c>
      <c r="N91">
        <v>0</v>
      </c>
      <c r="O91">
        <v>0</v>
      </c>
      <c r="P91">
        <v>0</v>
      </c>
      <c r="Q91">
        <v>7</v>
      </c>
      <c r="R91">
        <v>27</v>
      </c>
    </row>
    <row r="92" spans="1:18" x14ac:dyDescent="0.25">
      <c r="A92" s="1" t="s">
        <v>57</v>
      </c>
      <c r="B92">
        <v>362</v>
      </c>
      <c r="C92">
        <v>370</v>
      </c>
      <c r="D92">
        <v>732</v>
      </c>
      <c r="E92">
        <v>5</v>
      </c>
      <c r="F92">
        <v>719</v>
      </c>
      <c r="G92">
        <v>1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8</v>
      </c>
      <c r="P92">
        <v>0</v>
      </c>
      <c r="Q92">
        <v>3</v>
      </c>
      <c r="R92">
        <v>709</v>
      </c>
    </row>
    <row r="93" spans="1:18" x14ac:dyDescent="0.25">
      <c r="A93" s="1" t="s">
        <v>58</v>
      </c>
      <c r="B93">
        <v>310</v>
      </c>
      <c r="C93">
        <v>250</v>
      </c>
      <c r="D93">
        <v>560</v>
      </c>
      <c r="E93">
        <v>241</v>
      </c>
      <c r="F93">
        <v>317</v>
      </c>
      <c r="G93">
        <v>1</v>
      </c>
      <c r="H93">
        <v>0</v>
      </c>
      <c r="I93">
        <v>5</v>
      </c>
      <c r="J93">
        <v>1</v>
      </c>
      <c r="K93">
        <v>74</v>
      </c>
      <c r="L93">
        <v>0</v>
      </c>
      <c r="M93">
        <v>88</v>
      </c>
      <c r="N93">
        <v>0</v>
      </c>
      <c r="O93">
        <v>2</v>
      </c>
      <c r="P93">
        <v>62</v>
      </c>
      <c r="Q93">
        <v>10</v>
      </c>
      <c r="R93">
        <v>279</v>
      </c>
    </row>
    <row r="94" spans="1:18" x14ac:dyDescent="0.25">
      <c r="A94" s="1" t="s">
        <v>59</v>
      </c>
      <c r="B94">
        <v>307</v>
      </c>
      <c r="C94">
        <v>225</v>
      </c>
      <c r="D94">
        <v>532</v>
      </c>
      <c r="E94">
        <v>3</v>
      </c>
      <c r="F94">
        <v>526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3</v>
      </c>
      <c r="P94">
        <v>0</v>
      </c>
      <c r="Q94">
        <v>3</v>
      </c>
      <c r="R94">
        <v>491</v>
      </c>
    </row>
    <row r="95" spans="1:18" x14ac:dyDescent="0.25">
      <c r="A95" s="1" t="s">
        <v>60</v>
      </c>
      <c r="B95">
        <v>358</v>
      </c>
      <c r="C95">
        <v>350</v>
      </c>
      <c r="D95">
        <v>708</v>
      </c>
      <c r="E95">
        <v>151</v>
      </c>
      <c r="F95">
        <v>552</v>
      </c>
      <c r="G95">
        <v>0</v>
      </c>
      <c r="H95">
        <v>0</v>
      </c>
      <c r="I95">
        <v>0</v>
      </c>
      <c r="J95">
        <v>0</v>
      </c>
      <c r="K95">
        <v>81</v>
      </c>
      <c r="L95">
        <v>0</v>
      </c>
      <c r="M95">
        <v>0</v>
      </c>
      <c r="N95">
        <v>0</v>
      </c>
      <c r="O95">
        <v>5</v>
      </c>
      <c r="P95">
        <v>61</v>
      </c>
      <c r="Q95">
        <v>9</v>
      </c>
      <c r="R95">
        <v>586</v>
      </c>
    </row>
    <row r="96" spans="1:18" x14ac:dyDescent="0.25">
      <c r="A96" s="1" t="s">
        <v>61</v>
      </c>
      <c r="B96">
        <v>2166</v>
      </c>
      <c r="C96">
        <v>1826</v>
      </c>
      <c r="D96">
        <v>3992</v>
      </c>
      <c r="E96">
        <v>767</v>
      </c>
      <c r="F96">
        <v>3198</v>
      </c>
      <c r="G96">
        <v>6</v>
      </c>
      <c r="H96">
        <v>1</v>
      </c>
      <c r="I96">
        <v>5</v>
      </c>
      <c r="J96">
        <v>4</v>
      </c>
      <c r="K96">
        <v>221</v>
      </c>
      <c r="L96">
        <v>0</v>
      </c>
      <c r="M96">
        <v>349</v>
      </c>
      <c r="N96">
        <v>0</v>
      </c>
      <c r="O96">
        <v>27</v>
      </c>
      <c r="P96">
        <v>123</v>
      </c>
      <c r="Q96">
        <v>58</v>
      </c>
      <c r="R96">
        <v>2296</v>
      </c>
    </row>
    <row r="98" spans="1:18" x14ac:dyDescent="0.25">
      <c r="A98" s="1" t="s">
        <v>106</v>
      </c>
    </row>
    <row r="100" spans="1:18" x14ac:dyDescent="0.25">
      <c r="A100" s="2" t="s">
        <v>43</v>
      </c>
      <c r="B100" s="2" t="s">
        <v>44</v>
      </c>
      <c r="C100" t="s">
        <v>45</v>
      </c>
      <c r="D100" t="s">
        <v>46</v>
      </c>
      <c r="E100" t="s">
        <v>47</v>
      </c>
      <c r="F100" t="s">
        <v>48</v>
      </c>
      <c r="G100" t="s">
        <v>49</v>
      </c>
      <c r="H100" t="s">
        <v>69</v>
      </c>
      <c r="I100" t="s">
        <v>70</v>
      </c>
      <c r="J100" t="s">
        <v>71</v>
      </c>
      <c r="K100" t="s">
        <v>66</v>
      </c>
      <c r="L100" t="s">
        <v>72</v>
      </c>
      <c r="M100" t="s">
        <v>50</v>
      </c>
      <c r="N100" t="s">
        <v>117</v>
      </c>
      <c r="O100" t="s">
        <v>73</v>
      </c>
      <c r="P100" t="s">
        <v>51</v>
      </c>
      <c r="Q100" t="s">
        <v>52</v>
      </c>
      <c r="R100" t="s">
        <v>53</v>
      </c>
    </row>
    <row r="101" spans="1:18" x14ac:dyDescent="0.25">
      <c r="A101" s="1" t="s">
        <v>54</v>
      </c>
      <c r="B101">
        <v>144</v>
      </c>
      <c r="C101">
        <v>292</v>
      </c>
      <c r="D101">
        <v>436</v>
      </c>
      <c r="E101">
        <v>75</v>
      </c>
      <c r="F101">
        <v>361</v>
      </c>
      <c r="G101">
        <v>0</v>
      </c>
      <c r="H101">
        <v>0</v>
      </c>
      <c r="I101">
        <v>2</v>
      </c>
      <c r="J101">
        <v>0</v>
      </c>
      <c r="K101">
        <v>25</v>
      </c>
      <c r="L101">
        <v>0</v>
      </c>
      <c r="M101">
        <v>0</v>
      </c>
      <c r="N101">
        <v>20</v>
      </c>
      <c r="O101">
        <v>0</v>
      </c>
      <c r="P101">
        <v>4</v>
      </c>
      <c r="Q101">
        <v>24</v>
      </c>
      <c r="R101">
        <v>230</v>
      </c>
    </row>
    <row r="102" spans="1:18" x14ac:dyDescent="0.25">
      <c r="A102" s="1" t="s">
        <v>55</v>
      </c>
      <c r="B102">
        <v>332</v>
      </c>
      <c r="C102">
        <v>97</v>
      </c>
      <c r="D102">
        <v>429</v>
      </c>
      <c r="E102">
        <v>0</v>
      </c>
      <c r="F102">
        <v>429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25">
      <c r="A103" s="1" t="s">
        <v>56</v>
      </c>
      <c r="B103">
        <v>301</v>
      </c>
      <c r="C103">
        <v>242</v>
      </c>
      <c r="D103">
        <v>543</v>
      </c>
      <c r="E103">
        <v>299</v>
      </c>
      <c r="F103">
        <v>244</v>
      </c>
      <c r="G103">
        <v>0</v>
      </c>
      <c r="H103">
        <v>6</v>
      </c>
      <c r="I103">
        <v>0</v>
      </c>
      <c r="J103">
        <v>0</v>
      </c>
      <c r="K103">
        <v>16</v>
      </c>
      <c r="L103">
        <v>0</v>
      </c>
      <c r="M103">
        <v>245</v>
      </c>
      <c r="N103">
        <v>24</v>
      </c>
      <c r="O103">
        <v>0</v>
      </c>
      <c r="P103">
        <v>4</v>
      </c>
      <c r="Q103">
        <v>4</v>
      </c>
      <c r="R103">
        <v>27</v>
      </c>
    </row>
    <row r="104" spans="1:18" x14ac:dyDescent="0.25">
      <c r="A104" s="1" t="s">
        <v>57</v>
      </c>
      <c r="B104">
        <v>297</v>
      </c>
      <c r="C104">
        <v>317</v>
      </c>
      <c r="D104">
        <v>614</v>
      </c>
      <c r="E104">
        <v>9</v>
      </c>
      <c r="F104">
        <v>605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9</v>
      </c>
      <c r="R104">
        <v>589</v>
      </c>
    </row>
    <row r="105" spans="1:18" x14ac:dyDescent="0.25">
      <c r="A105" s="1" t="s">
        <v>58</v>
      </c>
      <c r="B105">
        <v>424</v>
      </c>
      <c r="C105">
        <v>313</v>
      </c>
      <c r="D105">
        <v>737</v>
      </c>
      <c r="E105">
        <v>149</v>
      </c>
      <c r="F105">
        <v>588</v>
      </c>
      <c r="G105">
        <v>6</v>
      </c>
      <c r="H105">
        <v>3</v>
      </c>
      <c r="I105">
        <v>0</v>
      </c>
      <c r="J105">
        <v>0</v>
      </c>
      <c r="K105">
        <v>102</v>
      </c>
      <c r="L105">
        <v>0</v>
      </c>
      <c r="M105">
        <v>0</v>
      </c>
      <c r="N105">
        <v>0</v>
      </c>
      <c r="O105">
        <v>0</v>
      </c>
      <c r="P105">
        <v>10</v>
      </c>
      <c r="Q105">
        <v>28</v>
      </c>
      <c r="R105">
        <v>383</v>
      </c>
    </row>
    <row r="106" spans="1:18" x14ac:dyDescent="0.25">
      <c r="A106" s="1" t="s">
        <v>59</v>
      </c>
      <c r="B106">
        <v>409</v>
      </c>
      <c r="C106">
        <v>252</v>
      </c>
      <c r="D106">
        <v>661</v>
      </c>
      <c r="E106">
        <v>19</v>
      </c>
      <c r="F106">
        <v>642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19</v>
      </c>
      <c r="R106">
        <v>475</v>
      </c>
    </row>
    <row r="107" spans="1:18" x14ac:dyDescent="0.25">
      <c r="A107" s="1" t="s">
        <v>60</v>
      </c>
      <c r="B107">
        <v>330</v>
      </c>
      <c r="C107">
        <v>313</v>
      </c>
      <c r="D107">
        <v>643</v>
      </c>
      <c r="E107">
        <v>135</v>
      </c>
      <c r="F107">
        <v>508</v>
      </c>
      <c r="G107">
        <v>1</v>
      </c>
      <c r="H107">
        <v>0</v>
      </c>
      <c r="I107">
        <v>0</v>
      </c>
      <c r="J107">
        <v>0</v>
      </c>
      <c r="K107">
        <v>61</v>
      </c>
      <c r="L107">
        <v>0</v>
      </c>
      <c r="M107">
        <v>0</v>
      </c>
      <c r="N107">
        <v>56</v>
      </c>
      <c r="O107">
        <v>0</v>
      </c>
      <c r="P107">
        <v>0</v>
      </c>
      <c r="Q107">
        <v>17</v>
      </c>
      <c r="R107">
        <v>514</v>
      </c>
    </row>
    <row r="108" spans="1:18" x14ac:dyDescent="0.25">
      <c r="A108" s="1" t="s">
        <v>61</v>
      </c>
      <c r="B108">
        <v>2237</v>
      </c>
      <c r="C108">
        <v>1826</v>
      </c>
      <c r="D108">
        <v>4063</v>
      </c>
      <c r="E108">
        <v>686</v>
      </c>
      <c r="F108">
        <v>3377</v>
      </c>
      <c r="G108">
        <v>7</v>
      </c>
      <c r="H108">
        <v>9</v>
      </c>
      <c r="I108">
        <v>2</v>
      </c>
      <c r="J108">
        <v>0</v>
      </c>
      <c r="K108">
        <v>204</v>
      </c>
      <c r="L108">
        <v>0</v>
      </c>
      <c r="M108">
        <v>245</v>
      </c>
      <c r="N108">
        <v>100</v>
      </c>
      <c r="O108">
        <v>0</v>
      </c>
      <c r="P108">
        <v>18</v>
      </c>
      <c r="Q108">
        <v>101</v>
      </c>
      <c r="R108">
        <v>2218</v>
      </c>
    </row>
    <row r="110" spans="1:18" x14ac:dyDescent="0.25">
      <c r="A110" s="1" t="s">
        <v>107</v>
      </c>
    </row>
    <row r="112" spans="1:18" x14ac:dyDescent="0.25">
      <c r="A112" s="2" t="s">
        <v>43</v>
      </c>
      <c r="B112" s="2" t="s">
        <v>44</v>
      </c>
      <c r="C112" t="s">
        <v>45</v>
      </c>
      <c r="D112" t="s">
        <v>46</v>
      </c>
      <c r="E112" t="s">
        <v>47</v>
      </c>
      <c r="F112" t="s">
        <v>48</v>
      </c>
      <c r="G112" t="s">
        <v>49</v>
      </c>
      <c r="H112" t="s">
        <v>69</v>
      </c>
      <c r="I112" t="s">
        <v>70</v>
      </c>
      <c r="J112" t="s">
        <v>71</v>
      </c>
      <c r="K112" t="s">
        <v>66</v>
      </c>
      <c r="L112" t="s">
        <v>72</v>
      </c>
      <c r="M112" t="s">
        <v>50</v>
      </c>
      <c r="N112" t="s">
        <v>117</v>
      </c>
      <c r="O112" t="s">
        <v>73</v>
      </c>
      <c r="P112" t="s">
        <v>51</v>
      </c>
      <c r="Q112" t="s">
        <v>52</v>
      </c>
      <c r="R112" t="s">
        <v>53</v>
      </c>
    </row>
    <row r="113" spans="1:18" x14ac:dyDescent="0.25">
      <c r="A113" s="1" t="s">
        <v>54</v>
      </c>
      <c r="B113">
        <v>200</v>
      </c>
      <c r="C113">
        <v>306</v>
      </c>
      <c r="D113">
        <v>506</v>
      </c>
      <c r="E113">
        <v>157</v>
      </c>
      <c r="F113">
        <v>349</v>
      </c>
      <c r="G113">
        <v>0</v>
      </c>
      <c r="H113">
        <v>8</v>
      </c>
      <c r="I113">
        <v>15</v>
      </c>
      <c r="J113">
        <v>0</v>
      </c>
      <c r="K113">
        <v>24</v>
      </c>
      <c r="L113">
        <v>2</v>
      </c>
      <c r="M113">
        <v>0</v>
      </c>
      <c r="N113">
        <v>90</v>
      </c>
      <c r="O113">
        <v>0</v>
      </c>
      <c r="P113">
        <v>4</v>
      </c>
      <c r="Q113">
        <v>14</v>
      </c>
      <c r="R113">
        <v>205</v>
      </c>
    </row>
    <row r="114" spans="1:18" x14ac:dyDescent="0.25">
      <c r="A114" s="1" t="s">
        <v>55</v>
      </c>
      <c r="B114">
        <v>456</v>
      </c>
      <c r="C114">
        <v>164</v>
      </c>
      <c r="D114">
        <v>620</v>
      </c>
      <c r="E114">
        <v>55</v>
      </c>
      <c r="F114">
        <v>565</v>
      </c>
      <c r="G114">
        <v>0</v>
      </c>
      <c r="H114">
        <v>0</v>
      </c>
      <c r="I114">
        <v>0</v>
      </c>
      <c r="J114">
        <v>0</v>
      </c>
      <c r="K114">
        <v>55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25">
      <c r="A115" s="1" t="s">
        <v>56</v>
      </c>
      <c r="B115">
        <v>259</v>
      </c>
      <c r="C115">
        <v>229</v>
      </c>
      <c r="D115">
        <v>488</v>
      </c>
      <c r="E115">
        <v>253</v>
      </c>
      <c r="F115">
        <v>235</v>
      </c>
      <c r="G115">
        <v>4</v>
      </c>
      <c r="H115">
        <v>2</v>
      </c>
      <c r="I115">
        <v>10</v>
      </c>
      <c r="J115">
        <v>0</v>
      </c>
      <c r="K115">
        <v>38</v>
      </c>
      <c r="L115">
        <v>0</v>
      </c>
      <c r="M115">
        <v>172</v>
      </c>
      <c r="N115">
        <v>0</v>
      </c>
      <c r="O115">
        <v>0</v>
      </c>
      <c r="P115">
        <v>8</v>
      </c>
      <c r="Q115">
        <v>19</v>
      </c>
      <c r="R115">
        <v>32</v>
      </c>
    </row>
    <row r="116" spans="1:18" x14ac:dyDescent="0.25">
      <c r="A116" s="1" t="s">
        <v>57</v>
      </c>
      <c r="B116">
        <v>266</v>
      </c>
      <c r="C116">
        <v>244</v>
      </c>
      <c r="D116">
        <v>510</v>
      </c>
      <c r="E116">
        <v>4</v>
      </c>
      <c r="F116">
        <v>506</v>
      </c>
      <c r="G116">
        <v>0</v>
      </c>
      <c r="H116">
        <v>0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</v>
      </c>
      <c r="R116">
        <v>423</v>
      </c>
    </row>
    <row r="117" spans="1:18" x14ac:dyDescent="0.25">
      <c r="A117" s="1" t="s">
        <v>58</v>
      </c>
      <c r="B117">
        <v>358</v>
      </c>
      <c r="C117">
        <v>304</v>
      </c>
      <c r="D117">
        <v>662</v>
      </c>
      <c r="E117">
        <v>137</v>
      </c>
      <c r="F117">
        <v>525</v>
      </c>
      <c r="G117">
        <v>0</v>
      </c>
      <c r="H117">
        <v>8</v>
      </c>
      <c r="I117">
        <v>5</v>
      </c>
      <c r="J117">
        <v>0</v>
      </c>
      <c r="K117">
        <v>78</v>
      </c>
      <c r="L117">
        <v>2</v>
      </c>
      <c r="M117">
        <v>0</v>
      </c>
      <c r="N117">
        <v>24</v>
      </c>
      <c r="O117">
        <v>0</v>
      </c>
      <c r="P117">
        <v>12</v>
      </c>
      <c r="Q117">
        <v>8</v>
      </c>
      <c r="R117">
        <v>257</v>
      </c>
    </row>
    <row r="118" spans="1:18" x14ac:dyDescent="0.25">
      <c r="A118" s="1" t="s">
        <v>59</v>
      </c>
      <c r="B118">
        <v>305</v>
      </c>
      <c r="C118">
        <v>284</v>
      </c>
      <c r="D118">
        <v>589</v>
      </c>
      <c r="E118">
        <v>7</v>
      </c>
      <c r="F118">
        <v>582</v>
      </c>
      <c r="G118">
        <v>0</v>
      </c>
      <c r="H118">
        <v>0</v>
      </c>
      <c r="I118">
        <v>0</v>
      </c>
      <c r="J118">
        <v>0</v>
      </c>
      <c r="K118">
        <v>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5</v>
      </c>
      <c r="R118">
        <v>538</v>
      </c>
    </row>
    <row r="119" spans="1:18" x14ac:dyDescent="0.25">
      <c r="A119" s="1" t="s">
        <v>60</v>
      </c>
      <c r="B119">
        <v>303</v>
      </c>
      <c r="C119">
        <v>352</v>
      </c>
      <c r="D119">
        <v>655</v>
      </c>
      <c r="E119">
        <v>43</v>
      </c>
      <c r="F119">
        <v>612</v>
      </c>
      <c r="G119">
        <v>1</v>
      </c>
      <c r="H119">
        <v>0</v>
      </c>
      <c r="I119">
        <v>0</v>
      </c>
      <c r="J119">
        <v>0</v>
      </c>
      <c r="K119">
        <v>28</v>
      </c>
      <c r="L119">
        <v>0</v>
      </c>
      <c r="M119">
        <v>0</v>
      </c>
      <c r="N119">
        <v>0</v>
      </c>
      <c r="O119">
        <v>0</v>
      </c>
      <c r="P119">
        <v>2</v>
      </c>
      <c r="Q119">
        <v>12</v>
      </c>
      <c r="R119">
        <v>464</v>
      </c>
    </row>
    <row r="120" spans="1:18" x14ac:dyDescent="0.25">
      <c r="A120" s="1" t="s">
        <v>61</v>
      </c>
      <c r="B120">
        <v>2147</v>
      </c>
      <c r="C120">
        <v>1883</v>
      </c>
      <c r="D120">
        <v>4030</v>
      </c>
      <c r="E120">
        <v>656</v>
      </c>
      <c r="F120">
        <v>3374</v>
      </c>
      <c r="G120">
        <v>5</v>
      </c>
      <c r="H120">
        <v>18</v>
      </c>
      <c r="I120">
        <v>32</v>
      </c>
      <c r="J120">
        <v>0</v>
      </c>
      <c r="K120">
        <v>225</v>
      </c>
      <c r="L120">
        <v>4</v>
      </c>
      <c r="M120">
        <v>172</v>
      </c>
      <c r="N120">
        <v>114</v>
      </c>
      <c r="O120">
        <v>0</v>
      </c>
      <c r="P120">
        <v>26</v>
      </c>
      <c r="Q120">
        <v>60</v>
      </c>
      <c r="R120">
        <v>1919</v>
      </c>
    </row>
    <row r="122" spans="1:18" x14ac:dyDescent="0.25">
      <c r="A122" s="1" t="s">
        <v>108</v>
      </c>
    </row>
    <row r="124" spans="1:18" x14ac:dyDescent="0.25">
      <c r="A124" s="2" t="s">
        <v>43</v>
      </c>
      <c r="B124" s="2" t="s">
        <v>44</v>
      </c>
      <c r="C124" t="s">
        <v>45</v>
      </c>
      <c r="D124" t="s">
        <v>46</v>
      </c>
      <c r="E124" t="s">
        <v>47</v>
      </c>
      <c r="F124" t="s">
        <v>48</v>
      </c>
      <c r="G124" t="s">
        <v>49</v>
      </c>
      <c r="H124" t="s">
        <v>69</v>
      </c>
      <c r="I124" t="s">
        <v>70</v>
      </c>
      <c r="J124" t="s">
        <v>71</v>
      </c>
      <c r="K124" t="s">
        <v>66</v>
      </c>
      <c r="L124" t="s">
        <v>72</v>
      </c>
      <c r="M124" t="s">
        <v>50</v>
      </c>
      <c r="N124" t="s">
        <v>117</v>
      </c>
      <c r="O124" t="s">
        <v>73</v>
      </c>
      <c r="P124" t="s">
        <v>51</v>
      </c>
      <c r="Q124" t="s">
        <v>52</v>
      </c>
      <c r="R124" t="s">
        <v>53</v>
      </c>
    </row>
    <row r="125" spans="1:18" x14ac:dyDescent="0.25">
      <c r="A125" s="1" t="s">
        <v>54</v>
      </c>
      <c r="B125">
        <v>152</v>
      </c>
      <c r="C125">
        <v>309</v>
      </c>
      <c r="D125">
        <v>461</v>
      </c>
      <c r="E125">
        <v>115</v>
      </c>
      <c r="F125">
        <v>346</v>
      </c>
      <c r="G125">
        <v>0</v>
      </c>
      <c r="H125">
        <v>4</v>
      </c>
      <c r="I125">
        <v>28</v>
      </c>
      <c r="J125">
        <v>0</v>
      </c>
      <c r="K125">
        <v>25</v>
      </c>
      <c r="L125">
        <v>0</v>
      </c>
      <c r="M125">
        <v>0</v>
      </c>
      <c r="N125">
        <v>32</v>
      </c>
      <c r="O125">
        <v>0</v>
      </c>
      <c r="P125">
        <v>8</v>
      </c>
      <c r="Q125">
        <v>18</v>
      </c>
      <c r="R125">
        <v>243</v>
      </c>
    </row>
    <row r="126" spans="1:18" x14ac:dyDescent="0.25">
      <c r="A126" s="1" t="s">
        <v>55</v>
      </c>
      <c r="B126">
        <v>424</v>
      </c>
      <c r="C126">
        <v>108</v>
      </c>
      <c r="D126">
        <v>532</v>
      </c>
      <c r="E126">
        <v>21</v>
      </c>
      <c r="F126">
        <v>511</v>
      </c>
      <c r="G126">
        <v>0</v>
      </c>
      <c r="H126">
        <v>0</v>
      </c>
      <c r="I126">
        <v>0</v>
      </c>
      <c r="J126">
        <v>0</v>
      </c>
      <c r="K126">
        <v>17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4</v>
      </c>
      <c r="R126">
        <v>99</v>
      </c>
    </row>
    <row r="127" spans="1:18" x14ac:dyDescent="0.25">
      <c r="A127" s="1" t="s">
        <v>56</v>
      </c>
      <c r="B127">
        <v>309</v>
      </c>
      <c r="C127">
        <v>328</v>
      </c>
      <c r="D127">
        <v>637</v>
      </c>
      <c r="E127">
        <v>288</v>
      </c>
      <c r="F127">
        <v>349</v>
      </c>
      <c r="G127">
        <v>1</v>
      </c>
      <c r="H127">
        <v>6</v>
      </c>
      <c r="I127">
        <v>13</v>
      </c>
      <c r="J127">
        <v>1</v>
      </c>
      <c r="K127">
        <v>48</v>
      </c>
      <c r="L127">
        <v>3</v>
      </c>
      <c r="M127">
        <v>183</v>
      </c>
      <c r="N127">
        <v>0</v>
      </c>
      <c r="O127">
        <v>0</v>
      </c>
      <c r="P127">
        <v>12</v>
      </c>
      <c r="Q127">
        <v>21</v>
      </c>
      <c r="R127">
        <v>41</v>
      </c>
    </row>
    <row r="128" spans="1:18" x14ac:dyDescent="0.25">
      <c r="A128" s="1" t="s">
        <v>57</v>
      </c>
      <c r="B128">
        <v>397</v>
      </c>
      <c r="C128">
        <v>338</v>
      </c>
      <c r="D128">
        <v>735</v>
      </c>
      <c r="E128">
        <v>8</v>
      </c>
      <c r="F128">
        <v>727</v>
      </c>
      <c r="G128">
        <v>2</v>
      </c>
      <c r="H128">
        <v>0</v>
      </c>
      <c r="I128">
        <v>0</v>
      </c>
      <c r="J128">
        <v>0</v>
      </c>
      <c r="K128">
        <v>3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3</v>
      </c>
      <c r="R128">
        <v>692</v>
      </c>
    </row>
    <row r="129" spans="1:18" x14ac:dyDescent="0.25">
      <c r="A129" s="1" t="s">
        <v>58</v>
      </c>
      <c r="B129">
        <v>355</v>
      </c>
      <c r="C129">
        <v>367</v>
      </c>
      <c r="D129">
        <v>722</v>
      </c>
      <c r="E129">
        <v>182</v>
      </c>
      <c r="F129">
        <v>540</v>
      </c>
      <c r="G129">
        <v>0</v>
      </c>
      <c r="H129">
        <v>0</v>
      </c>
      <c r="I129">
        <v>2</v>
      </c>
      <c r="J129">
        <v>1</v>
      </c>
      <c r="K129">
        <v>111</v>
      </c>
      <c r="L129">
        <v>0</v>
      </c>
      <c r="M129">
        <v>20</v>
      </c>
      <c r="N129">
        <v>28</v>
      </c>
      <c r="O129">
        <v>0</v>
      </c>
      <c r="P129">
        <v>8</v>
      </c>
      <c r="Q129">
        <v>12</v>
      </c>
      <c r="R129">
        <v>331</v>
      </c>
    </row>
    <row r="130" spans="1:18" x14ac:dyDescent="0.25">
      <c r="A130" s="1" t="s">
        <v>59</v>
      </c>
      <c r="B130">
        <v>368</v>
      </c>
      <c r="C130">
        <v>233</v>
      </c>
      <c r="D130">
        <v>601</v>
      </c>
      <c r="E130">
        <v>4</v>
      </c>
      <c r="F130">
        <v>597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4</v>
      </c>
      <c r="R130">
        <v>522</v>
      </c>
    </row>
    <row r="131" spans="1:18" x14ac:dyDescent="0.25">
      <c r="A131" s="1" t="s">
        <v>60</v>
      </c>
      <c r="B131">
        <v>381</v>
      </c>
      <c r="C131">
        <v>348</v>
      </c>
      <c r="D131">
        <v>729</v>
      </c>
      <c r="E131">
        <v>97</v>
      </c>
      <c r="F131">
        <v>632</v>
      </c>
      <c r="G131">
        <v>0</v>
      </c>
      <c r="H131">
        <v>0</v>
      </c>
      <c r="I131">
        <v>3</v>
      </c>
      <c r="J131">
        <v>0</v>
      </c>
      <c r="K131">
        <v>67</v>
      </c>
      <c r="L131">
        <v>0</v>
      </c>
      <c r="M131">
        <v>0</v>
      </c>
      <c r="N131">
        <v>0</v>
      </c>
      <c r="O131">
        <v>0</v>
      </c>
      <c r="P131">
        <v>6</v>
      </c>
      <c r="Q131">
        <v>21</v>
      </c>
      <c r="R131">
        <v>627</v>
      </c>
    </row>
    <row r="132" spans="1:18" x14ac:dyDescent="0.25">
      <c r="A132" s="1" t="s">
        <v>61</v>
      </c>
      <c r="B132">
        <v>2386</v>
      </c>
      <c r="C132">
        <v>2031</v>
      </c>
      <c r="D132">
        <v>4417</v>
      </c>
      <c r="E132">
        <v>715</v>
      </c>
      <c r="F132">
        <v>3702</v>
      </c>
      <c r="G132">
        <v>3</v>
      </c>
      <c r="H132">
        <v>10</v>
      </c>
      <c r="I132">
        <v>46</v>
      </c>
      <c r="J132">
        <v>2</v>
      </c>
      <c r="K132">
        <v>271</v>
      </c>
      <c r="L132">
        <v>3</v>
      </c>
      <c r="M132">
        <v>203</v>
      </c>
      <c r="N132">
        <v>60</v>
      </c>
      <c r="O132">
        <v>0</v>
      </c>
      <c r="P132">
        <v>34</v>
      </c>
      <c r="Q132">
        <v>83</v>
      </c>
      <c r="R132">
        <v>2555</v>
      </c>
    </row>
    <row r="134" spans="1:18" x14ac:dyDescent="0.25">
      <c r="A134" s="1" t="s">
        <v>109</v>
      </c>
    </row>
    <row r="136" spans="1:18" x14ac:dyDescent="0.25">
      <c r="A136" s="2" t="s">
        <v>43</v>
      </c>
      <c r="B136" s="2" t="s">
        <v>44</v>
      </c>
      <c r="C136" t="s">
        <v>45</v>
      </c>
      <c r="D136" t="s">
        <v>46</v>
      </c>
      <c r="E136" t="s">
        <v>47</v>
      </c>
      <c r="F136" t="s">
        <v>48</v>
      </c>
      <c r="G136" t="s">
        <v>49</v>
      </c>
      <c r="H136" t="s">
        <v>69</v>
      </c>
      <c r="I136" t="s">
        <v>70</v>
      </c>
      <c r="J136" t="s">
        <v>71</v>
      </c>
      <c r="K136" t="s">
        <v>66</v>
      </c>
      <c r="L136" t="s">
        <v>72</v>
      </c>
      <c r="M136" t="s">
        <v>50</v>
      </c>
      <c r="N136" t="s">
        <v>117</v>
      </c>
      <c r="O136" t="s">
        <v>73</v>
      </c>
      <c r="P136" t="s">
        <v>51</v>
      </c>
      <c r="Q136" t="s">
        <v>52</v>
      </c>
      <c r="R136" t="s">
        <v>53</v>
      </c>
    </row>
    <row r="137" spans="1:18" x14ac:dyDescent="0.25">
      <c r="A137" s="1" t="s">
        <v>54</v>
      </c>
      <c r="B137">
        <v>56</v>
      </c>
      <c r="C137">
        <v>70</v>
      </c>
      <c r="D137">
        <v>126</v>
      </c>
      <c r="E137">
        <v>41</v>
      </c>
      <c r="F137">
        <v>83</v>
      </c>
      <c r="G137">
        <v>0</v>
      </c>
      <c r="H137">
        <v>0</v>
      </c>
      <c r="I137">
        <v>20</v>
      </c>
      <c r="J137">
        <v>0</v>
      </c>
      <c r="K137">
        <v>9</v>
      </c>
      <c r="L137">
        <v>0</v>
      </c>
      <c r="M137">
        <v>0</v>
      </c>
      <c r="N137">
        <v>0</v>
      </c>
      <c r="O137">
        <v>2</v>
      </c>
      <c r="P137">
        <v>8</v>
      </c>
      <c r="Q137">
        <v>4</v>
      </c>
      <c r="R137">
        <v>54</v>
      </c>
    </row>
    <row r="138" spans="1:18" x14ac:dyDescent="0.25">
      <c r="A138" s="1" t="s">
        <v>55</v>
      </c>
      <c r="B138">
        <v>270</v>
      </c>
      <c r="C138">
        <v>69</v>
      </c>
      <c r="D138">
        <v>339</v>
      </c>
      <c r="E138">
        <v>29</v>
      </c>
      <c r="F138">
        <v>307</v>
      </c>
      <c r="G138">
        <v>2</v>
      </c>
      <c r="H138">
        <v>0</v>
      </c>
      <c r="I138">
        <v>4</v>
      </c>
      <c r="J138">
        <v>0</v>
      </c>
      <c r="K138">
        <v>21</v>
      </c>
      <c r="L138">
        <v>0</v>
      </c>
      <c r="M138">
        <v>0</v>
      </c>
      <c r="N138">
        <v>0</v>
      </c>
      <c r="O138">
        <v>3</v>
      </c>
      <c r="P138">
        <v>0</v>
      </c>
      <c r="Q138">
        <v>2</v>
      </c>
      <c r="R138">
        <v>65</v>
      </c>
    </row>
    <row r="139" spans="1:18" x14ac:dyDescent="0.25">
      <c r="A139" s="1" t="s">
        <v>56</v>
      </c>
      <c r="B139">
        <v>196</v>
      </c>
      <c r="C139">
        <v>198</v>
      </c>
      <c r="D139">
        <v>394</v>
      </c>
      <c r="E139">
        <v>176</v>
      </c>
      <c r="F139">
        <v>216</v>
      </c>
      <c r="G139">
        <v>0</v>
      </c>
      <c r="H139">
        <v>0</v>
      </c>
      <c r="I139">
        <v>11</v>
      </c>
      <c r="J139">
        <v>4</v>
      </c>
      <c r="K139">
        <v>76</v>
      </c>
      <c r="L139">
        <v>0</v>
      </c>
      <c r="M139">
        <v>70</v>
      </c>
      <c r="N139">
        <v>0</v>
      </c>
      <c r="O139">
        <v>2</v>
      </c>
      <c r="P139">
        <v>9</v>
      </c>
      <c r="Q139">
        <v>6</v>
      </c>
      <c r="R139">
        <v>98</v>
      </c>
    </row>
    <row r="140" spans="1:18" x14ac:dyDescent="0.25">
      <c r="A140" s="1" t="s">
        <v>57</v>
      </c>
      <c r="B140">
        <v>335</v>
      </c>
      <c r="C140">
        <v>286</v>
      </c>
      <c r="D140">
        <v>621</v>
      </c>
      <c r="E140">
        <v>3</v>
      </c>
      <c r="F140">
        <v>612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6</v>
      </c>
      <c r="P140">
        <v>0</v>
      </c>
      <c r="Q140">
        <v>3</v>
      </c>
      <c r="R140">
        <v>598</v>
      </c>
    </row>
    <row r="141" spans="1:18" x14ac:dyDescent="0.25">
      <c r="A141" s="1" t="s">
        <v>58</v>
      </c>
      <c r="B141">
        <v>485</v>
      </c>
      <c r="C141">
        <v>416</v>
      </c>
      <c r="D141">
        <v>901</v>
      </c>
      <c r="E141">
        <v>362</v>
      </c>
      <c r="F141">
        <v>526</v>
      </c>
      <c r="G141">
        <v>0</v>
      </c>
      <c r="H141">
        <v>0</v>
      </c>
      <c r="I141">
        <v>29</v>
      </c>
      <c r="J141">
        <v>1</v>
      </c>
      <c r="K141">
        <v>162</v>
      </c>
      <c r="L141">
        <v>0</v>
      </c>
      <c r="M141">
        <v>144</v>
      </c>
      <c r="N141">
        <v>0</v>
      </c>
      <c r="O141">
        <v>13</v>
      </c>
      <c r="P141">
        <v>8</v>
      </c>
      <c r="Q141">
        <v>18</v>
      </c>
      <c r="R141">
        <v>261</v>
      </c>
    </row>
    <row r="142" spans="1:18" x14ac:dyDescent="0.25">
      <c r="A142" s="1" t="s">
        <v>59</v>
      </c>
      <c r="B142">
        <v>420</v>
      </c>
      <c r="C142">
        <v>245</v>
      </c>
      <c r="D142">
        <v>665</v>
      </c>
      <c r="E142">
        <v>15</v>
      </c>
      <c r="F142">
        <v>647</v>
      </c>
      <c r="G142">
        <v>0</v>
      </c>
      <c r="H142">
        <v>0</v>
      </c>
      <c r="I142">
        <v>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</v>
      </c>
      <c r="P142">
        <v>0</v>
      </c>
      <c r="Q142">
        <v>13</v>
      </c>
      <c r="R142">
        <v>565</v>
      </c>
    </row>
    <row r="143" spans="1:18" x14ac:dyDescent="0.25">
      <c r="A143" s="1" t="s">
        <v>60</v>
      </c>
      <c r="B143">
        <v>508</v>
      </c>
      <c r="C143">
        <v>358</v>
      </c>
      <c r="D143">
        <v>866</v>
      </c>
      <c r="E143">
        <v>120</v>
      </c>
      <c r="F143">
        <v>733</v>
      </c>
      <c r="G143">
        <v>0</v>
      </c>
      <c r="H143">
        <v>0</v>
      </c>
      <c r="I143">
        <v>4</v>
      </c>
      <c r="J143">
        <v>0</v>
      </c>
      <c r="K143">
        <v>92</v>
      </c>
      <c r="L143">
        <v>0</v>
      </c>
      <c r="M143">
        <v>0</v>
      </c>
      <c r="N143">
        <v>0</v>
      </c>
      <c r="O143">
        <v>13</v>
      </c>
      <c r="P143">
        <v>3</v>
      </c>
      <c r="Q143">
        <v>21</v>
      </c>
      <c r="R143">
        <v>722</v>
      </c>
    </row>
    <row r="144" spans="1:18" x14ac:dyDescent="0.25">
      <c r="A144" s="1" t="s">
        <v>61</v>
      </c>
      <c r="B144">
        <v>2270</v>
      </c>
      <c r="C144">
        <v>1642</v>
      </c>
      <c r="D144">
        <v>3912</v>
      </c>
      <c r="E144">
        <v>746</v>
      </c>
      <c r="F144">
        <v>3124</v>
      </c>
      <c r="G144">
        <v>2</v>
      </c>
      <c r="H144">
        <v>0</v>
      </c>
      <c r="I144">
        <v>70</v>
      </c>
      <c r="J144">
        <v>5</v>
      </c>
      <c r="K144">
        <v>360</v>
      </c>
      <c r="L144">
        <v>0</v>
      </c>
      <c r="M144">
        <v>214</v>
      </c>
      <c r="N144">
        <v>0</v>
      </c>
      <c r="O144">
        <v>42</v>
      </c>
      <c r="P144">
        <v>28</v>
      </c>
      <c r="Q144">
        <v>67</v>
      </c>
      <c r="R144">
        <v>2363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b6b0b1-babf-46be-b246-fda93dded546" xsi:nil="true"/>
    <lcf76f155ced4ddcb4097134ff3c332f xmlns="d32d6e54-5891-4072-9c52-20c5cf7ad6a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2447EAF9B04292BFE10B93173B30" ma:contentTypeVersion="15" ma:contentTypeDescription="Create a new document." ma:contentTypeScope="" ma:versionID="abe77a223238ba3710f52b3f64154a00">
  <xsd:schema xmlns:xsd="http://www.w3.org/2001/XMLSchema" xmlns:xs="http://www.w3.org/2001/XMLSchema" xmlns:p="http://schemas.microsoft.com/office/2006/metadata/properties" xmlns:ns2="d32d6e54-5891-4072-9c52-20c5cf7ad6a8" xmlns:ns3="09b6b0b1-babf-46be-b246-fda93dded546" targetNamespace="http://schemas.microsoft.com/office/2006/metadata/properties" ma:root="true" ma:fieldsID="43f10d7d5e27c75b431b6660b778facd" ns2:_="" ns3:_="">
    <xsd:import namespace="d32d6e54-5891-4072-9c52-20c5cf7ad6a8"/>
    <xsd:import namespace="09b6b0b1-babf-46be-b246-fda93dded5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d6e54-5891-4072-9c52-20c5cf7ad6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dbdd397-5632-4097-b2d6-08b9c85d32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6b0b1-babf-46be-b246-fda93dded54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7f07269-0629-40d6-a83e-17d4c031baaa}" ma:internalName="TaxCatchAll" ma:showField="CatchAllData" ma:web="09b6b0b1-babf-46be-b246-fda93dded5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11F8F0-9164-4266-9F36-9577645C6AA9}">
  <ds:schemaRefs>
    <ds:schemaRef ds:uri="http://schemas.microsoft.com/office/2006/metadata/properties"/>
    <ds:schemaRef ds:uri="http://schemas.microsoft.com/office/infopath/2007/PartnerControls"/>
    <ds:schemaRef ds:uri="09b6b0b1-babf-46be-b246-fda93dded546"/>
    <ds:schemaRef ds:uri="d32d6e54-5891-4072-9c52-20c5cf7ad6a8"/>
  </ds:schemaRefs>
</ds:datastoreItem>
</file>

<file path=customXml/itemProps2.xml><?xml version="1.0" encoding="utf-8"?>
<ds:datastoreItem xmlns:ds="http://schemas.openxmlformats.org/officeDocument/2006/customXml" ds:itemID="{79842BC1-3DC8-4D41-B513-67A1900200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2d6e54-5891-4072-9c52-20c5cf7ad6a8"/>
    <ds:schemaRef ds:uri="09b6b0b1-babf-46be-b246-fda93dded5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703619-30A0-46C2-8F11-BEC9CC477F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Yearly Total To Date</vt:lpstr>
      <vt:lpstr>Occupancy Report</vt:lpstr>
      <vt:lpstr>Occupancy Report Summarised</vt:lpstr>
      <vt:lpstr>Day by Day Totals</vt:lpstr>
      <vt:lpstr>Monthly Averages</vt:lpstr>
      <vt:lpstr>Monthly Totals</vt:lpstr>
      <vt:lpstr>Pivot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CGC Golf Shop</dc:creator>
  <cp:keywords/>
  <dc:description/>
  <cp:lastModifiedBy>VGC Golf Shop</cp:lastModifiedBy>
  <cp:revision/>
  <dcterms:created xsi:type="dcterms:W3CDTF">2024-07-09T05:39:17Z</dcterms:created>
  <dcterms:modified xsi:type="dcterms:W3CDTF">2026-03-14T01:23:51Z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0x01010079132447EAF9B04292BFE10B93173B30</vt:lpwstr>
  </property>
  <property fmtid="{D5CDD505-2E9C-101B-9397-08002B2CF9AE}" pid="3" name="MediaServiceImageTags">
    <vt:lpwstr/>
  </property>
</Properties>
</file>