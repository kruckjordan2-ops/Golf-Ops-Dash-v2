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VGC Golf Shop\Jordan Kruck\Round Tracking\Round Tracking Totals\Yearly\"/>
    </mc:Choice>
  </mc:AlternateContent>
  <xr:revisionPtr revIDLastSave="0" documentId="8_{86021177-AC8C-4608-BFF9-3365EF2E4F99}" xr6:coauthVersionLast="47" xr6:coauthVersionMax="47" xr10:uidLastSave="{00000000-0000-0000-0000-000000000000}"/>
  <bookViews>
    <workbookView xWindow="-120" yWindow="-120" windowWidth="29040" windowHeight="15720" firstSheet="1" activeTab="6" xr2:uid="{AFF0EBC3-4C9F-4A1D-85DA-6AACFFF41100}"/>
  </bookViews>
  <sheets>
    <sheet name="Yearly Total To Date" sheetId="1" r:id="rId1"/>
    <sheet name="Occupancy Report" sheetId="8" r:id="rId2"/>
    <sheet name="Occupancy Report Summarised" sheetId="9" r:id="rId3"/>
    <sheet name="After 3pm Data" sheetId="13" r:id="rId4"/>
    <sheet name="Day by Day Totals" sheetId="2" r:id="rId5"/>
    <sheet name="Day Trends" sheetId="12" r:id="rId6"/>
    <sheet name="Monthly Totals" sheetId="10" r:id="rId7"/>
    <sheet name="Monthly Averages" sheetId="11" r:id="rId8"/>
    <sheet name="Pivot Table" sheetId="5" r:id="rId9"/>
  </sheets>
  <calcPr calcId="191028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K8" i="1"/>
  <c r="G8" i="1"/>
  <c r="L16" i="13" l="1"/>
  <c r="L14" i="13"/>
  <c r="L12" i="13"/>
  <c r="L10" i="13"/>
  <c r="L8" i="13"/>
  <c r="L6" i="13"/>
  <c r="L4" i="13"/>
  <c r="L29" i="8"/>
  <c r="L28" i="8"/>
  <c r="L25" i="8"/>
  <c r="L24" i="8"/>
  <c r="L21" i="8"/>
  <c r="L20" i="8"/>
  <c r="L17" i="8"/>
  <c r="L16" i="8"/>
  <c r="L13" i="8"/>
  <c r="L12" i="8"/>
  <c r="L9" i="8"/>
  <c r="L8" i="8"/>
  <c r="L5" i="8"/>
  <c r="L4" i="8"/>
  <c r="E16" i="13"/>
  <c r="E14" i="13"/>
  <c r="E12" i="13"/>
  <c r="E10" i="13"/>
  <c r="E8" i="13"/>
  <c r="E6" i="13"/>
  <c r="E4" i="13"/>
  <c r="K16" i="13"/>
  <c r="K14" i="13"/>
  <c r="K12" i="13"/>
  <c r="K10" i="13"/>
  <c r="K8" i="13"/>
  <c r="K6" i="13"/>
  <c r="K4" i="13"/>
  <c r="D8" i="13"/>
  <c r="D6" i="13"/>
  <c r="D4" i="13"/>
  <c r="C7" i="10"/>
  <c r="D16" i="13"/>
  <c r="D14" i="13"/>
  <c r="D12" i="13"/>
  <c r="D10" i="13"/>
  <c r="E29" i="8" l="1"/>
  <c r="E29" i="9" s="1"/>
  <c r="E28" i="8"/>
  <c r="E25" i="8"/>
  <c r="E24" i="8"/>
  <c r="E21" i="8"/>
  <c r="E20" i="8"/>
  <c r="E17" i="8"/>
  <c r="E16" i="8"/>
  <c r="E13" i="8"/>
  <c r="E12" i="8"/>
  <c r="E9" i="8"/>
  <c r="E8" i="8"/>
  <c r="E5" i="8"/>
  <c r="E4" i="8"/>
  <c r="F122" i="8"/>
  <c r="L103" i="8"/>
  <c r="L45" i="8"/>
  <c r="L6" i="8"/>
  <c r="K4" i="8"/>
  <c r="K5" i="8"/>
  <c r="K8" i="8"/>
  <c r="M5" i="8" l="1"/>
  <c r="M4" i="8"/>
  <c r="K6" i="8"/>
  <c r="E22" i="8"/>
  <c r="M6" i="8"/>
  <c r="M8" i="8"/>
  <c r="L10" i="8"/>
  <c r="L14" i="8"/>
  <c r="L18" i="8"/>
  <c r="L22" i="8"/>
  <c r="L26" i="8"/>
  <c r="L30" i="8"/>
  <c r="R4" i="8"/>
  <c r="T4" i="8"/>
  <c r="R5" i="8"/>
  <c r="T5" i="8"/>
  <c r="R6" i="8"/>
  <c r="S6" i="8"/>
  <c r="T6" i="8" s="1"/>
  <c r="R8" i="8"/>
  <c r="T8" i="8"/>
  <c r="R9" i="8"/>
  <c r="T9" i="8"/>
  <c r="R10" i="8"/>
  <c r="S10" i="8"/>
  <c r="T10" i="8" s="1"/>
  <c r="R12" i="8"/>
  <c r="T12" i="8"/>
  <c r="R13" i="8"/>
  <c r="T13" i="8"/>
  <c r="R14" i="8"/>
  <c r="S14" i="8"/>
  <c r="T14" i="8"/>
  <c r="R16" i="8"/>
  <c r="T16" i="8"/>
  <c r="R17" i="8"/>
  <c r="T17" i="8"/>
  <c r="R18" i="8"/>
  <c r="S18" i="8"/>
  <c r="T18" i="8"/>
  <c r="R20" i="8"/>
  <c r="T20" i="8"/>
  <c r="R21" i="8"/>
  <c r="T21" i="8"/>
  <c r="R22" i="8"/>
  <c r="S22" i="8"/>
  <c r="T22" i="8" s="1"/>
  <c r="R24" i="8"/>
  <c r="T24" i="8"/>
  <c r="R25" i="8"/>
  <c r="T25" i="8"/>
  <c r="R26" i="8"/>
  <c r="S26" i="8"/>
  <c r="T26" i="8" s="1"/>
  <c r="R28" i="8"/>
  <c r="T28" i="8"/>
  <c r="R29" i="8"/>
  <c r="T29" i="8"/>
  <c r="R30" i="8"/>
  <c r="S30" i="8"/>
  <c r="T30" i="8" s="1"/>
  <c r="E41" i="8"/>
  <c r="E26" i="8"/>
  <c r="K12" i="8"/>
  <c r="K17" i="8"/>
  <c r="K28" i="8"/>
  <c r="K13" i="8"/>
  <c r="K24" i="8"/>
  <c r="K29" i="8"/>
  <c r="K21" i="8"/>
  <c r="K9" i="8"/>
  <c r="K20" i="8"/>
  <c r="K25" i="8"/>
  <c r="K16" i="8"/>
  <c r="M16" i="8" l="1"/>
  <c r="K18" i="8"/>
  <c r="M18" i="8" s="1"/>
  <c r="M25" i="8"/>
  <c r="K22" i="8"/>
  <c r="M22" i="8" s="1"/>
  <c r="M20" i="8"/>
  <c r="K10" i="8"/>
  <c r="M10" i="8" s="1"/>
  <c r="M9" i="8"/>
  <c r="M21" i="8"/>
  <c r="M29" i="8"/>
  <c r="M24" i="8"/>
  <c r="K26" i="8"/>
  <c r="M13" i="8"/>
  <c r="M28" i="8"/>
  <c r="K30" i="8"/>
  <c r="M17" i="8"/>
  <c r="M12" i="8"/>
  <c r="K14" i="8"/>
  <c r="M14" i="8" s="1"/>
  <c r="M30" i="8"/>
  <c r="M26" i="8"/>
  <c r="U37" i="12"/>
  <c r="U38" i="12"/>
  <c r="U36" i="12"/>
  <c r="U35" i="12"/>
  <c r="U33" i="12"/>
  <c r="U34" i="12"/>
  <c r="V33" i="12"/>
  <c r="U39" i="12"/>
  <c r="O35" i="12"/>
  <c r="O38" i="12"/>
  <c r="O34" i="12"/>
  <c r="P33" i="12"/>
  <c r="O33" i="12"/>
  <c r="O39" i="12"/>
  <c r="O37" i="12"/>
  <c r="O36" i="12"/>
  <c r="I38" i="12"/>
  <c r="I37" i="12"/>
  <c r="I36" i="12"/>
  <c r="I35" i="12"/>
  <c r="I34" i="12"/>
  <c r="I39" i="12"/>
  <c r="I33" i="12"/>
  <c r="J33" i="12"/>
  <c r="C37" i="12"/>
  <c r="C34" i="12"/>
  <c r="C36" i="12"/>
  <c r="C35" i="12"/>
  <c r="C33" i="12"/>
  <c r="D33" i="12"/>
  <c r="C39" i="12"/>
  <c r="C38" i="12"/>
  <c r="S103" i="8" l="1"/>
  <c r="E13" i="9" l="1"/>
  <c r="E28" i="9"/>
  <c r="E25" i="9"/>
  <c r="E24" i="9"/>
  <c r="E21" i="9"/>
  <c r="E20" i="9"/>
  <c r="E17" i="9"/>
  <c r="E16" i="9"/>
  <c r="E12" i="9"/>
  <c r="E9" i="9"/>
  <c r="E8" i="9"/>
  <c r="E5" i="9"/>
  <c r="E4" i="9"/>
  <c r="M49" i="9"/>
  <c r="M48" i="9"/>
  <c r="M45" i="9"/>
  <c r="M44" i="9"/>
  <c r="M41" i="9"/>
  <c r="M40" i="9"/>
  <c r="R122" i="8"/>
  <c r="K122" i="8"/>
  <c r="L24" i="9"/>
  <c r="E26" i="9" l="1"/>
  <c r="E22" i="9"/>
  <c r="E10" i="9"/>
  <c r="M50" i="9"/>
  <c r="M46" i="9"/>
  <c r="E18" i="9"/>
  <c r="E6" i="9"/>
  <c r="E30" i="9"/>
  <c r="E14" i="9"/>
  <c r="M42" i="9"/>
  <c r="M24" i="9"/>
  <c r="N24" i="9" s="1"/>
  <c r="L25" i="9"/>
  <c r="M25" i="9" l="1"/>
  <c r="N25" i="9" s="1"/>
  <c r="L26" i="9"/>
  <c r="E123" i="8"/>
  <c r="E119" i="8"/>
  <c r="E115" i="8"/>
  <c r="E111" i="8"/>
  <c r="E107" i="8"/>
  <c r="E103" i="8"/>
  <c r="E99" i="8"/>
  <c r="E35" i="13"/>
  <c r="E33" i="13"/>
  <c r="E31" i="13"/>
  <c r="E29" i="13"/>
  <c r="E27" i="13"/>
  <c r="E25" i="13"/>
  <c r="E23" i="13"/>
  <c r="AA8" i="13"/>
  <c r="AA6" i="13"/>
  <c r="AA4" i="13"/>
  <c r="R10" i="13"/>
  <c r="R4" i="13"/>
  <c r="R8" i="13"/>
  <c r="R12" i="13"/>
  <c r="R6" i="13"/>
  <c r="R14" i="13"/>
  <c r="R16" i="13"/>
  <c r="K97" i="8"/>
  <c r="D122" i="8"/>
  <c r="T9" i="1" l="1"/>
  <c r="Z8" i="13"/>
  <c r="AB8" i="13" s="1"/>
  <c r="Z6" i="13"/>
  <c r="AB6" i="13" s="1"/>
  <c r="Z4" i="13"/>
  <c r="D23" i="13"/>
  <c r="F23" i="13" s="1"/>
  <c r="D29" i="13"/>
  <c r="F29" i="13" s="1"/>
  <c r="D31" i="13"/>
  <c r="F31" i="13" s="1"/>
  <c r="D27" i="13"/>
  <c r="F27" i="13" s="1"/>
  <c r="D33" i="13"/>
  <c r="F33" i="13" s="1"/>
  <c r="D35" i="13"/>
  <c r="F35" i="13" s="1"/>
  <c r="D25" i="13"/>
  <c r="F25" i="13" s="1"/>
  <c r="M26" i="9"/>
  <c r="N26" i="9" s="1"/>
  <c r="T6" i="13"/>
  <c r="T8" i="13"/>
  <c r="F10" i="13"/>
  <c r="F8" i="13"/>
  <c r="M10" i="13"/>
  <c r="M8" i="13"/>
  <c r="T10" i="13"/>
  <c r="M12" i="13"/>
  <c r="F16" i="13"/>
  <c r="T12" i="13"/>
  <c r="M14" i="13"/>
  <c r="T4" i="13"/>
  <c r="F6" i="13"/>
  <c r="M16" i="13"/>
  <c r="T16" i="13"/>
  <c r="M6" i="13"/>
  <c r="T14" i="13"/>
  <c r="F4" i="13"/>
  <c r="F12" i="13"/>
  <c r="M4" i="13"/>
  <c r="F14" i="13"/>
  <c r="M97" i="8"/>
  <c r="K98" i="8"/>
  <c r="S9" i="1" l="1"/>
  <c r="AB4" i="13"/>
  <c r="M98" i="8"/>
  <c r="L99" i="8"/>
  <c r="L107" i="8"/>
  <c r="L111" i="8"/>
  <c r="L115" i="8"/>
  <c r="L119" i="8"/>
  <c r="L123" i="8"/>
  <c r="R53" i="11"/>
  <c r="K109" i="8"/>
  <c r="K114" i="8"/>
  <c r="K106" i="8"/>
  <c r="K105" i="8"/>
  <c r="K110" i="8"/>
  <c r="K101" i="8"/>
  <c r="K113" i="8"/>
  <c r="M53" i="11"/>
  <c r="K121" i="8"/>
  <c r="L45" i="9"/>
  <c r="K102" i="8"/>
  <c r="K118" i="8"/>
  <c r="K117" i="8"/>
  <c r="L44" i="9"/>
  <c r="U8" i="2"/>
  <c r="L8" i="2"/>
  <c r="I8" i="2"/>
  <c r="R8" i="2"/>
  <c r="F8" i="2"/>
  <c r="O8" i="2"/>
  <c r="C8" i="2"/>
  <c r="L37" i="9"/>
  <c r="L36" i="9"/>
  <c r="L33" i="9"/>
  <c r="L32" i="9"/>
  <c r="L28" i="9"/>
  <c r="L29" i="9"/>
  <c r="L21" i="9"/>
  <c r="L20" i="9"/>
  <c r="L17" i="9"/>
  <c r="L16" i="9"/>
  <c r="L13" i="9"/>
  <c r="L12" i="9"/>
  <c r="L8" i="9"/>
  <c r="L9" i="9"/>
  <c r="L4" i="9"/>
  <c r="L5" i="9"/>
  <c r="K103" i="8" l="1"/>
  <c r="M103" i="8" s="1"/>
  <c r="K107" i="8"/>
  <c r="M107" i="8"/>
  <c r="S53" i="11"/>
  <c r="T53" i="11"/>
  <c r="N53" i="11"/>
  <c r="O53" i="11"/>
  <c r="L46" i="9"/>
  <c r="N46" i="9" s="1"/>
  <c r="L22" i="9"/>
  <c r="M113" i="8"/>
  <c r="K115" i="8"/>
  <c r="M115" i="8" s="1"/>
  <c r="M110" i="8"/>
  <c r="M101" i="8"/>
  <c r="M106" i="8"/>
  <c r="M105" i="8"/>
  <c r="K111" i="8"/>
  <c r="M111" i="8" s="1"/>
  <c r="M109" i="8"/>
  <c r="M114" i="8"/>
  <c r="M102" i="8"/>
  <c r="M117" i="8"/>
  <c r="K119" i="8"/>
  <c r="M119" i="8" s="1"/>
  <c r="M122" i="8"/>
  <c r="K99" i="8"/>
  <c r="M99" i="8" s="1"/>
  <c r="M121" i="8"/>
  <c r="K123" i="8"/>
  <c r="M123" i="8" s="1"/>
  <c r="M118" i="8"/>
  <c r="R110" i="8"/>
  <c r="R30" i="10"/>
  <c r="R117" i="8"/>
  <c r="R105" i="8"/>
  <c r="R118" i="8"/>
  <c r="R98" i="8"/>
  <c r="R97" i="8"/>
  <c r="R121" i="8"/>
  <c r="R114" i="8"/>
  <c r="R102" i="8"/>
  <c r="R109" i="8"/>
  <c r="R113" i="8"/>
  <c r="R106" i="8"/>
  <c r="R101" i="8"/>
  <c r="O30" i="10"/>
  <c r="L30" i="10"/>
  <c r="D109" i="8"/>
  <c r="D113" i="8"/>
  <c r="D110" i="8"/>
  <c r="D102" i="8"/>
  <c r="D106" i="8"/>
  <c r="D118" i="8"/>
  <c r="D105" i="8"/>
  <c r="H53" i="11"/>
  <c r="D121" i="8"/>
  <c r="D114" i="8"/>
  <c r="D101" i="8"/>
  <c r="D117" i="8"/>
  <c r="D115" i="8" l="1"/>
  <c r="F115" i="8" s="1"/>
  <c r="D111" i="8"/>
  <c r="F111" i="8" s="1"/>
  <c r="D107" i="8"/>
  <c r="F107" i="8" s="1"/>
  <c r="D103" i="8"/>
  <c r="F103" i="8" s="1"/>
  <c r="D123" i="8"/>
  <c r="F123" i="8" s="1"/>
  <c r="D119" i="8"/>
  <c r="F119" i="8"/>
  <c r="C8" i="1"/>
  <c r="J53" i="11"/>
  <c r="I53" i="11"/>
  <c r="T122" i="8"/>
  <c r="T121" i="8"/>
  <c r="T118" i="8"/>
  <c r="T117" i="8"/>
  <c r="T114" i="8"/>
  <c r="T113" i="8"/>
  <c r="T110" i="8"/>
  <c r="T109" i="8"/>
  <c r="T106" i="8"/>
  <c r="T105" i="8"/>
  <c r="T102" i="8"/>
  <c r="T101" i="8"/>
  <c r="T98" i="8"/>
  <c r="T97" i="8"/>
  <c r="F121" i="8"/>
  <c r="F118" i="8"/>
  <c r="F117" i="8"/>
  <c r="F114" i="8"/>
  <c r="F113" i="8"/>
  <c r="F110" i="8"/>
  <c r="F109" i="8"/>
  <c r="F106" i="8"/>
  <c r="F105" i="8"/>
  <c r="F102" i="8"/>
  <c r="F101" i="8"/>
  <c r="L48" i="9"/>
  <c r="L49" i="9"/>
  <c r="L50" i="9" l="1"/>
  <c r="N50" i="9" s="1"/>
  <c r="U9" i="1"/>
  <c r="N49" i="9"/>
  <c r="S123" i="8"/>
  <c r="S119" i="8"/>
  <c r="S115" i="8"/>
  <c r="S111" i="8"/>
  <c r="S107" i="8"/>
  <c r="S99" i="8"/>
  <c r="L41" i="9"/>
  <c r="D98" i="8"/>
  <c r="S16" i="1" l="1"/>
  <c r="M33" i="9"/>
  <c r="N33" i="9" s="1"/>
  <c r="S8" i="1"/>
  <c r="N45" i="9"/>
  <c r="F98" i="8"/>
  <c r="M37" i="9"/>
  <c r="N37" i="9" s="1"/>
  <c r="L68" i="8"/>
  <c r="N41" i="9"/>
  <c r="R103" i="8"/>
  <c r="T103" i="8" s="1"/>
  <c r="R111" i="8"/>
  <c r="T111" i="8" s="1"/>
  <c r="R119" i="8"/>
  <c r="T119" i="8" s="1"/>
  <c r="R99" i="8"/>
  <c r="T99" i="8" s="1"/>
  <c r="R107" i="8"/>
  <c r="T107" i="8" s="1"/>
  <c r="R115" i="8"/>
  <c r="T115" i="8" s="1"/>
  <c r="R123" i="8"/>
  <c r="T123" i="8" s="1"/>
  <c r="O24" i="12"/>
  <c r="O22" i="12"/>
  <c r="O21" i="12"/>
  <c r="O19" i="12"/>
  <c r="P19" i="12"/>
  <c r="O23" i="12"/>
  <c r="O20" i="12"/>
  <c r="O25" i="12"/>
  <c r="U11" i="12"/>
  <c r="U9" i="12"/>
  <c r="U7" i="12"/>
  <c r="U10" i="12"/>
  <c r="U8" i="12"/>
  <c r="U6" i="12"/>
  <c r="V6" i="12"/>
  <c r="U12" i="12"/>
  <c r="M29" i="9" l="1"/>
  <c r="N29" i="9" s="1"/>
  <c r="I21" i="12"/>
  <c r="I20" i="12"/>
  <c r="I19" i="12"/>
  <c r="I25" i="12"/>
  <c r="I24" i="12"/>
  <c r="I22" i="12"/>
  <c r="J19" i="12"/>
  <c r="I23" i="12"/>
  <c r="C25" i="12"/>
  <c r="C22" i="12"/>
  <c r="C24" i="12"/>
  <c r="C23" i="12"/>
  <c r="C21" i="12"/>
  <c r="C20" i="12"/>
  <c r="C19" i="12"/>
  <c r="M21" i="9" l="1"/>
  <c r="N21" i="9" s="1"/>
  <c r="O8" i="12"/>
  <c r="O6" i="12"/>
  <c r="P6" i="12"/>
  <c r="O12" i="12"/>
  <c r="O7" i="12"/>
  <c r="O11" i="12"/>
  <c r="O10" i="12"/>
  <c r="O9" i="12"/>
  <c r="I7" i="12"/>
  <c r="I10" i="12"/>
  <c r="J6" i="12"/>
  <c r="I11" i="12"/>
  <c r="I9" i="12"/>
  <c r="I8" i="12"/>
  <c r="I6" i="12"/>
  <c r="I12" i="12"/>
  <c r="D6" i="12"/>
  <c r="C7" i="2"/>
  <c r="F16" i="2"/>
  <c r="F14" i="2"/>
  <c r="U23" i="2"/>
  <c r="O18" i="2"/>
  <c r="F7" i="2"/>
  <c r="R17" i="2"/>
  <c r="R20" i="2"/>
  <c r="L20" i="2"/>
  <c r="F6" i="2"/>
  <c r="I14" i="2"/>
  <c r="I19" i="2"/>
  <c r="R6" i="2"/>
  <c r="O7" i="2"/>
  <c r="R21" i="2"/>
  <c r="U18" i="2"/>
  <c r="C14" i="2"/>
  <c r="U7" i="2"/>
  <c r="C10" i="2"/>
  <c r="F17" i="2"/>
  <c r="F21" i="2"/>
  <c r="R15" i="2"/>
  <c r="L10" i="2"/>
  <c r="U19" i="2"/>
  <c r="I15" i="2"/>
  <c r="U15" i="2"/>
  <c r="R14" i="2"/>
  <c r="U21" i="2"/>
  <c r="U9" i="2"/>
  <c r="L19" i="2"/>
  <c r="I23" i="2"/>
  <c r="C7" i="12"/>
  <c r="O14" i="2"/>
  <c r="C12" i="12"/>
  <c r="O13" i="2"/>
  <c r="C6" i="12"/>
  <c r="I22" i="2"/>
  <c r="F10" i="2"/>
  <c r="C9" i="2"/>
  <c r="O22" i="2"/>
  <c r="C19" i="2"/>
  <c r="O23" i="2"/>
  <c r="I12" i="2"/>
  <c r="I20" i="2"/>
  <c r="L17" i="2"/>
  <c r="U14" i="2"/>
  <c r="I9" i="2"/>
  <c r="C12" i="2"/>
  <c r="I16" i="2"/>
  <c r="R19" i="2"/>
  <c r="O17" i="2"/>
  <c r="O19" i="2"/>
  <c r="C20" i="2"/>
  <c r="U20" i="2"/>
  <c r="O6" i="2"/>
  <c r="F15" i="2"/>
  <c r="O12" i="2"/>
  <c r="L14" i="2"/>
  <c r="C13" i="2"/>
  <c r="L9" i="2"/>
  <c r="U6" i="2"/>
  <c r="I6" i="2"/>
  <c r="R7" i="2"/>
  <c r="L7" i="2"/>
  <c r="I7" i="2"/>
  <c r="C10" i="12"/>
  <c r="O21" i="2"/>
  <c r="F13" i="2"/>
  <c r="F22" i="2"/>
  <c r="I13" i="2"/>
  <c r="L16" i="2"/>
  <c r="L6" i="2"/>
  <c r="C21" i="2"/>
  <c r="R18" i="2"/>
  <c r="U17" i="2"/>
  <c r="F20" i="2"/>
  <c r="L23" i="2"/>
  <c r="R9" i="2"/>
  <c r="F9" i="2"/>
  <c r="L21" i="2"/>
  <c r="F19" i="2"/>
  <c r="O9" i="2"/>
  <c r="L13" i="2"/>
  <c r="L12" i="2"/>
  <c r="I10" i="2"/>
  <c r="C23" i="2"/>
  <c r="F18" i="2"/>
  <c r="U16" i="2"/>
  <c r="C15" i="2"/>
  <c r="R22" i="2"/>
  <c r="F12" i="2"/>
  <c r="C18" i="2"/>
  <c r="O16" i="2"/>
  <c r="O10" i="2"/>
  <c r="C17" i="2"/>
  <c r="U22" i="2"/>
  <c r="O15" i="2"/>
  <c r="U13" i="2"/>
  <c r="R13" i="2"/>
  <c r="C8" i="12"/>
  <c r="C16" i="2"/>
  <c r="I17" i="2"/>
  <c r="C6" i="2"/>
  <c r="R16" i="2"/>
  <c r="R12" i="2"/>
  <c r="U12" i="2"/>
  <c r="L15" i="2"/>
  <c r="F23" i="2"/>
  <c r="L18" i="2"/>
  <c r="C11" i="12"/>
  <c r="O20" i="2"/>
  <c r="I21" i="2"/>
  <c r="I18" i="2"/>
  <c r="R10" i="2"/>
  <c r="R23" i="2"/>
  <c r="L22" i="2"/>
  <c r="C22" i="2"/>
  <c r="U10" i="2"/>
  <c r="C9" i="12"/>
  <c r="E6" i="12" l="1"/>
  <c r="C30" i="2"/>
  <c r="M17" i="9"/>
  <c r="N17" i="9" s="1"/>
  <c r="M13" i="9"/>
  <c r="N13" i="9" s="1"/>
  <c r="C33" i="2"/>
  <c r="C34" i="2"/>
  <c r="C31" i="2"/>
  <c r="C48" i="12"/>
  <c r="C46" i="12"/>
  <c r="U11" i="2"/>
  <c r="C47" i="12"/>
  <c r="C49" i="12"/>
  <c r="C44" i="12"/>
  <c r="C45" i="12"/>
  <c r="C50" i="12"/>
  <c r="C51" i="12" l="1"/>
  <c r="D48" i="12" s="1"/>
  <c r="C11" i="2"/>
  <c r="M9" i="9" l="1"/>
  <c r="N9" i="9" s="1"/>
  <c r="C17" i="11"/>
  <c r="D12" i="8"/>
  <c r="C21" i="11"/>
  <c r="C14" i="11"/>
  <c r="C15" i="11"/>
  <c r="C8" i="10"/>
  <c r="C19" i="11"/>
  <c r="C19" i="10"/>
  <c r="C11" i="11"/>
  <c r="C13" i="10"/>
  <c r="C13" i="11"/>
  <c r="C20" i="10"/>
  <c r="D25" i="8"/>
  <c r="C11" i="10"/>
  <c r="D28" i="8"/>
  <c r="D20" i="8"/>
  <c r="C9" i="11"/>
  <c r="D21" i="8"/>
  <c r="C22" i="11"/>
  <c r="C14" i="10"/>
  <c r="C16" i="10"/>
  <c r="C6" i="11"/>
  <c r="C12" i="11"/>
  <c r="D29" i="8"/>
  <c r="C5" i="11"/>
  <c r="D4" i="8"/>
  <c r="C12" i="10"/>
  <c r="C16" i="11"/>
  <c r="D17" i="8"/>
  <c r="C18" i="10"/>
  <c r="C8" i="11"/>
  <c r="D5" i="8"/>
  <c r="D8" i="8"/>
  <c r="D16" i="8"/>
  <c r="C18" i="11"/>
  <c r="D9" i="8"/>
  <c r="C23" i="10"/>
  <c r="C6" i="10"/>
  <c r="D13" i="8"/>
  <c r="C21" i="10"/>
  <c r="C22" i="10"/>
  <c r="C23" i="11"/>
  <c r="C5" i="10"/>
  <c r="C15" i="10"/>
  <c r="C20" i="11"/>
  <c r="C9" i="10"/>
  <c r="D24" i="8"/>
  <c r="C17" i="10"/>
  <c r="M5" i="9" l="1"/>
  <c r="C10" i="11"/>
  <c r="E30" i="8"/>
  <c r="E14" i="8"/>
  <c r="W39" i="12"/>
  <c r="W38" i="12"/>
  <c r="W37" i="12"/>
  <c r="W36" i="12"/>
  <c r="W35" i="12"/>
  <c r="W34" i="12"/>
  <c r="W33" i="12"/>
  <c r="Q39" i="12"/>
  <c r="Q38" i="12"/>
  <c r="Q37" i="12"/>
  <c r="Q36" i="12"/>
  <c r="Q35" i="12"/>
  <c r="Q34" i="12"/>
  <c r="Q33" i="12"/>
  <c r="K39" i="12"/>
  <c r="K38" i="12"/>
  <c r="K37" i="12"/>
  <c r="K36" i="12"/>
  <c r="K35" i="12"/>
  <c r="K34" i="12"/>
  <c r="K33" i="12"/>
  <c r="E39" i="12"/>
  <c r="E38" i="12"/>
  <c r="E37" i="12"/>
  <c r="E36" i="12"/>
  <c r="E35" i="12"/>
  <c r="E34" i="12"/>
  <c r="E33" i="12"/>
  <c r="W25" i="12"/>
  <c r="W24" i="12"/>
  <c r="W23" i="12"/>
  <c r="W22" i="12"/>
  <c r="W21" i="12"/>
  <c r="W20" i="12"/>
  <c r="W19" i="12"/>
  <c r="Q25" i="12"/>
  <c r="Q24" i="12"/>
  <c r="Q23" i="12"/>
  <c r="Q22" i="12"/>
  <c r="Q21" i="12"/>
  <c r="Q20" i="12"/>
  <c r="Q19" i="12"/>
  <c r="K25" i="12"/>
  <c r="K24" i="12"/>
  <c r="K23" i="12"/>
  <c r="K22" i="12"/>
  <c r="K21" i="12"/>
  <c r="K20" i="12"/>
  <c r="K19" i="12"/>
  <c r="E25" i="12"/>
  <c r="E24" i="12"/>
  <c r="E23" i="12"/>
  <c r="E22" i="12"/>
  <c r="E21" i="12"/>
  <c r="E20" i="12"/>
  <c r="E19" i="12"/>
  <c r="W12" i="12"/>
  <c r="W11" i="12"/>
  <c r="W10" i="12"/>
  <c r="W9" i="12"/>
  <c r="W8" i="12"/>
  <c r="W7" i="12"/>
  <c r="W6" i="12"/>
  <c r="Q12" i="12"/>
  <c r="Q11" i="12"/>
  <c r="Q10" i="12"/>
  <c r="Q9" i="12"/>
  <c r="Q8" i="12"/>
  <c r="Q7" i="12"/>
  <c r="Q6" i="12"/>
  <c r="K12" i="12"/>
  <c r="K11" i="12"/>
  <c r="K10" i="12"/>
  <c r="K9" i="12"/>
  <c r="K8" i="12"/>
  <c r="K7" i="12"/>
  <c r="K6" i="12"/>
  <c r="E10" i="12"/>
  <c r="E11" i="12"/>
  <c r="E12" i="12"/>
  <c r="E9" i="12"/>
  <c r="E8" i="12"/>
  <c r="E7" i="12"/>
  <c r="R65" i="11"/>
  <c r="R42" i="10"/>
  <c r="M65" i="11"/>
  <c r="O42" i="10"/>
  <c r="H65" i="11"/>
  <c r="C65" i="11"/>
  <c r="R42" i="11"/>
  <c r="M42" i="11"/>
  <c r="R19" i="10"/>
  <c r="H42" i="11"/>
  <c r="C42" i="11"/>
  <c r="R19" i="11"/>
  <c r="M19" i="11"/>
  <c r="H19" i="11"/>
  <c r="T8" i="1" l="1"/>
  <c r="T16" i="1"/>
  <c r="U16" i="1" s="1"/>
  <c r="N5" i="9"/>
  <c r="O42" i="11"/>
  <c r="N42" i="11"/>
  <c r="J42" i="11"/>
  <c r="E42" i="11"/>
  <c r="D42" i="11"/>
  <c r="N65" i="11"/>
  <c r="D65" i="11"/>
  <c r="T42" i="11"/>
  <c r="S42" i="11"/>
  <c r="I42" i="11"/>
  <c r="I19" i="11"/>
  <c r="J19" i="11"/>
  <c r="D44" i="12"/>
  <c r="D49" i="12"/>
  <c r="E65" i="11"/>
  <c r="J65" i="11"/>
  <c r="I65" i="11"/>
  <c r="O65" i="11"/>
  <c r="T65" i="11"/>
  <c r="S65" i="11"/>
  <c r="D46" i="12"/>
  <c r="D45" i="12"/>
  <c r="D50" i="12"/>
  <c r="D47" i="12"/>
  <c r="L42" i="10"/>
  <c r="I42" i="10"/>
  <c r="F42" i="10"/>
  <c r="C42" i="10"/>
  <c r="D51" i="12" l="1"/>
  <c r="O19" i="10"/>
  <c r="L19" i="10"/>
  <c r="I19" i="10"/>
  <c r="T19" i="11" l="1"/>
  <c r="S19" i="11"/>
  <c r="O19" i="11"/>
  <c r="N19" i="11"/>
  <c r="F19" i="10"/>
  <c r="C20" i="1" l="1"/>
  <c r="D19" i="11"/>
  <c r="E19" i="11"/>
  <c r="O20" i="1" l="1"/>
  <c r="K20" i="1"/>
  <c r="G20" i="1"/>
  <c r="R63" i="11"/>
  <c r="R35" i="10"/>
  <c r="R58" i="11"/>
  <c r="R57" i="11"/>
  <c r="R36" i="10"/>
  <c r="R51" i="11"/>
  <c r="R68" i="11"/>
  <c r="R28" i="10"/>
  <c r="R34" i="10"/>
  <c r="R32" i="10"/>
  <c r="R61" i="11"/>
  <c r="R54" i="11"/>
  <c r="R41" i="10"/>
  <c r="R59" i="11"/>
  <c r="R52" i="11"/>
  <c r="R44" i="10"/>
  <c r="R38" i="10"/>
  <c r="R29" i="10"/>
  <c r="R64" i="11"/>
  <c r="R31" i="10"/>
  <c r="R69" i="11"/>
  <c r="R66" i="11"/>
  <c r="R55" i="11"/>
  <c r="R67" i="11"/>
  <c r="R46" i="10"/>
  <c r="R45" i="10"/>
  <c r="R37" i="10"/>
  <c r="R62" i="11"/>
  <c r="R39" i="10"/>
  <c r="R40" i="10"/>
  <c r="R60" i="11"/>
  <c r="R43" i="10"/>
  <c r="O46" i="10"/>
  <c r="O34" i="10"/>
  <c r="M68" i="11"/>
  <c r="O28" i="10"/>
  <c r="M69" i="11"/>
  <c r="O43" i="10"/>
  <c r="M59" i="11"/>
  <c r="M51" i="11"/>
  <c r="M67" i="11"/>
  <c r="M57" i="11"/>
  <c r="O38" i="10"/>
  <c r="O40" i="10"/>
  <c r="M61" i="11"/>
  <c r="O37" i="10"/>
  <c r="M58" i="11"/>
  <c r="O35" i="10"/>
  <c r="M60" i="11"/>
  <c r="M63" i="11"/>
  <c r="O41" i="10"/>
  <c r="M55" i="11"/>
  <c r="O36" i="10"/>
  <c r="O29" i="10"/>
  <c r="O39" i="10"/>
  <c r="O32" i="10"/>
  <c r="O44" i="10"/>
  <c r="O45" i="10"/>
  <c r="O31" i="10"/>
  <c r="M54" i="11"/>
  <c r="M64" i="11"/>
  <c r="M52" i="11"/>
  <c r="M66" i="11"/>
  <c r="M62" i="11"/>
  <c r="L40" i="9"/>
  <c r="S15" i="1" l="1"/>
  <c r="S17" i="1" s="1"/>
  <c r="L42" i="9"/>
  <c r="N42" i="9" s="1"/>
  <c r="S7" i="1"/>
  <c r="S10" i="1" s="1"/>
  <c r="R33" i="10"/>
  <c r="R56" i="11"/>
  <c r="N64" i="11"/>
  <c r="N57" i="11"/>
  <c r="N52" i="11"/>
  <c r="N60" i="11"/>
  <c r="N66" i="11"/>
  <c r="N61" i="11"/>
  <c r="N63" i="11"/>
  <c r="N58" i="11"/>
  <c r="N51" i="11"/>
  <c r="N68" i="11"/>
  <c r="N59" i="11"/>
  <c r="N55" i="11"/>
  <c r="M56" i="11"/>
  <c r="N56" i="11" s="1"/>
  <c r="N54" i="11"/>
  <c r="N62" i="11"/>
  <c r="N67" i="11"/>
  <c r="N69" i="11"/>
  <c r="O33" i="10"/>
  <c r="M36" i="9"/>
  <c r="S92" i="8"/>
  <c r="S84" i="8"/>
  <c r="S76" i="8"/>
  <c r="S72" i="8"/>
  <c r="S68" i="8"/>
  <c r="E68" i="8"/>
  <c r="E72" i="8"/>
  <c r="E76" i="8"/>
  <c r="E80" i="8"/>
  <c r="E84" i="8"/>
  <c r="E88" i="8"/>
  <c r="E92" i="8"/>
  <c r="L92" i="8"/>
  <c r="L88" i="8"/>
  <c r="L84" i="8"/>
  <c r="L80" i="8"/>
  <c r="L76" i="8"/>
  <c r="L72" i="8"/>
  <c r="H69" i="11"/>
  <c r="H67" i="11"/>
  <c r="D97" i="8"/>
  <c r="L35" i="10"/>
  <c r="H63" i="11"/>
  <c r="H58" i="11"/>
  <c r="H52" i="11"/>
  <c r="H68" i="11"/>
  <c r="L43" i="10"/>
  <c r="H59" i="11"/>
  <c r="H61" i="11"/>
  <c r="L31" i="10"/>
  <c r="H62" i="11"/>
  <c r="L40" i="10"/>
  <c r="H60" i="11"/>
  <c r="L34" i="10"/>
  <c r="L29" i="10"/>
  <c r="L28" i="10"/>
  <c r="L46" i="10"/>
  <c r="L36" i="10"/>
  <c r="L45" i="10"/>
  <c r="L38" i="10"/>
  <c r="L32" i="10"/>
  <c r="L39" i="10"/>
  <c r="H54" i="11"/>
  <c r="L41" i="10"/>
  <c r="H66" i="11"/>
  <c r="H57" i="11"/>
  <c r="H51" i="11"/>
  <c r="H55" i="11"/>
  <c r="L37" i="10"/>
  <c r="H64" i="11"/>
  <c r="L44" i="10"/>
  <c r="D99" i="8" l="1"/>
  <c r="F99" i="8" s="1"/>
  <c r="L33" i="10"/>
  <c r="J61" i="11"/>
  <c r="J55" i="11"/>
  <c r="H56" i="11"/>
  <c r="J56" i="11" s="1"/>
  <c r="J51" i="11"/>
  <c r="J59" i="11"/>
  <c r="J66" i="11"/>
  <c r="J52" i="11"/>
  <c r="J60" i="11"/>
  <c r="J67" i="11"/>
  <c r="J54" i="11"/>
  <c r="J68" i="11"/>
  <c r="J69" i="11"/>
  <c r="J57" i="11"/>
  <c r="J63" i="11"/>
  <c r="J58" i="11"/>
  <c r="J64" i="11"/>
  <c r="J62" i="11"/>
  <c r="S88" i="8"/>
  <c r="S80" i="8"/>
  <c r="C61" i="11"/>
  <c r="C66" i="11"/>
  <c r="I34" i="10"/>
  <c r="C62" i="11"/>
  <c r="R79" i="8"/>
  <c r="R75" i="8"/>
  <c r="I40" i="10"/>
  <c r="I46" i="10"/>
  <c r="C54" i="11"/>
  <c r="C59" i="11"/>
  <c r="R71" i="8"/>
  <c r="R87" i="8"/>
  <c r="I43" i="10"/>
  <c r="C69" i="11"/>
  <c r="I31" i="10"/>
  <c r="R67" i="8"/>
  <c r="I41" i="10"/>
  <c r="C60" i="11"/>
  <c r="I39" i="10"/>
  <c r="C52" i="11"/>
  <c r="R70" i="8"/>
  <c r="C63" i="11"/>
  <c r="C67" i="11"/>
  <c r="R74" i="8"/>
  <c r="I37" i="10"/>
  <c r="C55" i="11"/>
  <c r="R82" i="8"/>
  <c r="I44" i="10"/>
  <c r="R90" i="8"/>
  <c r="I36" i="10"/>
  <c r="R91" i="8"/>
  <c r="C57" i="11"/>
  <c r="C68" i="11"/>
  <c r="I29" i="10"/>
  <c r="C58" i="11"/>
  <c r="R78" i="8"/>
  <c r="C51" i="11"/>
  <c r="R86" i="8"/>
  <c r="I28" i="10"/>
  <c r="R66" i="8"/>
  <c r="I45" i="10"/>
  <c r="I38" i="10"/>
  <c r="I32" i="10"/>
  <c r="I35" i="10"/>
  <c r="R83" i="8"/>
  <c r="C64" i="11"/>
  <c r="M46" i="11"/>
  <c r="D68" i="11" l="1"/>
  <c r="D63" i="11"/>
  <c r="D61" i="11"/>
  <c r="D52" i="11"/>
  <c r="D57" i="11"/>
  <c r="D66" i="11"/>
  <c r="D64" i="11"/>
  <c r="D67" i="11"/>
  <c r="D62" i="11"/>
  <c r="D58" i="11"/>
  <c r="D54" i="11"/>
  <c r="D55" i="11"/>
  <c r="D59" i="11"/>
  <c r="D69" i="11"/>
  <c r="D60" i="11"/>
  <c r="D51" i="11"/>
  <c r="E68" i="11"/>
  <c r="E55" i="11"/>
  <c r="E57" i="11"/>
  <c r="E62" i="11"/>
  <c r="E54" i="11"/>
  <c r="E60" i="11"/>
  <c r="E58" i="11"/>
  <c r="E66" i="11"/>
  <c r="E52" i="11"/>
  <c r="E69" i="11"/>
  <c r="E64" i="11"/>
  <c r="E63" i="11"/>
  <c r="E51" i="11"/>
  <c r="E67" i="11"/>
  <c r="E59" i="11"/>
  <c r="E61" i="11"/>
  <c r="I33" i="10"/>
  <c r="C56" i="11"/>
  <c r="D56" i="11" s="1"/>
  <c r="H34" i="11"/>
  <c r="I34" i="11" l="1"/>
  <c r="E56" i="11"/>
  <c r="S49" i="8"/>
  <c r="S45" i="8"/>
  <c r="S41" i="8"/>
  <c r="S37" i="8"/>
  <c r="M20" i="9"/>
  <c r="M22" i="9" s="1"/>
  <c r="N22" i="9" s="1"/>
  <c r="H44" i="11"/>
  <c r="H29" i="11"/>
  <c r="R13" i="10"/>
  <c r="R8" i="10"/>
  <c r="R55" i="8"/>
  <c r="R40" i="8"/>
  <c r="H37" i="11"/>
  <c r="R16" i="10"/>
  <c r="H45" i="11"/>
  <c r="R18" i="10"/>
  <c r="H43" i="11"/>
  <c r="H36" i="11"/>
  <c r="H32" i="11"/>
  <c r="R15" i="10"/>
  <c r="R23" i="10"/>
  <c r="R52" i="8"/>
  <c r="R59" i="8"/>
  <c r="R5" i="10"/>
  <c r="R35" i="8"/>
  <c r="R20" i="10"/>
  <c r="R60" i="8"/>
  <c r="H38" i="11"/>
  <c r="H41" i="11"/>
  <c r="R22" i="10"/>
  <c r="R14" i="10"/>
  <c r="R36" i="8"/>
  <c r="R39" i="8"/>
  <c r="R21" i="10"/>
  <c r="R43" i="8"/>
  <c r="H46" i="11"/>
  <c r="R11" i="10"/>
  <c r="H28" i="11"/>
  <c r="R6" i="10"/>
  <c r="R51" i="8"/>
  <c r="H39" i="11"/>
  <c r="R56" i="8"/>
  <c r="R12" i="10"/>
  <c r="R9" i="10"/>
  <c r="R44" i="8"/>
  <c r="H40" i="11"/>
  <c r="R48" i="8"/>
  <c r="H35" i="11"/>
  <c r="R17" i="10"/>
  <c r="H31" i="11"/>
  <c r="R47" i="8"/>
  <c r="C44" i="11"/>
  <c r="C40" i="11"/>
  <c r="O17" i="10"/>
  <c r="C31" i="11"/>
  <c r="O23" i="10"/>
  <c r="O16" i="10"/>
  <c r="K47" i="8"/>
  <c r="K36" i="8"/>
  <c r="C41" i="11"/>
  <c r="C32" i="11"/>
  <c r="O9" i="10"/>
  <c r="K48" i="8"/>
  <c r="K55" i="8"/>
  <c r="O6" i="10"/>
  <c r="C38" i="11"/>
  <c r="O8" i="10"/>
  <c r="C46" i="11"/>
  <c r="C28" i="11"/>
  <c r="K51" i="8"/>
  <c r="C45" i="11"/>
  <c r="O13" i="10"/>
  <c r="K59" i="8"/>
  <c r="O14" i="10"/>
  <c r="O18" i="10"/>
  <c r="K56" i="8"/>
  <c r="K35" i="8"/>
  <c r="K60" i="8"/>
  <c r="O20" i="10"/>
  <c r="C34" i="11"/>
  <c r="O21" i="10"/>
  <c r="C43" i="11"/>
  <c r="O15" i="10"/>
  <c r="K43" i="8"/>
  <c r="K44" i="8"/>
  <c r="K40" i="8"/>
  <c r="C29" i="11"/>
  <c r="O5" i="10"/>
  <c r="K39" i="8"/>
  <c r="O22" i="10"/>
  <c r="C35" i="11"/>
  <c r="O12" i="10"/>
  <c r="C37" i="11"/>
  <c r="K52" i="8"/>
  <c r="C36" i="11"/>
  <c r="C39" i="11"/>
  <c r="O11" i="10"/>
  <c r="D28" i="11" l="1"/>
  <c r="I36" i="11"/>
  <c r="I43" i="11"/>
  <c r="I45" i="11"/>
  <c r="I44" i="11"/>
  <c r="I35" i="11"/>
  <c r="I40" i="11"/>
  <c r="I37" i="11"/>
  <c r="I41" i="11"/>
  <c r="I39" i="11"/>
  <c r="I32" i="11"/>
  <c r="I28" i="11"/>
  <c r="I46" i="11"/>
  <c r="I38" i="11"/>
  <c r="I31" i="11"/>
  <c r="I29" i="11"/>
  <c r="H33" i="11"/>
  <c r="I33" i="11" s="1"/>
  <c r="C33" i="11"/>
  <c r="R10" i="10"/>
  <c r="O10" i="10"/>
  <c r="R61" i="8"/>
  <c r="T59" i="8"/>
  <c r="T56" i="8"/>
  <c r="R57" i="8"/>
  <c r="T55" i="8"/>
  <c r="T52" i="8"/>
  <c r="R53" i="8"/>
  <c r="T51" i="8"/>
  <c r="T48" i="8"/>
  <c r="R49" i="8"/>
  <c r="T49" i="8" s="1"/>
  <c r="T47" i="8"/>
  <c r="T44" i="8"/>
  <c r="R45" i="8"/>
  <c r="T45" i="8" s="1"/>
  <c r="T43" i="8"/>
  <c r="T40" i="8"/>
  <c r="T39" i="8"/>
  <c r="R41" i="8"/>
  <c r="T41" i="8" s="1"/>
  <c r="T36" i="8"/>
  <c r="R37" i="8"/>
  <c r="T37" i="8" s="1"/>
  <c r="T35" i="8"/>
  <c r="S53" i="8"/>
  <c r="S57" i="8"/>
  <c r="S61" i="8"/>
  <c r="T60" i="8"/>
  <c r="L61" i="8"/>
  <c r="T53" i="8" l="1"/>
  <c r="T57" i="8"/>
  <c r="T61" i="8"/>
  <c r="M16" i="9"/>
  <c r="R40" i="11"/>
  <c r="R39" i="11"/>
  <c r="M40" i="11"/>
  <c r="M39" i="11"/>
  <c r="R20" i="11"/>
  <c r="L23" i="10"/>
  <c r="L20" i="10"/>
  <c r="D40" i="8"/>
  <c r="D52" i="8"/>
  <c r="R21" i="11"/>
  <c r="R8" i="11"/>
  <c r="L12" i="10"/>
  <c r="L6" i="10"/>
  <c r="D51" i="8"/>
  <c r="D56" i="8"/>
  <c r="R18" i="11"/>
  <c r="R23" i="11"/>
  <c r="R11" i="11"/>
  <c r="L11" i="10"/>
  <c r="L16" i="10"/>
  <c r="D47" i="8"/>
  <c r="D44" i="8"/>
  <c r="R22" i="11"/>
  <c r="R17" i="11"/>
  <c r="L13" i="10"/>
  <c r="L5" i="10"/>
  <c r="D59" i="8"/>
  <c r="R16" i="11"/>
  <c r="R14" i="11"/>
  <c r="R6" i="11"/>
  <c r="L17" i="10"/>
  <c r="L9" i="10"/>
  <c r="D48" i="8"/>
  <c r="R15" i="11"/>
  <c r="R12" i="11"/>
  <c r="L8" i="10"/>
  <c r="L15" i="10"/>
  <c r="D55" i="8"/>
  <c r="D36" i="8"/>
  <c r="R5" i="11"/>
  <c r="L21" i="10"/>
  <c r="L14" i="10"/>
  <c r="D35" i="8"/>
  <c r="D39" i="8"/>
  <c r="R9" i="11"/>
  <c r="R13" i="11"/>
  <c r="L22" i="10"/>
  <c r="L18" i="10"/>
  <c r="D60" i="8"/>
  <c r="D43" i="8"/>
  <c r="R10" i="11" l="1"/>
  <c r="L10" i="10"/>
  <c r="T39" i="11"/>
  <c r="S39" i="11"/>
  <c r="T40" i="11"/>
  <c r="S40" i="11"/>
  <c r="O40" i="11"/>
  <c r="N40" i="11"/>
  <c r="N39" i="11"/>
  <c r="O39" i="11"/>
  <c r="E57" i="8"/>
  <c r="T69" i="11" l="1"/>
  <c r="S69" i="11"/>
  <c r="O69" i="11"/>
  <c r="T68" i="11"/>
  <c r="S68" i="11"/>
  <c r="O68" i="11"/>
  <c r="T67" i="11"/>
  <c r="S67" i="11"/>
  <c r="O67" i="11"/>
  <c r="T66" i="11"/>
  <c r="S66" i="11"/>
  <c r="O66" i="11"/>
  <c r="T64" i="11"/>
  <c r="S64" i="11"/>
  <c r="O64" i="11"/>
  <c r="T63" i="11"/>
  <c r="S63" i="11"/>
  <c r="O63" i="11"/>
  <c r="T62" i="11"/>
  <c r="S62" i="11"/>
  <c r="O62" i="11"/>
  <c r="T61" i="11"/>
  <c r="S61" i="11"/>
  <c r="O61" i="11"/>
  <c r="T60" i="11"/>
  <c r="S60" i="11"/>
  <c r="O60" i="11"/>
  <c r="T59" i="11"/>
  <c r="S59" i="11"/>
  <c r="O59" i="11"/>
  <c r="T58" i="11"/>
  <c r="S58" i="11"/>
  <c r="O58" i="11"/>
  <c r="T57" i="11"/>
  <c r="S57" i="11"/>
  <c r="O57" i="11"/>
  <c r="T56" i="11"/>
  <c r="S56" i="11"/>
  <c r="O56" i="11"/>
  <c r="T55" i="11"/>
  <c r="S55" i="11"/>
  <c r="O55" i="11"/>
  <c r="T54" i="11"/>
  <c r="S54" i="11"/>
  <c r="O54" i="11"/>
  <c r="T52" i="11"/>
  <c r="S52" i="11"/>
  <c r="O52" i="11"/>
  <c r="T51" i="11"/>
  <c r="S51" i="11"/>
  <c r="O51" i="11"/>
  <c r="I69" i="11"/>
  <c r="I68" i="11"/>
  <c r="I67" i="11"/>
  <c r="I66" i="11"/>
  <c r="I64" i="11"/>
  <c r="I63" i="11"/>
  <c r="I62" i="11"/>
  <c r="I61" i="11"/>
  <c r="I60" i="11"/>
  <c r="I59" i="11"/>
  <c r="I58" i="11"/>
  <c r="I57" i="11"/>
  <c r="I56" i="11"/>
  <c r="I55" i="11"/>
  <c r="I54" i="11"/>
  <c r="I52" i="11"/>
  <c r="I51" i="11"/>
  <c r="J46" i="11"/>
  <c r="E46" i="11"/>
  <c r="D46" i="11"/>
  <c r="J45" i="11"/>
  <c r="E45" i="11"/>
  <c r="D45" i="11"/>
  <c r="J44" i="11"/>
  <c r="E44" i="11"/>
  <c r="D44" i="11"/>
  <c r="J43" i="11"/>
  <c r="E43" i="11"/>
  <c r="D43" i="11"/>
  <c r="J41" i="11"/>
  <c r="E41" i="11"/>
  <c r="D41" i="11"/>
  <c r="J40" i="11"/>
  <c r="E40" i="11"/>
  <c r="D40" i="11"/>
  <c r="J39" i="11"/>
  <c r="E39" i="11"/>
  <c r="D39" i="11"/>
  <c r="J38" i="11"/>
  <c r="E38" i="11"/>
  <c r="D38" i="11"/>
  <c r="J37" i="11"/>
  <c r="E37" i="11"/>
  <c r="D37" i="11"/>
  <c r="J36" i="11"/>
  <c r="E36" i="11"/>
  <c r="D36" i="11"/>
  <c r="J35" i="11"/>
  <c r="E35" i="11"/>
  <c r="D35" i="11"/>
  <c r="J34" i="11"/>
  <c r="E34" i="11"/>
  <c r="D34" i="11"/>
  <c r="J33" i="11"/>
  <c r="E33" i="11"/>
  <c r="D33" i="11"/>
  <c r="J32" i="11"/>
  <c r="E32" i="11"/>
  <c r="D32" i="11"/>
  <c r="J31" i="11"/>
  <c r="E31" i="11"/>
  <c r="D31" i="11"/>
  <c r="J29" i="11"/>
  <c r="E29" i="11"/>
  <c r="D29" i="11"/>
  <c r="J28" i="11"/>
  <c r="E28" i="11"/>
  <c r="R32" i="11"/>
  <c r="R28" i="11"/>
  <c r="R29" i="11"/>
  <c r="R34" i="11"/>
  <c r="R37" i="11"/>
  <c r="R36" i="11"/>
  <c r="R35" i="11"/>
  <c r="R43" i="11"/>
  <c r="R41" i="11"/>
  <c r="R46" i="11"/>
  <c r="R38" i="11"/>
  <c r="R44" i="11"/>
  <c r="R45" i="11"/>
  <c r="M28" i="11"/>
  <c r="M32" i="11"/>
  <c r="M41" i="11"/>
  <c r="M44" i="11"/>
  <c r="M43" i="11"/>
  <c r="M29" i="11"/>
  <c r="M34" i="11"/>
  <c r="M35" i="11"/>
  <c r="M36" i="11"/>
  <c r="M45" i="11"/>
  <c r="M31" i="11"/>
  <c r="M38" i="11"/>
  <c r="M37" i="11"/>
  <c r="M17" i="11"/>
  <c r="M16" i="11"/>
  <c r="H16" i="11"/>
  <c r="H17" i="11"/>
  <c r="I16" i="11" l="1"/>
  <c r="J16" i="11"/>
  <c r="I17" i="11"/>
  <c r="J17" i="11"/>
  <c r="M33" i="11"/>
  <c r="R36" i="2"/>
  <c r="L39" i="2"/>
  <c r="U33" i="2"/>
  <c r="L38" i="2"/>
  <c r="F45" i="2"/>
  <c r="U44" i="2"/>
  <c r="L33" i="2"/>
  <c r="R38" i="2"/>
  <c r="U45" i="2"/>
  <c r="L43" i="2"/>
  <c r="U41" i="2"/>
  <c r="U43" i="2"/>
  <c r="O36" i="2"/>
  <c r="O34" i="2"/>
  <c r="U34" i="2"/>
  <c r="F43" i="2"/>
  <c r="O33" i="2"/>
  <c r="F39" i="2"/>
  <c r="U30" i="2"/>
  <c r="L34" i="2"/>
  <c r="U46" i="2"/>
  <c r="I46" i="2"/>
  <c r="L31" i="2"/>
  <c r="U40" i="2"/>
  <c r="F41" i="2"/>
  <c r="R37" i="2"/>
  <c r="I30" i="2"/>
  <c r="O44" i="2"/>
  <c r="F40" i="2"/>
  <c r="O42" i="2"/>
  <c r="U31" i="2"/>
  <c r="F44" i="2"/>
  <c r="O30" i="2"/>
  <c r="R39" i="2"/>
  <c r="O40" i="2"/>
  <c r="F46" i="2"/>
  <c r="L47" i="2"/>
  <c r="L40" i="2"/>
  <c r="R44" i="2"/>
  <c r="I40" i="2"/>
  <c r="I34" i="2"/>
  <c r="R40" i="2"/>
  <c r="O38" i="2"/>
  <c r="I41" i="2"/>
  <c r="F37" i="2"/>
  <c r="R41" i="2"/>
  <c r="R34" i="2"/>
  <c r="R30" i="2"/>
  <c r="O47" i="2"/>
  <c r="O45" i="2"/>
  <c r="I45" i="2"/>
  <c r="R43" i="2"/>
  <c r="F42" i="2"/>
  <c r="R47" i="2"/>
  <c r="F47" i="2"/>
  <c r="O31" i="2"/>
  <c r="R31" i="2"/>
  <c r="U47" i="2"/>
  <c r="U36" i="2"/>
  <c r="L46" i="2"/>
  <c r="R45" i="2"/>
  <c r="I31" i="2"/>
  <c r="O39" i="2"/>
  <c r="O41" i="2"/>
  <c r="I44" i="2"/>
  <c r="O43" i="2"/>
  <c r="I36" i="2"/>
  <c r="R46" i="2"/>
  <c r="I33" i="2"/>
  <c r="I42" i="2"/>
  <c r="O46" i="2"/>
  <c r="U42" i="2"/>
  <c r="U39" i="2"/>
  <c r="I38" i="2"/>
  <c r="L42" i="2"/>
  <c r="R33" i="2"/>
  <c r="I39" i="2"/>
  <c r="L44" i="2"/>
  <c r="L37" i="2"/>
  <c r="I43" i="2"/>
  <c r="F38" i="2"/>
  <c r="O37" i="2"/>
  <c r="L30" i="2"/>
  <c r="I47" i="2"/>
  <c r="R42" i="2"/>
  <c r="U38" i="2"/>
  <c r="L45" i="2"/>
  <c r="U37" i="2"/>
  <c r="I37" i="2"/>
  <c r="L36" i="2"/>
  <c r="L41" i="2"/>
  <c r="O17" i="11"/>
  <c r="N17" i="11"/>
  <c r="O16" i="11"/>
  <c r="N16" i="11"/>
  <c r="D16" i="11"/>
  <c r="E16" i="11"/>
  <c r="E17" i="11"/>
  <c r="D17" i="11"/>
  <c r="O29" i="11"/>
  <c r="N29" i="11"/>
  <c r="O32" i="11"/>
  <c r="N32" i="11"/>
  <c r="T28" i="11"/>
  <c r="S28" i="11"/>
  <c r="R31" i="11"/>
  <c r="R33" i="11" s="1"/>
  <c r="T32" i="11"/>
  <c r="S32" i="11"/>
  <c r="N34" i="11"/>
  <c r="O34" i="11"/>
  <c r="N35" i="11"/>
  <c r="O35" i="11"/>
  <c r="N36" i="11"/>
  <c r="O36" i="11"/>
  <c r="N37" i="11"/>
  <c r="O37" i="11"/>
  <c r="N38" i="11"/>
  <c r="O38" i="11"/>
  <c r="O41" i="11"/>
  <c r="N41" i="11"/>
  <c r="N43" i="11"/>
  <c r="O43" i="11"/>
  <c r="N44" i="11"/>
  <c r="O44" i="11"/>
  <c r="N45" i="11"/>
  <c r="O45" i="11"/>
  <c r="N46" i="11"/>
  <c r="O46" i="11"/>
  <c r="O28" i="11"/>
  <c r="N28" i="11"/>
  <c r="S34" i="11"/>
  <c r="T34" i="11"/>
  <c r="S35" i="11"/>
  <c r="T35" i="11"/>
  <c r="S36" i="11"/>
  <c r="T36" i="11"/>
  <c r="S37" i="11"/>
  <c r="T37" i="11"/>
  <c r="S38" i="11"/>
  <c r="T38" i="11"/>
  <c r="S41" i="11"/>
  <c r="T41" i="11"/>
  <c r="S43" i="11"/>
  <c r="T43" i="11"/>
  <c r="S44" i="11"/>
  <c r="T44" i="11"/>
  <c r="T45" i="11"/>
  <c r="S45" i="11"/>
  <c r="S46" i="11"/>
  <c r="T46" i="11"/>
  <c r="O31" i="11"/>
  <c r="N31" i="11"/>
  <c r="T29" i="11"/>
  <c r="S29" i="11"/>
  <c r="U35" i="2" l="1"/>
  <c r="R35" i="2"/>
  <c r="L35" i="2"/>
  <c r="T33" i="11"/>
  <c r="S33" i="11"/>
  <c r="O33" i="11"/>
  <c r="N33" i="11"/>
  <c r="I35" i="2"/>
  <c r="F36" i="2"/>
  <c r="O35" i="2"/>
  <c r="T31" i="11"/>
  <c r="S31" i="11"/>
  <c r="R11" i="2"/>
  <c r="O11" i="2"/>
  <c r="L11" i="2"/>
  <c r="I11" i="2"/>
  <c r="M12" i="9"/>
  <c r="F39" i="10"/>
  <c r="F40" i="10"/>
  <c r="C40" i="10"/>
  <c r="C39" i="10"/>
  <c r="M8" i="11"/>
  <c r="I16" i="10"/>
  <c r="I5" i="10"/>
  <c r="I8" i="10"/>
  <c r="M11" i="11"/>
  <c r="M18" i="11"/>
  <c r="I12" i="10"/>
  <c r="M6" i="11"/>
  <c r="M14" i="11"/>
  <c r="I13" i="10"/>
  <c r="I22" i="10"/>
  <c r="I20" i="10"/>
  <c r="I14" i="10"/>
  <c r="M22" i="11"/>
  <c r="I17" i="10"/>
  <c r="M15" i="11"/>
  <c r="M23" i="11"/>
  <c r="I9" i="10"/>
  <c r="I18" i="10"/>
  <c r="I23" i="10"/>
  <c r="I11" i="10"/>
  <c r="I6" i="10"/>
  <c r="M9" i="11"/>
  <c r="M13" i="11"/>
  <c r="I21" i="10"/>
  <c r="M21" i="11"/>
  <c r="M12" i="11"/>
  <c r="M20" i="11"/>
  <c r="M5" i="11"/>
  <c r="I15" i="10"/>
  <c r="F17" i="10"/>
  <c r="F16" i="10"/>
  <c r="M10" i="11" l="1"/>
  <c r="I10" i="10"/>
  <c r="F34" i="2"/>
  <c r="C37" i="2"/>
  <c r="C42" i="2"/>
  <c r="C47" i="2"/>
  <c r="C43" i="2"/>
  <c r="C41" i="2"/>
  <c r="F33" i="2"/>
  <c r="C45" i="2"/>
  <c r="C40" i="2"/>
  <c r="C36" i="2"/>
  <c r="F31" i="2"/>
  <c r="C44" i="2"/>
  <c r="C39" i="2"/>
  <c r="C46" i="2"/>
  <c r="F30" i="2"/>
  <c r="C38" i="2"/>
  <c r="F11" i="2"/>
  <c r="F35" i="2" l="1"/>
  <c r="C35" i="2"/>
  <c r="M8" i="9"/>
  <c r="M28" i="9" l="1"/>
  <c r="F6" i="10"/>
  <c r="F21" i="10"/>
  <c r="H8" i="11"/>
  <c r="H14" i="11"/>
  <c r="H11" i="11"/>
  <c r="H23" i="11"/>
  <c r="F14" i="10"/>
  <c r="H15" i="11"/>
  <c r="F15" i="10"/>
  <c r="F18" i="10"/>
  <c r="H5" i="11"/>
  <c r="F11" i="10"/>
  <c r="H18" i="11"/>
  <c r="F22" i="10"/>
  <c r="H22" i="11"/>
  <c r="F8" i="10"/>
  <c r="F13" i="10"/>
  <c r="F23" i="10"/>
  <c r="H20" i="11"/>
  <c r="H9" i="11"/>
  <c r="F12" i="10"/>
  <c r="F5" i="10"/>
  <c r="H13" i="11"/>
  <c r="F20" i="10"/>
  <c r="H12" i="11"/>
  <c r="H6" i="11"/>
  <c r="H21" i="11"/>
  <c r="F9" i="10"/>
  <c r="I18" i="11" l="1"/>
  <c r="J18" i="11"/>
  <c r="I21" i="11"/>
  <c r="J21" i="11"/>
  <c r="I9" i="11"/>
  <c r="J9" i="11"/>
  <c r="I12" i="11"/>
  <c r="J12" i="11"/>
  <c r="I20" i="11"/>
  <c r="J20" i="11"/>
  <c r="I15" i="11"/>
  <c r="J15" i="11"/>
  <c r="I22" i="11"/>
  <c r="J22" i="11"/>
  <c r="I5" i="11"/>
  <c r="J5" i="11"/>
  <c r="I23" i="11"/>
  <c r="J23" i="11"/>
  <c r="I6" i="11"/>
  <c r="J6" i="11"/>
  <c r="J8" i="11"/>
  <c r="I8" i="11"/>
  <c r="I13" i="11"/>
  <c r="J13" i="11"/>
  <c r="I11" i="11"/>
  <c r="J11" i="11"/>
  <c r="J14" i="11"/>
  <c r="I14" i="11"/>
  <c r="H10" i="11"/>
  <c r="F10" i="10"/>
  <c r="I10" i="11" l="1"/>
  <c r="J10" i="11"/>
  <c r="M4" i="9"/>
  <c r="C10" i="10" l="1"/>
  <c r="E10" i="8"/>
  <c r="S6" i="11" l="1"/>
  <c r="S8" i="11"/>
  <c r="S9" i="11"/>
  <c r="S10" i="11"/>
  <c r="S11" i="11"/>
  <c r="S12" i="11"/>
  <c r="S13" i="11"/>
  <c r="S14" i="11"/>
  <c r="S15" i="11"/>
  <c r="S16" i="11"/>
  <c r="S17" i="11"/>
  <c r="S18" i="11"/>
  <c r="S20" i="11"/>
  <c r="S21" i="11"/>
  <c r="S22" i="11"/>
  <c r="S23" i="11"/>
  <c r="T6" i="11"/>
  <c r="T8" i="11"/>
  <c r="T9" i="11"/>
  <c r="T10" i="11"/>
  <c r="T11" i="11"/>
  <c r="T12" i="11"/>
  <c r="T13" i="11"/>
  <c r="T14" i="11"/>
  <c r="T15" i="11"/>
  <c r="T16" i="11"/>
  <c r="T17" i="11"/>
  <c r="T18" i="11"/>
  <c r="T20" i="11"/>
  <c r="T21" i="11"/>
  <c r="T22" i="11"/>
  <c r="T23" i="11"/>
  <c r="T5" i="11"/>
  <c r="N6" i="11"/>
  <c r="N8" i="11"/>
  <c r="N9" i="11"/>
  <c r="N10" i="11"/>
  <c r="N11" i="11"/>
  <c r="N12" i="11"/>
  <c r="N13" i="11"/>
  <c r="N14" i="11"/>
  <c r="N15" i="11"/>
  <c r="N18" i="11"/>
  <c r="N20" i="11"/>
  <c r="N21" i="11"/>
  <c r="N22" i="11"/>
  <c r="N23" i="11"/>
  <c r="O6" i="11"/>
  <c r="O8" i="11"/>
  <c r="O9" i="11"/>
  <c r="O10" i="11"/>
  <c r="O11" i="11"/>
  <c r="O12" i="11"/>
  <c r="O13" i="11"/>
  <c r="O14" i="11"/>
  <c r="O15" i="11"/>
  <c r="O18" i="11"/>
  <c r="O20" i="11"/>
  <c r="O21" i="11"/>
  <c r="O22" i="11"/>
  <c r="O23" i="11"/>
  <c r="O5" i="11"/>
  <c r="E6" i="11"/>
  <c r="E8" i="11"/>
  <c r="E9" i="11"/>
  <c r="E10" i="11"/>
  <c r="E11" i="11"/>
  <c r="E12" i="11"/>
  <c r="E13" i="11"/>
  <c r="E14" i="11"/>
  <c r="E15" i="11"/>
  <c r="E18" i="11"/>
  <c r="E20" i="11"/>
  <c r="E21" i="11"/>
  <c r="E22" i="11"/>
  <c r="E23" i="11"/>
  <c r="E5" i="11"/>
  <c r="S5" i="11"/>
  <c r="N5" i="11"/>
  <c r="D6" i="11"/>
  <c r="D8" i="11"/>
  <c r="D9" i="11"/>
  <c r="D10" i="11"/>
  <c r="D11" i="11"/>
  <c r="D12" i="11"/>
  <c r="D13" i="11"/>
  <c r="D14" i="11"/>
  <c r="D15" i="11"/>
  <c r="D18" i="11"/>
  <c r="D20" i="11"/>
  <c r="D21" i="11"/>
  <c r="D22" i="11"/>
  <c r="D23" i="11"/>
  <c r="D5" i="11"/>
  <c r="M32" i="9"/>
  <c r="N48" i="9"/>
  <c r="N44" i="9"/>
  <c r="N40" i="9"/>
  <c r="M38" i="9"/>
  <c r="L38" i="9"/>
  <c r="N36" i="9"/>
  <c r="M6" i="9"/>
  <c r="L6" i="9"/>
  <c r="N4" i="9"/>
  <c r="M30" i="9"/>
  <c r="N20" i="9"/>
  <c r="M18" i="9"/>
  <c r="L18" i="9"/>
  <c r="N16" i="9"/>
  <c r="M14" i="9"/>
  <c r="L14" i="9"/>
  <c r="N12" i="9"/>
  <c r="M10" i="9"/>
  <c r="L10" i="9"/>
  <c r="N8" i="9"/>
  <c r="F46" i="10"/>
  <c r="C32" i="10"/>
  <c r="C29" i="10"/>
  <c r="D75" i="8"/>
  <c r="C36" i="10"/>
  <c r="C46" i="10"/>
  <c r="C44" i="10"/>
  <c r="D91" i="8"/>
  <c r="C41" i="10"/>
  <c r="D67" i="8"/>
  <c r="C43" i="10"/>
  <c r="D71" i="8"/>
  <c r="D70" i="8"/>
  <c r="C35" i="10"/>
  <c r="C28" i="10"/>
  <c r="D86" i="8"/>
  <c r="D78" i="8"/>
  <c r="C37" i="10"/>
  <c r="C45" i="10"/>
  <c r="D90" i="8"/>
  <c r="D82" i="8"/>
  <c r="D79" i="8"/>
  <c r="C38" i="10"/>
  <c r="D66" i="8"/>
  <c r="C34" i="10"/>
  <c r="D83" i="8"/>
  <c r="D74" i="8"/>
  <c r="D87" i="8"/>
  <c r="C31" i="10"/>
  <c r="T7" i="1" l="1"/>
  <c r="T10" i="1" s="1"/>
  <c r="T15" i="1"/>
  <c r="M34" i="9"/>
  <c r="N38" i="9"/>
  <c r="C33" i="10"/>
  <c r="N18" i="9"/>
  <c r="N14" i="9"/>
  <c r="N10" i="9"/>
  <c r="N6" i="9"/>
  <c r="C24" i="1"/>
  <c r="F45" i="10"/>
  <c r="K82" i="8"/>
  <c r="K78" i="8"/>
  <c r="F35" i="10"/>
  <c r="K91" i="8"/>
  <c r="F36" i="10"/>
  <c r="F29" i="10"/>
  <c r="F41" i="10"/>
  <c r="K75" i="8"/>
  <c r="K74" i="8"/>
  <c r="K66" i="8"/>
  <c r="F32" i="10"/>
  <c r="F44" i="10"/>
  <c r="K87" i="8"/>
  <c r="K70" i="8"/>
  <c r="K67" i="8"/>
  <c r="F38" i="10"/>
  <c r="F43" i="10"/>
  <c r="K83" i="8"/>
  <c r="F37" i="10"/>
  <c r="F28" i="10"/>
  <c r="F34" i="10"/>
  <c r="K79" i="8"/>
  <c r="K90" i="8"/>
  <c r="K71" i="8"/>
  <c r="K86" i="8"/>
  <c r="D24" i="9" l="1"/>
  <c r="F24" i="9" s="1"/>
  <c r="D9" i="9"/>
  <c r="F9" i="9" s="1"/>
  <c r="D28" i="9"/>
  <c r="F28" i="9" s="1"/>
  <c r="D17" i="9"/>
  <c r="F17" i="9" s="1"/>
  <c r="D21" i="9"/>
  <c r="F21" i="9" s="1"/>
  <c r="D5" i="9"/>
  <c r="F5" i="9" s="1"/>
  <c r="D8" i="9"/>
  <c r="D25" i="9"/>
  <c r="F25" i="9" s="1"/>
  <c r="D4" i="9"/>
  <c r="F4" i="9" s="1"/>
  <c r="D12" i="9"/>
  <c r="F12" i="9" s="1"/>
  <c r="D13" i="9"/>
  <c r="F13" i="9" s="1"/>
  <c r="C7" i="1"/>
  <c r="K7" i="1" s="1"/>
  <c r="D29" i="9"/>
  <c r="F29" i="9" s="1"/>
  <c r="D16" i="9"/>
  <c r="F16" i="9" s="1"/>
  <c r="D20" i="9"/>
  <c r="F20" i="9" s="1"/>
  <c r="G7" i="1"/>
  <c r="G24" i="1"/>
  <c r="O24" i="1"/>
  <c r="K24" i="1"/>
  <c r="U15" i="1"/>
  <c r="T17" i="1"/>
  <c r="U17" i="1" s="1"/>
  <c r="L30" i="9"/>
  <c r="N30" i="9" s="1"/>
  <c r="N28" i="9"/>
  <c r="C6" i="1"/>
  <c r="C10" i="1"/>
  <c r="C12" i="1"/>
  <c r="C13" i="1"/>
  <c r="C14" i="1"/>
  <c r="C15" i="1"/>
  <c r="C16" i="1"/>
  <c r="C17" i="1"/>
  <c r="C18" i="1"/>
  <c r="C19" i="1"/>
  <c r="C21" i="1"/>
  <c r="C22" i="1"/>
  <c r="C23" i="1"/>
  <c r="F31" i="10"/>
  <c r="C9" i="1" s="1"/>
  <c r="G9" i="1" s="1"/>
  <c r="R92" i="8"/>
  <c r="T91" i="8"/>
  <c r="T90" i="8"/>
  <c r="R88" i="8"/>
  <c r="T87" i="8"/>
  <c r="T86" i="8"/>
  <c r="R84" i="8"/>
  <c r="T84" i="8" s="1"/>
  <c r="T83" i="8"/>
  <c r="T82" i="8"/>
  <c r="R80" i="8"/>
  <c r="T79" i="8"/>
  <c r="T78" i="8"/>
  <c r="R76" i="8"/>
  <c r="T75" i="8"/>
  <c r="T74" i="8"/>
  <c r="R72" i="8"/>
  <c r="T71" i="8"/>
  <c r="T70" i="8"/>
  <c r="R68" i="8"/>
  <c r="T67" i="8"/>
  <c r="T66" i="8"/>
  <c r="D10" i="9" l="1"/>
  <c r="F10" i="9" s="1"/>
  <c r="D18" i="9"/>
  <c r="F18" i="9" s="1"/>
  <c r="D22" i="9"/>
  <c r="F22" i="9" s="1"/>
  <c r="F8" i="9"/>
  <c r="D14" i="9"/>
  <c r="F14" i="9" s="1"/>
  <c r="O9" i="1"/>
  <c r="D30" i="9"/>
  <c r="F30" i="9" s="1"/>
  <c r="O7" i="1"/>
  <c r="D26" i="9"/>
  <c r="F26" i="9" s="1"/>
  <c r="D6" i="9"/>
  <c r="F6" i="9" s="1"/>
  <c r="K9" i="1"/>
  <c r="K19" i="1"/>
  <c r="G19" i="1"/>
  <c r="O19" i="1"/>
  <c r="G16" i="1"/>
  <c r="O16" i="1"/>
  <c r="K16" i="1"/>
  <c r="O23" i="1"/>
  <c r="K23" i="1"/>
  <c r="G23" i="1"/>
  <c r="K10" i="1"/>
  <c r="G10" i="1"/>
  <c r="O10" i="1"/>
  <c r="G6" i="1"/>
  <c r="O6" i="1"/>
  <c r="K6" i="1"/>
  <c r="G15" i="1"/>
  <c r="O15" i="1"/>
  <c r="K15" i="1"/>
  <c r="G14" i="1"/>
  <c r="K14" i="1"/>
  <c r="O14" i="1"/>
  <c r="K22" i="1"/>
  <c r="G22" i="1"/>
  <c r="O22" i="1"/>
  <c r="G13" i="1"/>
  <c r="O13" i="1"/>
  <c r="K13" i="1"/>
  <c r="G18" i="1"/>
  <c r="O18" i="1"/>
  <c r="K18" i="1"/>
  <c r="G17" i="1"/>
  <c r="O17" i="1"/>
  <c r="K17" i="1"/>
  <c r="G21" i="1"/>
  <c r="K21" i="1"/>
  <c r="O21" i="1"/>
  <c r="G12" i="1"/>
  <c r="O12" i="1"/>
  <c r="K12" i="1"/>
  <c r="U8" i="1"/>
  <c r="F33" i="10"/>
  <c r="T92" i="8"/>
  <c r="T88" i="8"/>
  <c r="T76" i="8"/>
  <c r="T72" i="8"/>
  <c r="T68" i="8"/>
  <c r="C11" i="1"/>
  <c r="T80" i="8"/>
  <c r="U7" i="1"/>
  <c r="L34" i="9"/>
  <c r="N34" i="9" s="1"/>
  <c r="N32" i="9"/>
  <c r="F97" i="8"/>
  <c r="K92" i="8"/>
  <c r="M91" i="8"/>
  <c r="M90" i="8"/>
  <c r="K88" i="8"/>
  <c r="M87" i="8"/>
  <c r="M86" i="8"/>
  <c r="K84" i="8"/>
  <c r="M83" i="8"/>
  <c r="M82" i="8"/>
  <c r="K80" i="8"/>
  <c r="M79" i="8"/>
  <c r="M78" i="8"/>
  <c r="K76" i="8"/>
  <c r="M75" i="8"/>
  <c r="M74" i="8"/>
  <c r="K72" i="8"/>
  <c r="M71" i="8"/>
  <c r="M70" i="8"/>
  <c r="K68" i="8"/>
  <c r="M67" i="8"/>
  <c r="M66" i="8"/>
  <c r="D92" i="8"/>
  <c r="F91" i="8"/>
  <c r="F90" i="8"/>
  <c r="D88" i="8"/>
  <c r="F87" i="8"/>
  <c r="F86" i="8"/>
  <c r="D84" i="8"/>
  <c r="F83" i="8"/>
  <c r="F82" i="8"/>
  <c r="D80" i="8"/>
  <c r="F79" i="8"/>
  <c r="F78" i="8"/>
  <c r="D76" i="8"/>
  <c r="F75" i="8"/>
  <c r="F74" i="8"/>
  <c r="D72" i="8"/>
  <c r="F71" i="8"/>
  <c r="F70" i="8"/>
  <c r="D68" i="8"/>
  <c r="F67" i="8"/>
  <c r="F66" i="8"/>
  <c r="K61" i="8"/>
  <c r="M60" i="8"/>
  <c r="M59" i="8"/>
  <c r="L57" i="8"/>
  <c r="K57" i="8"/>
  <c r="M56" i="8"/>
  <c r="M55" i="8"/>
  <c r="L53" i="8"/>
  <c r="K53" i="8"/>
  <c r="M52" i="8"/>
  <c r="M51" i="8"/>
  <c r="L49" i="8"/>
  <c r="K49" i="8"/>
  <c r="M48" i="8"/>
  <c r="M47" i="8"/>
  <c r="K45" i="8"/>
  <c r="M44" i="8"/>
  <c r="M43" i="8"/>
  <c r="L41" i="8"/>
  <c r="K41" i="8"/>
  <c r="M40" i="8"/>
  <c r="M39" i="8"/>
  <c r="L37" i="8"/>
  <c r="K37" i="8"/>
  <c r="M36" i="8"/>
  <c r="M35" i="8"/>
  <c r="E61" i="8"/>
  <c r="D61" i="8"/>
  <c r="F60" i="8"/>
  <c r="F59" i="8"/>
  <c r="D57" i="8"/>
  <c r="F56" i="8"/>
  <c r="F55" i="8"/>
  <c r="E53" i="8"/>
  <c r="D53" i="8"/>
  <c r="F52" i="8"/>
  <c r="F51" i="8"/>
  <c r="E49" i="8"/>
  <c r="D49" i="8"/>
  <c r="F48" i="8"/>
  <c r="F47" i="8"/>
  <c r="E45" i="8"/>
  <c r="D45" i="8"/>
  <c r="F44" i="8"/>
  <c r="F43" i="8"/>
  <c r="D41" i="8"/>
  <c r="F40" i="8"/>
  <c r="F39" i="8"/>
  <c r="E37" i="8"/>
  <c r="D37" i="8"/>
  <c r="F36" i="8"/>
  <c r="F35" i="8"/>
  <c r="U10" i="1" l="1"/>
  <c r="F53" i="8"/>
  <c r="F37" i="8"/>
  <c r="F61" i="8"/>
  <c r="M45" i="8"/>
  <c r="M57" i="8"/>
  <c r="F72" i="8"/>
  <c r="F84" i="8"/>
  <c r="M68" i="8"/>
  <c r="M92" i="8"/>
  <c r="F45" i="8"/>
  <c r="M61" i="8"/>
  <c r="F76" i="8"/>
  <c r="F57" i="8"/>
  <c r="M41" i="8"/>
  <c r="M53" i="8"/>
  <c r="F68" i="8"/>
  <c r="M88" i="8"/>
  <c r="M49" i="8"/>
  <c r="M84" i="8"/>
  <c r="F88" i="8"/>
  <c r="M72" i="8"/>
  <c r="F49" i="8"/>
  <c r="F41" i="8"/>
  <c r="M80" i="8"/>
  <c r="M37" i="8"/>
  <c r="F80" i="8"/>
  <c r="F92" i="8"/>
  <c r="M76" i="8"/>
  <c r="D30" i="8" l="1"/>
  <c r="D26" i="8"/>
  <c r="D22" i="8"/>
  <c r="D18" i="8"/>
  <c r="D14" i="8"/>
  <c r="D10" i="8"/>
  <c r="E6" i="8"/>
  <c r="D6" i="8"/>
  <c r="F6" i="8" l="1"/>
  <c r="F26" i="8" l="1"/>
  <c r="F22" i="8"/>
  <c r="F30" i="8" l="1"/>
  <c r="F17" i="8"/>
  <c r="F20" i="8"/>
  <c r="F21" i="8"/>
  <c r="F24" i="8"/>
  <c r="F25" i="8"/>
  <c r="F28" i="8"/>
  <c r="F29" i="8"/>
  <c r="F13" i="8"/>
  <c r="F9" i="8"/>
  <c r="F5" i="8"/>
  <c r="F4" i="8"/>
  <c r="F8" i="8" l="1"/>
  <c r="F10" i="8"/>
  <c r="F12" i="8"/>
  <c r="F14" i="8"/>
  <c r="F16" i="8"/>
  <c r="E18" i="8"/>
  <c r="F18" i="8" s="1"/>
</calcChain>
</file>

<file path=xl/sharedStrings.xml><?xml version="1.0" encoding="utf-8"?>
<sst xmlns="http://schemas.openxmlformats.org/spreadsheetml/2006/main" count="1919" uniqueCount="103">
  <si>
    <t>Yearly Total</t>
  </si>
  <si>
    <t>AM Field</t>
  </si>
  <si>
    <t>PM Field</t>
  </si>
  <si>
    <t>Total Field</t>
  </si>
  <si>
    <t>Member Play</t>
  </si>
  <si>
    <t>Member Intro</t>
  </si>
  <si>
    <t>Corporate</t>
  </si>
  <si>
    <t>Reciprocal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</si>
  <si>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</si>
  <si>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</si>
  <si>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</si>
  <si>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</si>
  <si>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</si>
  <si>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</si>
  <si>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</si>
  <si>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</si>
  <si>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</si>
  <si>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</si>
  <si>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Bookings</t>
  </si>
  <si>
    <t>Spots Available</t>
  </si>
  <si>
    <t>Occupancy</t>
  </si>
  <si>
    <t>Notes</t>
  </si>
  <si>
    <t>Feburary</t>
  </si>
  <si>
    <t>Monday</t>
  </si>
  <si>
    <t>AM</t>
  </si>
  <si>
    <t>PM</t>
  </si>
  <si>
    <t>Total Occupancy</t>
  </si>
  <si>
    <t>Tuesday</t>
  </si>
  <si>
    <t>Wednesday</t>
  </si>
  <si>
    <t>Thursday</t>
  </si>
  <si>
    <t>Friday</t>
  </si>
  <si>
    <t>Saturday</t>
  </si>
  <si>
    <t>Sunday</t>
  </si>
  <si>
    <t>Day by Totals</t>
  </si>
  <si>
    <t>JANUARY</t>
  </si>
  <si>
    <t>Row Labels</t>
  </si>
  <si>
    <t>Sum of AM FIELD</t>
  </si>
  <si>
    <t>Sum of PM FIELD</t>
  </si>
  <si>
    <t>Sum of TOTAL FIELD</t>
  </si>
  <si>
    <t>Sum of No. GUESTS</t>
  </si>
  <si>
    <t>Sum of MEMBER</t>
  </si>
  <si>
    <t>Sum of MANAGER INTRO</t>
  </si>
  <si>
    <t>Sum of CORPORATE</t>
  </si>
  <si>
    <t>Sum of VOUCHER</t>
  </si>
  <si>
    <t>Sum of RECIP</t>
  </si>
  <si>
    <t>Sum of COMP</t>
  </si>
  <si>
    <t>Mon</t>
  </si>
  <si>
    <t>Tue</t>
  </si>
  <si>
    <t>Wed</t>
  </si>
  <si>
    <t>Thu</t>
  </si>
  <si>
    <t>Fri</t>
  </si>
  <si>
    <t>Sat</t>
  </si>
  <si>
    <t>Sun</t>
  </si>
  <si>
    <t>Grand Total</t>
  </si>
  <si>
    <t>MARCH</t>
  </si>
  <si>
    <t>APRIL</t>
  </si>
  <si>
    <t>MAY</t>
  </si>
  <si>
    <t>JUNE</t>
  </si>
  <si>
    <t>Sum of MEMB GUEST MICLUB</t>
  </si>
  <si>
    <t>JULY</t>
  </si>
  <si>
    <t>November</t>
  </si>
  <si>
    <t>Sum of INTERSTATE</t>
  </si>
  <si>
    <t>Sum of INTERNATIONAL</t>
  </si>
  <si>
    <t>Sum of INDUSTRY GUEST</t>
  </si>
  <si>
    <t>Sum of MEMB GUEST UNACCOMPANIED</t>
  </si>
  <si>
    <t>Sum of NON-PLAYING</t>
  </si>
  <si>
    <t>FEBRUARY</t>
  </si>
  <si>
    <t>AUGUST</t>
  </si>
  <si>
    <t>Member / Guest Ratio</t>
  </si>
  <si>
    <t>Interstate</t>
  </si>
  <si>
    <t>International</t>
  </si>
  <si>
    <t>Industry Guest</t>
  </si>
  <si>
    <t>Member Guest Unaccompanied</t>
  </si>
  <si>
    <t>Voucher</t>
  </si>
  <si>
    <t>Competition</t>
  </si>
  <si>
    <t>February</t>
  </si>
  <si>
    <t>Guests</t>
  </si>
  <si>
    <t>Manger Intro</t>
  </si>
  <si>
    <t>Non Playing</t>
  </si>
  <si>
    <t>Total Average (Month)</t>
  </si>
  <si>
    <t>Total Average (Week)</t>
  </si>
  <si>
    <t xml:space="preserve">Occupancy </t>
  </si>
  <si>
    <t>Daily</t>
  </si>
  <si>
    <t>Weekly</t>
  </si>
  <si>
    <t>Averages (Day)</t>
  </si>
  <si>
    <t>Total Average (Day)</t>
  </si>
  <si>
    <t>-</t>
  </si>
  <si>
    <t>SEPTEMBER</t>
  </si>
  <si>
    <t>OCTOBER</t>
  </si>
  <si>
    <t>NOVEMBER</t>
  </si>
  <si>
    <t>DECEMBER</t>
  </si>
  <si>
    <t>Time</t>
  </si>
  <si>
    <t>Total</t>
  </si>
  <si>
    <t>Event</t>
  </si>
  <si>
    <t>Sum of EVENT</t>
  </si>
  <si>
    <t>Percentage</t>
  </si>
  <si>
    <t>2025 Totals (By Day)</t>
  </si>
  <si>
    <t>2025 Totals (By Month)</t>
  </si>
  <si>
    <t>2025 Occupancy Totals</t>
  </si>
  <si>
    <t>After 3PM</t>
  </si>
  <si>
    <t>After 3pm</t>
  </si>
  <si>
    <t>Sum of AFTER 3PM</t>
  </si>
  <si>
    <t>Occupancy (Excluding 3pm)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</si>
</sst>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  <numFmt numFmtId="165" formatCode="0.0"/>
    <numFmt numFmtId="166" formatCode="_-* #,##0_-;\-* #,##0_-;_-* &quot;-&quot;??_-;_-@_-"/>
    <numFmt numFmtId="167" formatCode="[$-F800]dddd\,\ mmmm\ dd\,\ yyyy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sz val="11"/>
      <color theme="1"/>
      <name val="Aptos Narrow"/>
      <family val="2"/>
      <scheme val="minor"/>
    </font>
    <font>
      <b/>
      <sz val="16"/>
      <color theme="1"/>
      <name val="Open Sans"/>
      <family val="2"/>
    </font>
    <font>
      <b/>
      <sz val="14"/>
      <color theme="1"/>
      <name val="Open Sans"/>
      <family val="2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sz val="14"/>
      <color theme="1"/>
      <name val="Open Sans"/>
      <family val="2"/>
    </font>
    <font>
      <sz val="12"/>
      <color theme="1"/>
      <name val="Open Sans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6256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9" fontId="5" fillId="0" borderId="4" xfId="1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9" fontId="5" fillId="0" borderId="11" xfId="1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9" fontId="6" fillId="0" borderId="9" xfId="1" applyFont="1" applyBorder="1" applyAlignment="1">
      <alignment horizontal="center" wrapText="1"/>
    </xf>
    <xf numFmtId="0" fontId="5" fillId="0" borderId="10" xfId="0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9" fontId="6" fillId="0" borderId="6" xfId="1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9" fontId="5" fillId="0" borderId="0" xfId="1" applyFont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 wrapText="1"/>
    </xf>
    <xf numFmtId="9" fontId="5" fillId="0" borderId="0" xfId="1" applyFont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/>
    </xf>
    <xf numFmtId="0" fontId="5" fillId="0" borderId="4" xfId="0" applyFont="1" applyBorder="1" applyAlignment="1">
      <alignment horizontal="center"/>
    </xf>
    <xf numFmtId="164" fontId="5" fillId="0" borderId="1" xfId="1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9" fontId="5" fillId="0" borderId="0" xfId="1" applyFont="1" applyBorder="1" applyAlignment="1">
      <alignment horizontal="center" vertical="center" wrapText="1"/>
    </xf>
    <xf numFmtId="9" fontId="6" fillId="0" borderId="0" xfId="1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9" fontId="5" fillId="0" borderId="0" xfId="1" applyFont="1" applyFill="1" applyBorder="1" applyAlignment="1">
      <alignment horizontal="center" vertical="center" wrapText="1"/>
    </xf>
    <xf numFmtId="9" fontId="6" fillId="0" borderId="0" xfId="1" applyFont="1" applyFill="1" applyBorder="1" applyAlignment="1">
      <alignment horizontal="center" vertical="center"/>
    </xf>
    <xf numFmtId="9" fontId="5" fillId="0" borderId="0" xfId="1" applyFont="1" applyFill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6" fillId="0" borderId="1" xfId="3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9" fontId="7" fillId="0" borderId="0" xfId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4" fillId="0" borderId="0" xfId="2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/>
    <xf numFmtId="166" fontId="7" fillId="0" borderId="0" xfId="0" applyNumberFormat="1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6" fontId="5" fillId="0" borderId="1" xfId="3" applyNumberFormat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164" fontId="5" fillId="5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6" fontId="5" fillId="0" borderId="0" xfId="3" applyNumberFormat="1" applyFont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9" fontId="6" fillId="0" borderId="0" xfId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/>
    </xf>
    <xf numFmtId="0" fontId="5" fillId="0" borderId="24" xfId="0" applyFont="1" applyBorder="1" applyAlignment="1">
      <alignment horizontal="center" wrapText="1"/>
    </xf>
    <xf numFmtId="166" fontId="6" fillId="0" borderId="1" xfId="1" applyNumberFormat="1" applyFont="1" applyBorder="1" applyAlignment="1">
      <alignment horizontal="center" vertical="center"/>
    </xf>
    <xf numFmtId="9" fontId="5" fillId="0" borderId="24" xfId="1" applyFont="1" applyBorder="1" applyAlignment="1">
      <alignment horizontal="center" wrapText="1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/>
    </xf>
    <xf numFmtId="0" fontId="5" fillId="0" borderId="27" xfId="0" applyFont="1" applyBorder="1" applyAlignment="1">
      <alignment horizontal="center" wrapText="1"/>
    </xf>
    <xf numFmtId="9" fontId="5" fillId="0" borderId="27" xfId="1" applyFont="1" applyBorder="1" applyAlignment="1">
      <alignment horizontal="center" wrapText="1"/>
    </xf>
    <xf numFmtId="0" fontId="5" fillId="0" borderId="28" xfId="0" applyFont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C62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Rounds%20Tracking%20Template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6%20Round%20Tracking/2026%20February%20Round%20Tracking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6%20Round%20Tracking/2026%20January%20Round%20Tracking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 Shop" refreshedDate="45945.483691435184" createdVersion="8" refreshedVersion="8" minRefreshableVersion="3" recordCount="31" xr:uid="{A32E4D0A-4E98-47A6-B419-4A264B3AD1DD}">
  <cacheSource type="worksheet">
    <worksheetSource ref="A1:U32" sheet="Daily Numbers" r:id="rId2"/>
  </cacheSource>
  <cacheFields count="21">
    <cacheField name="DATE" numFmtId="14">
      <sharedItems containsSemiMixedTypes="0" containsNonDate="0" containsDate="1" containsString="0" minDate="2024-08-01T00:00:00" maxDate="2024-09-01T00:00:00"/>
    </cacheField>
    <cacheField name="DAY" numFmtId="0">
      <sharedItems count="7">
        <s v="Thu"/>
        <s v="Fri"/>
        <s v="Sat"/>
        <s v="Sun"/>
        <s v="Mon"/>
        <s v="Tue"/>
        <s v="Wed"/>
      </sharedItems>
    </cacheField>
    <cacheField name="AM FIELD" numFmtId="0">
      <sharedItems containsSemiMixedTypes="0" containsString="0" containsNumber="1" containsInteger="1" minValue="0" maxValue="0"/>
    </cacheField>
    <cacheField name="PM FIELD" numFmtId="0">
      <sharedItems containsSemiMixedTypes="0" containsString="0" containsNumber="1" containsInteger="1" minValue="0" maxValue="0"/>
    </cacheField>
    <cacheField name="AFTER 3PM" numFmtId="0">
      <sharedItems containsSemiMixedTypes="0" containsString="0" containsNumber="1" containsInteger="1" minValue="0" maxValue="0"/>
    </cacheField>
    <cacheField name="TOTAL FIELD" numFmtId="0">
      <sharedItems containsSemiMixedTypes="0" containsString="0" containsNumber="1" containsInteger="1" minValue="0" maxValue="0"/>
    </cacheField>
    <cacheField name="No. GUESTS" numFmtId="0">
      <sharedItems containsSemiMixedTypes="0" containsString="0" containsNumber="1" containsInteger="1" minValue="0" maxValue="0"/>
    </cacheField>
    <cacheField name="MEMBER" numFmtId="0">
      <sharedItems containsSemiMixedTypes="0" containsString="0" containsNumber="1" containsInteger="1" minValue="0" maxValue="0"/>
    </cacheField>
    <cacheField name="MEMBER / GUEST RATIO" numFmtId="9">
      <sharedItems/>
    </cacheField>
    <cacheField name="MANAGER INTRO" numFmtId="0">
      <sharedItems containsSemiMixedTypes="0" containsString="0" containsNumber="1" containsInteger="1" minValue="0" maxValue="0"/>
    </cacheField>
    <cacheField name="INTERSTATE" numFmtId="0">
      <sharedItems containsSemiMixedTypes="0" containsString="0" containsNumber="1" containsInteger="1" minValue="0" maxValue="0"/>
    </cacheField>
    <cacheField name="INTERNATIONAL" numFmtId="0">
      <sharedItems containsSemiMixedTypes="0" containsString="0" containsNumber="1" containsInteger="1" minValue="0" maxValue="0"/>
    </cacheField>
    <cacheField name="INDUSTRY GUEST" numFmtId="0">
      <sharedItems containsSemiMixedTypes="0" containsString="0" containsNumber="1" containsInteger="1" minValue="0" maxValue="0"/>
    </cacheField>
    <cacheField name="MEMB GUEST MICLUB" numFmtId="0">
      <sharedItems containsSemiMixedTypes="0" containsString="0" containsNumber="1" containsInteger="1" minValue="0" maxValue="0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0"/>
    </cacheField>
    <cacheField name="EVENT" numFmtId="0">
      <sharedItems containsSemiMixedTypes="0" containsString="0" containsNumber="1" containsInteger="1" minValue="0" maxValue="0"/>
    </cacheField>
    <cacheField name="NON-PLAYING" numFmtId="0">
      <sharedItems containsSemiMixedTypes="0" containsString="0" containsNumber="1" containsInteger="1" minValue="0" maxValue="0"/>
    </cacheField>
    <cacheField name="VOUCHER" numFmtId="0">
      <sharedItems containsSemiMixedTypes="0" containsString="0" containsNumber="1" containsInteger="1" minValue="0" maxValue="0"/>
    </cacheField>
    <cacheField name="RECIP" numFmtId="0">
      <sharedItems containsSemiMixedTypes="0" containsString="0" containsNumber="1" containsInteger="1" minValue="0" maxValue="0"/>
    </cacheField>
    <cacheField name="COMP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6084.304691898149" createdVersion="8" refreshedVersion="8" minRefreshableVersion="3" recordCount="28" xr:uid="{27A1BD98-46BB-42C3-8F48-268E8437AB94}">
  <cacheSource type="worksheet">
    <worksheetSource ref="A1:U29" sheet="Daily Numbers" r:id="rId2"/>
  </cacheSource>
  <cacheFields count="21">
    <cacheField name="DATE" numFmtId="14">
      <sharedItems containsSemiMixedTypes="0" containsNonDate="0" containsDate="1" containsString="0" minDate="2026-02-01T00:00:00" maxDate="2026-03-01T00:00:00"/>
    </cacheField>
    <cacheField name="DAY" numFmtId="0">
      <sharedItems count="7">
        <s v="Sun"/>
        <s v="Mon"/>
        <s v="Tue"/>
        <s v="Wed"/>
        <s v="Thu"/>
        <s v="Fri"/>
        <s v="Sat"/>
      </sharedItems>
    </cacheField>
    <cacheField name="AM FIELD" numFmtId="0">
      <sharedItems containsSemiMixedTypes="0" containsString="0" containsNumber="1" containsInteger="1" minValue="0" maxValue="126"/>
    </cacheField>
    <cacheField name="PM FIELD" numFmtId="0">
      <sharedItems containsSemiMixedTypes="0" containsString="0" containsNumber="1" containsInteger="1" minValue="2" maxValue="97"/>
    </cacheField>
    <cacheField name="AFTER 3PM" numFmtId="0">
      <sharedItems containsSemiMixedTypes="0" containsString="0" containsNumber="1" containsInteger="1" minValue="0" maxValue="72"/>
    </cacheField>
    <cacheField name="TOTAL FIELD" numFmtId="0">
      <sharedItems containsSemiMixedTypes="0" containsString="0" containsNumber="1" containsInteger="1" minValue="76" maxValue="225"/>
    </cacheField>
    <cacheField name="No. GUESTS" numFmtId="0">
      <sharedItems containsSemiMixedTypes="0" containsString="0" containsNumber="1" containsInteger="1" minValue="0" maxValue="154"/>
    </cacheField>
    <cacheField name="MEMBER" numFmtId="0">
      <sharedItems containsSemiMixedTypes="0" containsString="0" containsNumber="1" containsInteger="1" minValue="60" maxValue="186"/>
    </cacheField>
    <cacheField name="MEMBER / GUEST RATIO" numFmtId="9">
      <sharedItems containsSemiMixedTypes="0" containsString="0" containsNumber="1" minValue="0" maxValue="0.68444444444444441"/>
    </cacheField>
    <cacheField name="MANAGER INTRO" numFmtId="0">
      <sharedItems containsSemiMixedTypes="0" containsString="0" containsNumber="1" containsInteger="1" minValue="0" maxValue="12"/>
    </cacheField>
    <cacheField name="INTERSTATE" numFmtId="0">
      <sharedItems containsSemiMixedTypes="0" containsString="0" containsNumber="1" containsInteger="1" minValue="0" maxValue="4"/>
    </cacheField>
    <cacheField name="INTERNATIONAL" numFmtId="0">
      <sharedItems containsSemiMixedTypes="0" containsString="0" containsNumber="1" containsInteger="1" minValue="0" maxValue="22"/>
    </cacheField>
    <cacheField name="INDUSTRY GUEST" numFmtId="0">
      <sharedItems containsSemiMixedTypes="0" containsString="0" containsNumber="1" containsInteger="1" minValue="0" maxValue="2"/>
    </cacheField>
    <cacheField name="MEMB GUEST MICLUB" numFmtId="0">
      <sharedItems containsSemiMixedTypes="0" containsString="0" containsNumber="1" containsInteger="1" minValue="0" maxValue="46"/>
    </cacheField>
    <cacheField name="MEMB GUEST UNACCOMPANIED" numFmtId="0">
      <sharedItems containsSemiMixedTypes="0" containsString="0" containsNumber="1" containsInteger="1" minValue="0" maxValue="2"/>
    </cacheField>
    <cacheField name="CORPORATE" numFmtId="0">
      <sharedItems containsSemiMixedTypes="0" containsString="0" containsNumber="1" containsInteger="1" minValue="0" maxValue="126"/>
    </cacheField>
    <cacheField name="EVENT" numFmtId="0">
      <sharedItems containsSemiMixedTypes="0" containsString="0" containsNumber="1" containsInteger="1" minValue="0" maxValue="0"/>
    </cacheField>
    <cacheField name="NON-PLAYING" numFmtId="0">
      <sharedItems containsSemiMixedTypes="0" containsString="0" containsNumber="1" containsInteger="1" minValue="0" maxValue="3"/>
    </cacheField>
    <cacheField name="VOUCHER" numFmtId="0">
      <sharedItems containsSemiMixedTypes="0" containsString="0" containsNumber="1" containsInteger="1" minValue="0" maxValue="9"/>
    </cacheField>
    <cacheField name="RECIP" numFmtId="0">
      <sharedItems containsSemiMixedTypes="0" containsString="0" containsNumber="1" containsInteger="1" minValue="0" maxValue="16"/>
    </cacheField>
    <cacheField name="COMP" numFmtId="0">
      <sharedItems containsSemiMixedTypes="0" containsString="0" containsNumber="1" containsInteger="1" minValue="0" maxValue="1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 Shop" refreshedDate="46085.58485486111" createdVersion="8" refreshedVersion="8" minRefreshableVersion="3" recordCount="31" xr:uid="{9CE27BA0-0D9D-4538-978E-05D26D6A838C}">
  <cacheSource type="worksheet">
    <worksheetSource ref="A1:U32" sheet="Daily Numbers" r:id="rId2"/>
  </cacheSource>
  <cacheFields count="21">
    <cacheField name="DATE" numFmtId="14">
      <sharedItems containsSemiMixedTypes="0" containsNonDate="0" containsDate="1" containsString="0" minDate="2026-01-01T00:00:00" maxDate="2026-02-01T00:00:00"/>
    </cacheField>
    <cacheField name="DAY" numFmtId="0">
      <sharedItems count="7">
        <s v="Thu"/>
        <s v="Fri"/>
        <s v="Sat"/>
        <s v="Sun"/>
        <s v="Mon"/>
        <s v="Tue"/>
        <s v="Wed"/>
      </sharedItems>
    </cacheField>
    <cacheField name="AM FIELD" numFmtId="0">
      <sharedItems containsSemiMixedTypes="0" containsString="0" containsNumber="1" containsInteger="1" minValue="0" maxValue="109"/>
    </cacheField>
    <cacheField name="PM FIELD" numFmtId="0">
      <sharedItems containsSemiMixedTypes="0" containsString="0" containsNumber="1" containsInteger="1" minValue="0" maxValue="95"/>
    </cacheField>
    <cacheField name="AFTER 3PM" numFmtId="0">
      <sharedItems containsSemiMixedTypes="0" containsString="0" containsNumber="1" containsInteger="1" minValue="0" maxValue="65"/>
    </cacheField>
    <cacheField name="TOTAL FIELD" numFmtId="0">
      <sharedItems containsSemiMixedTypes="0" containsString="0" containsNumber="1" containsInteger="1" minValue="39" maxValue="225"/>
    </cacheField>
    <cacheField name="No. GUESTS" numFmtId="0">
      <sharedItems containsSemiMixedTypes="0" containsString="0" containsNumber="1" containsInteger="1" minValue="0" maxValue="78"/>
    </cacheField>
    <cacheField name="MEMBER" numFmtId="0">
      <sharedItems containsSemiMixedTypes="0" containsString="0" containsNumber="1" containsInteger="1" minValue="22" maxValue="186"/>
    </cacheField>
    <cacheField name="MEMBER / GUEST RATIO" numFmtId="9">
      <sharedItems containsSemiMixedTypes="0" containsString="0" containsNumber="1" minValue="0" maxValue="0.56000000000000005"/>
    </cacheField>
    <cacheField name="MANAGER INTRO" numFmtId="0">
      <sharedItems containsSemiMixedTypes="0" containsString="0" containsNumber="1" containsInteger="1" minValue="0" maxValue="8"/>
    </cacheField>
    <cacheField name="INTERSTATE" numFmtId="0">
      <sharedItems containsSemiMixedTypes="0" containsString="0" containsNumber="1" containsInteger="1" minValue="0" maxValue="13"/>
    </cacheField>
    <cacheField name="INTERNATIONAL" numFmtId="0">
      <sharedItems containsSemiMixedTypes="0" containsString="0" containsNumber="1" containsInteger="1" minValue="0" maxValue="24"/>
    </cacheField>
    <cacheField name="INDUSTRY GUEST" numFmtId="0">
      <sharedItems containsSemiMixedTypes="0" containsString="0" containsNumber="1" containsInteger="1" minValue="0" maxValue="3"/>
    </cacheField>
    <cacheField name="MEMB GUEST MICLUB" numFmtId="0">
      <sharedItems containsSemiMixedTypes="0" containsString="0" containsNumber="1" containsInteger="1" minValue="0" maxValue="48"/>
    </cacheField>
    <cacheField name="MEMB GUEST UNACCOMPANIED" numFmtId="0">
      <sharedItems containsSemiMixedTypes="0" containsString="0" containsNumber="1" containsInteger="1" minValue="0" maxValue="4"/>
    </cacheField>
    <cacheField name="CORPORATE" numFmtId="0">
      <sharedItems containsSemiMixedTypes="0" containsString="0" containsNumber="1" containsInteger="1" minValue="0" maxValue="0"/>
    </cacheField>
    <cacheField name="EVENT" numFmtId="0">
      <sharedItems containsSemiMixedTypes="0" containsString="0" containsNumber="1" containsInteger="1" minValue="0" maxValue="0"/>
    </cacheField>
    <cacheField name="NON-PLAYING" numFmtId="0">
      <sharedItems containsSemiMixedTypes="0" containsString="0" containsNumber="1" containsInteger="1" minValue="0" maxValue="3"/>
    </cacheField>
    <cacheField name="VOUCHER" numFmtId="0">
      <sharedItems containsSemiMixedTypes="0" containsString="0" containsNumber="1" containsInteger="1" minValue="0" maxValue="17"/>
    </cacheField>
    <cacheField name="RECIP" numFmtId="0">
      <sharedItems containsSemiMixedTypes="0" containsString="0" containsNumber="1" containsInteger="1" minValue="0" maxValue="17"/>
    </cacheField>
    <cacheField name="COMP" numFmtId="0">
      <sharedItems containsSemiMixedTypes="0" containsString="0" containsNumber="1" containsInteger="1" minValue="6" maxValue="1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8-01T00:00:00"/>
    <x v="0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02T00:00:00"/>
    <x v="1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03T00:00:00"/>
    <x v="2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04T00:00:00"/>
    <x v="3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05T00:00:00"/>
    <x v="4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06T00:00:00"/>
    <x v="5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07T00:00:00"/>
    <x v="6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08T00:00:00"/>
    <x v="0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09T00:00:00"/>
    <x v="1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10T00:00:00"/>
    <x v="2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11T00:00:00"/>
    <x v="3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12T00:00:00"/>
    <x v="4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13T00:00:00"/>
    <x v="5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14T00:00:00"/>
    <x v="6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15T00:00:00"/>
    <x v="0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16T00:00:00"/>
    <x v="1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17T00:00:00"/>
    <x v="2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18T00:00:00"/>
    <x v="3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19T00:00:00"/>
    <x v="4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20T00:00:00"/>
    <x v="5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21T00:00:00"/>
    <x v="6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22T00:00:00"/>
    <x v="0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23T00:00:00"/>
    <x v="1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24T00:00:00"/>
    <x v="2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25T00:00:00"/>
    <x v="3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26T00:00:00"/>
    <x v="4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27T00:00:00"/>
    <x v="5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28T00:00:00"/>
    <x v="6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29T00:00:00"/>
    <x v="0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30T00:00:00"/>
    <x v="1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4-08-31T00:00:00"/>
    <x v="2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6-02-01T00:00:00"/>
    <x v="0"/>
    <n v="95"/>
    <n v="82"/>
    <n v="36"/>
    <n v="213"/>
    <n v="42"/>
    <n v="169"/>
    <n v="0.19718309859154928"/>
    <n v="1"/>
    <n v="0"/>
    <n v="0"/>
    <n v="0"/>
    <n v="38"/>
    <n v="0"/>
    <n v="0"/>
    <n v="0"/>
    <n v="2"/>
    <n v="0"/>
    <n v="3"/>
    <n v="146"/>
  </r>
  <r>
    <d v="2026-02-02T00:00:00"/>
    <x v="1"/>
    <n v="51"/>
    <n v="80"/>
    <n v="14"/>
    <n v="145"/>
    <n v="36"/>
    <n v="108"/>
    <n v="0.24827586206896551"/>
    <n v="1"/>
    <n v="4"/>
    <n v="9"/>
    <n v="1"/>
    <n v="15"/>
    <n v="0"/>
    <n v="0"/>
    <n v="0"/>
    <n v="1"/>
    <n v="4"/>
    <n v="2"/>
    <n v="75"/>
  </r>
  <r>
    <d v="2026-02-03T00:00:00"/>
    <x v="2"/>
    <n v="99"/>
    <n v="23"/>
    <n v="22"/>
    <n v="144"/>
    <n v="8"/>
    <n v="136"/>
    <n v="5.5555555555555552E-2"/>
    <n v="0"/>
    <n v="0"/>
    <n v="0"/>
    <n v="0"/>
    <n v="7"/>
    <n v="0"/>
    <n v="0"/>
    <n v="0"/>
    <n v="0"/>
    <n v="0"/>
    <n v="1"/>
    <n v="0"/>
  </r>
  <r>
    <d v="2026-02-04T00:00:00"/>
    <x v="3"/>
    <n v="100"/>
    <n v="65"/>
    <n v="22"/>
    <n v="187"/>
    <n v="126"/>
    <n v="61"/>
    <n v="0.6737967914438503"/>
    <n v="0"/>
    <n v="0"/>
    <n v="15"/>
    <n v="1"/>
    <n v="6"/>
    <n v="0"/>
    <n v="100"/>
    <n v="0"/>
    <n v="0"/>
    <n v="0"/>
    <n v="4"/>
    <n v="0"/>
  </r>
  <r>
    <d v="2026-02-05T00:00:00"/>
    <x v="4"/>
    <n v="79"/>
    <n v="77"/>
    <n v="27"/>
    <n v="183"/>
    <n v="9"/>
    <n v="174"/>
    <n v="4.9180327868852458E-2"/>
    <n v="0"/>
    <n v="0"/>
    <n v="0"/>
    <n v="0"/>
    <n v="4"/>
    <n v="0"/>
    <n v="0"/>
    <n v="0"/>
    <n v="0"/>
    <n v="0"/>
    <n v="5"/>
    <n v="155"/>
  </r>
  <r>
    <d v="2026-02-06T00:00:00"/>
    <x v="5"/>
    <n v="68"/>
    <n v="75"/>
    <n v="72"/>
    <n v="215"/>
    <n v="52"/>
    <n v="161"/>
    <n v="0.24186046511627907"/>
    <n v="0"/>
    <n v="2"/>
    <n v="4"/>
    <n v="1"/>
    <n v="39"/>
    <n v="0"/>
    <n v="0"/>
    <n v="0"/>
    <n v="2"/>
    <n v="4"/>
    <n v="2"/>
    <n v="137"/>
  </r>
  <r>
    <d v="2026-02-07T00:00:00"/>
    <x v="6"/>
    <n v="93"/>
    <n v="77"/>
    <n v="6"/>
    <n v="176"/>
    <n v="0"/>
    <n v="176"/>
    <n v="0"/>
    <n v="0"/>
    <n v="0"/>
    <n v="0"/>
    <n v="0"/>
    <n v="0"/>
    <n v="0"/>
    <n v="0"/>
    <n v="0"/>
    <n v="0"/>
    <n v="0"/>
    <n v="0"/>
    <n v="154"/>
  </r>
  <r>
    <d v="2026-02-08T00:00:00"/>
    <x v="0"/>
    <n v="91"/>
    <n v="78"/>
    <n v="34"/>
    <n v="203"/>
    <n v="38"/>
    <n v="165"/>
    <n v="0.18719211822660098"/>
    <n v="0"/>
    <n v="0"/>
    <n v="0"/>
    <n v="0"/>
    <n v="26"/>
    <n v="0"/>
    <n v="0"/>
    <n v="0"/>
    <n v="0"/>
    <n v="4"/>
    <n v="8"/>
    <n v="142"/>
  </r>
  <r>
    <d v="2026-02-09T00:00:00"/>
    <x v="1"/>
    <n v="50"/>
    <n v="85"/>
    <n v="24"/>
    <n v="159"/>
    <n v="38"/>
    <n v="121"/>
    <n v="0.2389937106918239"/>
    <n v="7"/>
    <n v="2"/>
    <n v="10"/>
    <n v="0"/>
    <n v="10"/>
    <n v="0"/>
    <n v="0"/>
    <n v="0"/>
    <n v="0"/>
    <n v="8"/>
    <n v="1"/>
    <n v="79"/>
  </r>
  <r>
    <d v="2026-02-10T00:00:00"/>
    <x v="2"/>
    <n v="109"/>
    <n v="27"/>
    <n v="37"/>
    <n v="173"/>
    <n v="19"/>
    <n v="154"/>
    <n v="0.10982658959537572"/>
    <n v="11"/>
    <n v="0"/>
    <n v="0"/>
    <n v="0"/>
    <n v="4"/>
    <n v="0"/>
    <n v="0"/>
    <n v="0"/>
    <n v="0"/>
    <n v="4"/>
    <n v="0"/>
    <n v="0"/>
  </r>
  <r>
    <d v="2026-02-11T00:00:00"/>
    <x v="3"/>
    <n v="126"/>
    <n v="70"/>
    <n v="29"/>
    <n v="225"/>
    <n v="154"/>
    <n v="71"/>
    <n v="0.68444444444444441"/>
    <n v="0"/>
    <n v="4"/>
    <n v="4"/>
    <n v="1"/>
    <n v="10"/>
    <n v="0"/>
    <n v="126"/>
    <n v="0"/>
    <n v="0"/>
    <n v="6"/>
    <n v="3"/>
    <n v="0"/>
  </r>
  <r>
    <d v="2026-02-12T00:00:00"/>
    <x v="4"/>
    <n v="82"/>
    <n v="87"/>
    <n v="48"/>
    <n v="217"/>
    <n v="31"/>
    <n v="186"/>
    <n v="0.14285714285714285"/>
    <n v="0"/>
    <n v="0"/>
    <n v="0"/>
    <n v="0"/>
    <n v="31"/>
    <n v="0"/>
    <n v="0"/>
    <n v="0"/>
    <n v="0"/>
    <n v="0"/>
    <n v="0"/>
    <n v="164"/>
  </r>
  <r>
    <d v="2026-02-13T00:00:00"/>
    <x v="5"/>
    <n v="72"/>
    <n v="79"/>
    <n v="40"/>
    <n v="191"/>
    <n v="50"/>
    <n v="140"/>
    <n v="0.26178010471204188"/>
    <n v="12"/>
    <n v="2"/>
    <n v="0"/>
    <n v="0"/>
    <n v="28"/>
    <n v="2"/>
    <n v="0"/>
    <n v="0"/>
    <n v="1"/>
    <n v="5"/>
    <n v="1"/>
    <n v="67"/>
  </r>
  <r>
    <d v="2026-02-14T00:00:00"/>
    <x v="6"/>
    <n v="72"/>
    <n v="84"/>
    <n v="0"/>
    <n v="156"/>
    <n v="0"/>
    <n v="156"/>
    <n v="0"/>
    <n v="0"/>
    <n v="0"/>
    <n v="0"/>
    <n v="0"/>
    <n v="0"/>
    <n v="0"/>
    <n v="0"/>
    <n v="0"/>
    <n v="0"/>
    <n v="0"/>
    <n v="0"/>
    <n v="151"/>
  </r>
  <r>
    <d v="2026-02-15T00:00:00"/>
    <x v="0"/>
    <n v="87"/>
    <n v="79"/>
    <n v="51"/>
    <n v="217"/>
    <n v="41"/>
    <n v="175"/>
    <n v="0.1889400921658986"/>
    <n v="12"/>
    <n v="0"/>
    <n v="0"/>
    <n v="0"/>
    <n v="27"/>
    <n v="0"/>
    <n v="0"/>
    <n v="0"/>
    <n v="1"/>
    <n v="2"/>
    <n v="0"/>
    <n v="131"/>
  </r>
  <r>
    <d v="2026-02-16T00:00:00"/>
    <x v="1"/>
    <n v="0"/>
    <n v="62"/>
    <n v="14"/>
    <n v="76"/>
    <n v="9"/>
    <n v="67"/>
    <n v="0.11842105263157894"/>
    <n v="0"/>
    <n v="0"/>
    <n v="0"/>
    <n v="0"/>
    <n v="5"/>
    <n v="0"/>
    <n v="0"/>
    <n v="0"/>
    <n v="0"/>
    <n v="4"/>
    <n v="0"/>
    <n v="43"/>
  </r>
  <r>
    <d v="2026-02-17T00:00:00"/>
    <x v="2"/>
    <n v="89"/>
    <n v="2"/>
    <n v="16"/>
    <n v="107"/>
    <n v="7"/>
    <n v="100"/>
    <n v="6.5420560747663545E-2"/>
    <n v="5"/>
    <n v="0"/>
    <n v="0"/>
    <n v="0"/>
    <n v="2"/>
    <n v="0"/>
    <n v="0"/>
    <n v="0"/>
    <n v="0"/>
    <n v="0"/>
    <n v="0"/>
    <n v="0"/>
  </r>
  <r>
    <d v="2026-02-18T00:00:00"/>
    <x v="3"/>
    <n v="80"/>
    <n v="49"/>
    <n v="9"/>
    <n v="138"/>
    <n v="50"/>
    <n v="87"/>
    <n v="0.36231884057971014"/>
    <n v="4"/>
    <n v="1"/>
    <n v="22"/>
    <n v="0"/>
    <n v="12"/>
    <n v="2"/>
    <n v="0"/>
    <n v="0"/>
    <n v="1"/>
    <n v="1"/>
    <n v="8"/>
    <n v="31"/>
  </r>
  <r>
    <d v="2026-02-19T00:00:00"/>
    <x v="4"/>
    <n v="82"/>
    <n v="72"/>
    <n v="35"/>
    <n v="189"/>
    <n v="17"/>
    <n v="172"/>
    <n v="8.9947089947089942E-2"/>
    <n v="1"/>
    <n v="0"/>
    <n v="0"/>
    <n v="0"/>
    <n v="12"/>
    <n v="0"/>
    <n v="0"/>
    <n v="0"/>
    <n v="0"/>
    <n v="4"/>
    <n v="0"/>
    <n v="152"/>
  </r>
  <r>
    <d v="2026-02-20T00:00:00"/>
    <x v="5"/>
    <n v="94"/>
    <n v="55"/>
    <n v="30"/>
    <n v="179"/>
    <n v="49"/>
    <n v="127"/>
    <n v="0.27374301675977653"/>
    <n v="0"/>
    <n v="0"/>
    <n v="1"/>
    <n v="1"/>
    <n v="38"/>
    <n v="0"/>
    <n v="0"/>
    <n v="0"/>
    <n v="3"/>
    <n v="1"/>
    <n v="8"/>
    <n v="72"/>
  </r>
  <r>
    <d v="2026-02-21T00:00:00"/>
    <x v="6"/>
    <n v="88"/>
    <n v="92"/>
    <n v="0"/>
    <n v="180"/>
    <n v="0"/>
    <n v="180"/>
    <n v="0"/>
    <n v="0"/>
    <n v="0"/>
    <n v="0"/>
    <n v="0"/>
    <n v="0"/>
    <n v="0"/>
    <n v="0"/>
    <n v="0"/>
    <n v="0"/>
    <n v="0"/>
    <n v="0"/>
    <n v="83"/>
  </r>
  <r>
    <d v="2026-02-22T00:00:00"/>
    <x v="0"/>
    <n v="89"/>
    <n v="50"/>
    <n v="17"/>
    <n v="156"/>
    <n v="27"/>
    <n v="129"/>
    <n v="0.17307692307692307"/>
    <n v="0"/>
    <n v="0"/>
    <n v="1"/>
    <n v="0"/>
    <n v="16"/>
    <n v="0"/>
    <n v="0"/>
    <n v="0"/>
    <n v="0"/>
    <n v="2"/>
    <n v="8"/>
    <n v="98"/>
  </r>
  <r>
    <d v="2026-02-23T00:00:00"/>
    <x v="1"/>
    <n v="52"/>
    <n v="97"/>
    <n v="23"/>
    <n v="172"/>
    <n v="60"/>
    <n v="111"/>
    <n v="0.34883720930232559"/>
    <n v="2"/>
    <n v="0"/>
    <n v="10"/>
    <n v="2"/>
    <n v="22"/>
    <n v="0"/>
    <n v="0"/>
    <n v="0"/>
    <n v="1"/>
    <n v="8"/>
    <n v="16"/>
    <n v="81"/>
  </r>
  <r>
    <d v="2026-02-24T00:00:00"/>
    <x v="2"/>
    <n v="100"/>
    <n v="16"/>
    <n v="12"/>
    <n v="128"/>
    <n v="10"/>
    <n v="118"/>
    <n v="7.8125E-2"/>
    <n v="0"/>
    <n v="0"/>
    <n v="8"/>
    <n v="0"/>
    <n v="1"/>
    <n v="1"/>
    <n v="0"/>
    <n v="0"/>
    <n v="0"/>
    <n v="0"/>
    <n v="0"/>
    <n v="0"/>
  </r>
  <r>
    <d v="2026-02-25T00:00:00"/>
    <x v="3"/>
    <n v="92"/>
    <n v="69"/>
    <n v="19"/>
    <n v="180"/>
    <n v="118"/>
    <n v="60"/>
    <n v="0.65555555555555556"/>
    <n v="0"/>
    <n v="0"/>
    <n v="0"/>
    <n v="0"/>
    <n v="11"/>
    <n v="0"/>
    <n v="92"/>
    <n v="0"/>
    <n v="2"/>
    <n v="7"/>
    <n v="8"/>
    <n v="0"/>
  </r>
  <r>
    <d v="2026-02-26T00:00:00"/>
    <x v="4"/>
    <n v="87"/>
    <n v="73"/>
    <n v="27"/>
    <n v="187"/>
    <n v="9"/>
    <n v="178"/>
    <n v="4.8128342245989303E-2"/>
    <n v="1"/>
    <n v="0"/>
    <n v="0"/>
    <n v="0"/>
    <n v="4"/>
    <n v="0"/>
    <n v="0"/>
    <n v="0"/>
    <n v="0"/>
    <n v="4"/>
    <n v="0"/>
    <n v="146"/>
  </r>
  <r>
    <d v="2026-02-27T00:00:00"/>
    <x v="5"/>
    <n v="71"/>
    <n v="81"/>
    <n v="70"/>
    <n v="222"/>
    <n v="63"/>
    <n v="157"/>
    <n v="0.28378378378378377"/>
    <n v="4"/>
    <n v="2"/>
    <n v="0"/>
    <n v="0"/>
    <n v="46"/>
    <n v="0"/>
    <n v="0"/>
    <n v="0"/>
    <n v="2"/>
    <n v="9"/>
    <n v="2"/>
    <n v="114"/>
  </r>
  <r>
    <d v="2026-02-28T00:00:00"/>
    <x v="6"/>
    <n v="95"/>
    <n v="66"/>
    <n v="1"/>
    <n v="162"/>
    <n v="3"/>
    <n v="159"/>
    <n v="1.8518518518518517E-2"/>
    <n v="0"/>
    <n v="0"/>
    <n v="0"/>
    <n v="0"/>
    <n v="0"/>
    <n v="0"/>
    <n v="0"/>
    <n v="0"/>
    <n v="0"/>
    <n v="0"/>
    <n v="3"/>
    <n v="15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6-01-01T00:00:00"/>
    <x v="0"/>
    <n v="64"/>
    <n v="86"/>
    <n v="16"/>
    <n v="166"/>
    <n v="29"/>
    <n v="136"/>
    <n v="0.1746987951807229"/>
    <n v="1"/>
    <n v="0"/>
    <n v="1"/>
    <n v="0"/>
    <n v="24"/>
    <n v="0"/>
    <n v="0"/>
    <n v="0"/>
    <n v="1"/>
    <n v="1"/>
    <n v="2"/>
    <n v="135"/>
  </r>
  <r>
    <d v="2026-01-02T00:00:00"/>
    <x v="1"/>
    <n v="105"/>
    <n v="67"/>
    <n v="35"/>
    <n v="207"/>
    <n v="78"/>
    <n v="128"/>
    <n v="0.37681159420289856"/>
    <n v="0"/>
    <n v="0"/>
    <n v="10"/>
    <n v="0"/>
    <n v="48"/>
    <n v="0"/>
    <n v="0"/>
    <n v="0"/>
    <n v="1"/>
    <n v="16"/>
    <n v="4"/>
    <n v="89"/>
  </r>
  <r>
    <d v="2026-01-03T00:00:00"/>
    <x v="2"/>
    <n v="88"/>
    <n v="46"/>
    <n v="2"/>
    <n v="136"/>
    <n v="1"/>
    <n v="135"/>
    <n v="7.3529411764705881E-3"/>
    <n v="0"/>
    <n v="0"/>
    <n v="0"/>
    <n v="0"/>
    <n v="0"/>
    <n v="0"/>
    <n v="0"/>
    <n v="0"/>
    <n v="0"/>
    <n v="0"/>
    <n v="1"/>
    <n v="129"/>
  </r>
  <r>
    <d v="2026-01-04T00:00:00"/>
    <x v="3"/>
    <n v="96"/>
    <n v="85"/>
    <n v="44"/>
    <n v="225"/>
    <n v="41"/>
    <n v="183"/>
    <n v="0.18222222222222223"/>
    <n v="0"/>
    <n v="0"/>
    <n v="0"/>
    <n v="0"/>
    <n v="34"/>
    <n v="0"/>
    <n v="0"/>
    <n v="0"/>
    <n v="1"/>
    <n v="4"/>
    <n v="3"/>
    <n v="160"/>
  </r>
  <r>
    <d v="2026-01-05T00:00:00"/>
    <x v="4"/>
    <n v="101"/>
    <n v="65"/>
    <n v="17"/>
    <n v="183"/>
    <n v="68"/>
    <n v="114"/>
    <n v="0.37158469945355194"/>
    <n v="5"/>
    <n v="0"/>
    <n v="15"/>
    <n v="1"/>
    <n v="36"/>
    <n v="0"/>
    <n v="0"/>
    <n v="0"/>
    <n v="1"/>
    <n v="9"/>
    <n v="2"/>
    <n v="80"/>
  </r>
  <r>
    <d v="2026-01-06T00:00:00"/>
    <x v="5"/>
    <n v="84"/>
    <n v="7"/>
    <n v="38"/>
    <n v="129"/>
    <n v="12"/>
    <n v="117"/>
    <n v="9.3023255813953487E-2"/>
    <n v="2"/>
    <n v="0"/>
    <n v="0"/>
    <n v="0"/>
    <n v="6"/>
    <n v="0"/>
    <n v="0"/>
    <n v="0"/>
    <n v="0"/>
    <n v="3"/>
    <n v="1"/>
    <n v="82"/>
  </r>
  <r>
    <d v="2026-01-07T00:00:00"/>
    <x v="6"/>
    <n v="50"/>
    <n v="0"/>
    <n v="0"/>
    <n v="50"/>
    <n v="28"/>
    <n v="22"/>
    <n v="0.56000000000000005"/>
    <n v="0"/>
    <n v="0"/>
    <n v="6"/>
    <n v="2"/>
    <n v="15"/>
    <n v="1"/>
    <n v="0"/>
    <n v="0"/>
    <n v="0"/>
    <n v="0"/>
    <n v="4"/>
    <n v="6"/>
  </r>
  <r>
    <d v="2026-01-08T00:00:00"/>
    <x v="0"/>
    <n v="82"/>
    <n v="60"/>
    <n v="39"/>
    <n v="181"/>
    <n v="20"/>
    <n v="161"/>
    <n v="0.11049723756906077"/>
    <n v="4"/>
    <n v="0"/>
    <n v="0"/>
    <n v="0"/>
    <n v="10"/>
    <n v="0"/>
    <n v="0"/>
    <n v="0"/>
    <n v="0"/>
    <n v="4"/>
    <n v="2"/>
    <n v="138"/>
  </r>
  <r>
    <d v="2026-01-09T00:00:00"/>
    <x v="1"/>
    <n v="61"/>
    <n v="0"/>
    <n v="0"/>
    <n v="61"/>
    <n v="31"/>
    <n v="30"/>
    <n v="0.50819672131147542"/>
    <n v="0"/>
    <n v="0"/>
    <n v="2"/>
    <n v="0"/>
    <n v="27"/>
    <n v="0"/>
    <n v="0"/>
    <n v="0"/>
    <n v="0"/>
    <n v="2"/>
    <n v="0"/>
    <n v="17"/>
  </r>
  <r>
    <d v="2026-01-10T00:00:00"/>
    <x v="2"/>
    <n v="84"/>
    <n v="69"/>
    <n v="9"/>
    <n v="162"/>
    <n v="0"/>
    <n v="162"/>
    <n v="0"/>
    <n v="0"/>
    <n v="0"/>
    <n v="0"/>
    <n v="0"/>
    <n v="0"/>
    <n v="0"/>
    <n v="0"/>
    <n v="0"/>
    <n v="0"/>
    <n v="0"/>
    <n v="0"/>
    <n v="147"/>
  </r>
  <r>
    <d v="2026-01-11T00:00:00"/>
    <x v="3"/>
    <n v="94"/>
    <n v="80"/>
    <n v="50"/>
    <n v="224"/>
    <n v="46"/>
    <n v="176"/>
    <n v="0.20535714285714285"/>
    <n v="1"/>
    <n v="0"/>
    <n v="0"/>
    <n v="0"/>
    <n v="26"/>
    <n v="0"/>
    <n v="0"/>
    <n v="0"/>
    <n v="2"/>
    <n v="15"/>
    <n v="4"/>
    <n v="117"/>
  </r>
  <r>
    <d v="2026-01-12T00:00:00"/>
    <x v="4"/>
    <n v="98"/>
    <n v="53"/>
    <n v="14"/>
    <n v="165"/>
    <n v="59"/>
    <n v="106"/>
    <n v="0.3575757575757576"/>
    <n v="0"/>
    <n v="1"/>
    <n v="3"/>
    <n v="3"/>
    <n v="36"/>
    <n v="4"/>
    <n v="0"/>
    <n v="0"/>
    <n v="0"/>
    <n v="10"/>
    <n v="2"/>
    <n v="91"/>
  </r>
  <r>
    <d v="2026-01-13T00:00:00"/>
    <x v="5"/>
    <n v="94"/>
    <n v="18"/>
    <n v="37"/>
    <n v="149"/>
    <n v="13"/>
    <n v="136"/>
    <n v="8.7248322147651006E-2"/>
    <n v="0"/>
    <n v="0"/>
    <n v="0"/>
    <n v="3"/>
    <n v="5"/>
    <n v="0"/>
    <n v="0"/>
    <n v="0"/>
    <n v="0"/>
    <n v="0"/>
    <n v="5"/>
    <n v="100"/>
  </r>
  <r>
    <d v="2026-01-14T00:00:00"/>
    <x v="6"/>
    <n v="96"/>
    <n v="58"/>
    <n v="30"/>
    <n v="184"/>
    <n v="71"/>
    <n v="112"/>
    <n v="0.3858695652173913"/>
    <n v="2"/>
    <n v="0"/>
    <n v="24"/>
    <n v="0"/>
    <n v="29"/>
    <n v="0"/>
    <n v="0"/>
    <n v="0"/>
    <n v="1"/>
    <n v="12"/>
    <n v="4"/>
    <n v="62"/>
  </r>
  <r>
    <d v="2026-01-15T00:00:00"/>
    <x v="0"/>
    <n v="86"/>
    <n v="66"/>
    <n v="17"/>
    <n v="169"/>
    <n v="9"/>
    <n v="160"/>
    <n v="5.3254437869822487E-2"/>
    <n v="0"/>
    <n v="0"/>
    <n v="0"/>
    <n v="0"/>
    <n v="1"/>
    <n v="0"/>
    <n v="0"/>
    <n v="0"/>
    <n v="0"/>
    <n v="6"/>
    <n v="2"/>
    <n v="152"/>
  </r>
  <r>
    <d v="2026-01-16T00:00:00"/>
    <x v="1"/>
    <n v="74"/>
    <n v="72"/>
    <n v="65"/>
    <n v="211"/>
    <n v="52"/>
    <n v="159"/>
    <n v="0.24644549763033174"/>
    <n v="0"/>
    <n v="0"/>
    <n v="0"/>
    <n v="0"/>
    <n v="44"/>
    <n v="0"/>
    <n v="0"/>
    <n v="0"/>
    <n v="0"/>
    <n v="4"/>
    <n v="4"/>
    <n v="135"/>
  </r>
  <r>
    <d v="2026-01-17T00:00:00"/>
    <x v="2"/>
    <n v="89"/>
    <n v="93"/>
    <n v="6"/>
    <n v="188"/>
    <n v="2"/>
    <n v="186"/>
    <n v="1.0638297872340425E-2"/>
    <n v="0"/>
    <n v="0"/>
    <n v="0"/>
    <n v="0"/>
    <n v="0"/>
    <n v="0"/>
    <n v="0"/>
    <n v="0"/>
    <n v="0"/>
    <n v="0"/>
    <n v="2"/>
    <n v="181"/>
  </r>
  <r>
    <d v="2026-01-18T00:00:00"/>
    <x v="3"/>
    <n v="77"/>
    <n v="95"/>
    <n v="38"/>
    <n v="210"/>
    <n v="40"/>
    <n v="169"/>
    <n v="0.19047619047619047"/>
    <n v="3"/>
    <n v="0"/>
    <n v="0"/>
    <n v="0"/>
    <n v="28"/>
    <n v="4"/>
    <n v="0"/>
    <n v="0"/>
    <n v="1"/>
    <n v="3"/>
    <n v="2"/>
    <n v="147"/>
  </r>
  <r>
    <d v="2026-01-19T00:00:00"/>
    <x v="4"/>
    <n v="0"/>
    <n v="75"/>
    <n v="29"/>
    <n v="104"/>
    <n v="25"/>
    <n v="79"/>
    <n v="0.24038461538461539"/>
    <n v="4"/>
    <n v="0"/>
    <n v="1"/>
    <n v="0"/>
    <n v="10"/>
    <n v="0"/>
    <n v="0"/>
    <n v="0"/>
    <n v="0"/>
    <n v="4"/>
    <n v="6"/>
    <n v="53"/>
  </r>
  <r>
    <d v="2026-01-20T00:00:00"/>
    <x v="5"/>
    <n v="109"/>
    <n v="20"/>
    <n v="30"/>
    <n v="159"/>
    <n v="10"/>
    <n v="148"/>
    <n v="6.2893081761006289E-2"/>
    <n v="2"/>
    <n v="0"/>
    <n v="0"/>
    <n v="0"/>
    <n v="8"/>
    <n v="0"/>
    <n v="0"/>
    <n v="0"/>
    <n v="1"/>
    <n v="0"/>
    <n v="0"/>
    <n v="115"/>
  </r>
  <r>
    <d v="2026-01-21T00:00:00"/>
    <x v="6"/>
    <n v="76"/>
    <n v="66"/>
    <n v="34"/>
    <n v="176"/>
    <n v="72"/>
    <n v="101"/>
    <n v="0.40909090909090912"/>
    <n v="2"/>
    <n v="13"/>
    <n v="3"/>
    <n v="1"/>
    <n v="42"/>
    <n v="0"/>
    <n v="0"/>
    <n v="0"/>
    <n v="3"/>
    <n v="7"/>
    <n v="4"/>
    <n v="42"/>
  </r>
  <r>
    <d v="2026-01-22T00:00:00"/>
    <x v="0"/>
    <n v="86"/>
    <n v="72"/>
    <n v="21"/>
    <n v="179"/>
    <n v="18"/>
    <n v="161"/>
    <n v="0.1005586592178771"/>
    <n v="4"/>
    <n v="0"/>
    <n v="2"/>
    <n v="0"/>
    <n v="7"/>
    <n v="0"/>
    <n v="0"/>
    <n v="0"/>
    <n v="0"/>
    <n v="4"/>
    <n v="1"/>
    <n v="154"/>
  </r>
  <r>
    <d v="2026-01-23T00:00:00"/>
    <x v="1"/>
    <n v="107"/>
    <n v="65"/>
    <n v="49"/>
    <n v="221"/>
    <n v="65"/>
    <n v="155"/>
    <n v="0.29411764705882354"/>
    <n v="0"/>
    <n v="0"/>
    <n v="3"/>
    <n v="0"/>
    <n v="35"/>
    <n v="1"/>
    <n v="0"/>
    <n v="0"/>
    <n v="1"/>
    <n v="9"/>
    <n v="17"/>
    <n v="71"/>
  </r>
  <r>
    <d v="2026-01-24T00:00:00"/>
    <x v="2"/>
    <n v="86"/>
    <n v="1"/>
    <n v="1"/>
    <n v="88"/>
    <n v="0"/>
    <n v="88"/>
    <n v="0"/>
    <n v="0"/>
    <n v="0"/>
    <n v="0"/>
    <n v="0"/>
    <n v="0"/>
    <n v="0"/>
    <n v="0"/>
    <n v="0"/>
    <n v="0"/>
    <n v="0"/>
    <n v="0"/>
    <n v="162"/>
  </r>
  <r>
    <d v="2026-01-25T00:00:00"/>
    <x v="3"/>
    <n v="95"/>
    <n v="86"/>
    <n v="29"/>
    <n v="210"/>
    <n v="47"/>
    <n v="161"/>
    <n v="0.22380952380952382"/>
    <n v="0"/>
    <n v="0"/>
    <n v="0"/>
    <n v="1"/>
    <n v="32"/>
    <n v="0"/>
    <n v="0"/>
    <n v="0"/>
    <n v="2"/>
    <n v="3"/>
    <n v="11"/>
    <n v="79"/>
  </r>
  <r>
    <d v="2026-01-26T00:00:00"/>
    <x v="4"/>
    <n v="93"/>
    <n v="85"/>
    <n v="17"/>
    <n v="195"/>
    <n v="51"/>
    <n v="141"/>
    <n v="0.26153846153846155"/>
    <n v="8"/>
    <n v="3"/>
    <n v="6"/>
    <n v="0"/>
    <n v="26"/>
    <n v="0"/>
    <n v="0"/>
    <n v="0"/>
    <n v="3"/>
    <n v="6"/>
    <n v="2"/>
    <n v="137"/>
  </r>
  <r>
    <d v="2026-01-27T00:00:00"/>
    <x v="5"/>
    <n v="39"/>
    <n v="0"/>
    <n v="0"/>
    <n v="39"/>
    <n v="0"/>
    <n v="39"/>
    <n v="0"/>
    <n v="0"/>
    <n v="0"/>
    <n v="0"/>
    <n v="0"/>
    <n v="0"/>
    <n v="0"/>
    <n v="0"/>
    <n v="0"/>
    <n v="0"/>
    <n v="0"/>
    <n v="0"/>
    <n v="16"/>
  </r>
  <r>
    <d v="2026-01-28T00:00:00"/>
    <x v="6"/>
    <n v="66"/>
    <n v="45"/>
    <n v="29"/>
    <n v="140"/>
    <n v="36"/>
    <n v="104"/>
    <n v="0.25714285714285712"/>
    <n v="0"/>
    <n v="0"/>
    <n v="8"/>
    <n v="0"/>
    <n v="24"/>
    <n v="2"/>
    <n v="0"/>
    <n v="0"/>
    <n v="0"/>
    <n v="0"/>
    <n v="2"/>
    <n v="26"/>
  </r>
  <r>
    <d v="2026-01-29T00:00:00"/>
    <x v="0"/>
    <n v="86"/>
    <n v="72"/>
    <n v="20"/>
    <n v="178"/>
    <n v="2"/>
    <n v="176"/>
    <n v="1.1235955056179775E-2"/>
    <n v="0"/>
    <n v="0"/>
    <n v="0"/>
    <n v="0"/>
    <n v="0"/>
    <n v="0"/>
    <n v="0"/>
    <n v="0"/>
    <n v="0"/>
    <n v="2"/>
    <n v="0"/>
    <n v="158"/>
  </r>
  <r>
    <d v="2026-01-30T00:00:00"/>
    <x v="1"/>
    <n v="99"/>
    <n v="65"/>
    <n v="36"/>
    <n v="200"/>
    <n v="70"/>
    <n v="129"/>
    <n v="0.35"/>
    <n v="0"/>
    <n v="0"/>
    <n v="0"/>
    <n v="1"/>
    <n v="44"/>
    <n v="0"/>
    <n v="0"/>
    <n v="0"/>
    <n v="1"/>
    <n v="17"/>
    <n v="8"/>
    <n v="89"/>
  </r>
  <r>
    <d v="2026-01-31T00:00:00"/>
    <x v="2"/>
    <n v="92"/>
    <n v="56"/>
    <n v="5"/>
    <n v="153"/>
    <n v="1"/>
    <n v="152"/>
    <n v="6.5359477124183009E-3"/>
    <n v="1"/>
    <n v="0"/>
    <n v="0"/>
    <n v="0"/>
    <n v="0"/>
    <n v="0"/>
    <n v="0"/>
    <n v="0"/>
    <n v="0"/>
    <n v="0"/>
    <n v="0"/>
    <n v="1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03027-8320-4D19-822F-E76A19A2FAFD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6:S144" firstHeaderRow="0" firstDataRow="1" firstDataCol="1"/>
  <pivotFields count="21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8EBCB-72FA-4B5A-BB71-88CB614FE540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8:S96" firstHeaderRow="0" firstDataRow="1" firstDataCol="1"/>
  <pivotFields count="21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4A2A8-EAE4-4833-B3C6-FB90F36E5F0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S60" firstHeaderRow="0" firstDataRow="1" firstDataCol="1"/>
  <pivotFields count="21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26334-8457-4925-AC1A-B7B9BA5A0D94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4:S132" firstHeaderRow="0" firstDataRow="1" firstDataCol="1"/>
  <pivotFields count="21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B082D-4D36-43C7-90DC-7AD6C094015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S24" firstHeaderRow="0" firstDataRow="1" firstDataCol="1"/>
  <pivotFields count="21">
    <pivotField numFmtId="14"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26D15-CD66-4150-BCF6-37B04E47FC8B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2:S120" firstHeaderRow="0" firstDataRow="1" firstDataCol="1"/>
  <pivotFields count="21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DB85A-1069-4881-9E54-388EDBAC47E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S12" firstHeaderRow="0" firstDataRow="1" firstDataCol="1"/>
  <pivotFields count="21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B923E-E475-4136-8542-1929D2AB4C46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0:S108" firstHeaderRow="0" firstDataRow="1" firstDataCol="1"/>
  <pivotFields count="21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5B294-B488-4889-A38E-1CB0F5A0300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S36" firstHeaderRow="0" firstDataRow="1" firstDataCol="1"/>
  <pivotFields count="21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0E0AF-989A-4958-9C1E-19F899FFDC1A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S72" firstHeaderRow="0" firstDataRow="1" firstDataCol="1"/>
  <pivotFields count="21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2A3B8-93C6-44B1-9473-0FC48CA8769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S48" firstHeaderRow="0" firstDataRow="1" firstDataCol="1"/>
  <pivotFields count="21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F0902-80AE-4731-AFA7-06F9C3804877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6:S84" firstHeaderRow="0" firstDataRow="1" firstDataCol="1"/>
  <pivotFields count="21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20CD-5D93-4159-9A14-9CCB27C46C73}">
  <dimension ref="B3:U26"/>
  <sheetViews>
    <sheetView showGridLines="0" topLeftCell="A3" zoomScale="90" zoomScaleNormal="90" workbookViewId="0">
      <selection activeCell="C15" sqref="C15"/>
    </sheetView>
  </sheetViews>
  <sheetFormatPr defaultColWidth="9.140625" defaultRowHeight="22.5" x14ac:dyDescent="0.25"/>
  <cols>
    <col min="1" max="1" width="9.140625" style="57"/>
    <col min="2" max="2" width="20" style="57" customWidth="1"/>
    <col min="3" max="3" width="9.7109375" style="57" bestFit="1" customWidth="1"/>
    <col min="4" max="4" width="13.85546875" style="57" bestFit="1" customWidth="1"/>
    <col min="5" max="5" width="9.140625" style="57"/>
    <col min="6" max="6" width="20.42578125" style="57" bestFit="1" customWidth="1"/>
    <col min="7" max="7" width="12.28515625" style="57" customWidth="1"/>
    <col min="8" max="8" width="12" style="57" bestFit="1" customWidth="1"/>
    <col min="9" max="9" width="9.140625" style="57"/>
    <col min="10" max="10" width="24.7109375" style="57" customWidth="1"/>
    <col min="11" max="11" width="10" style="57" bestFit="1" customWidth="1"/>
    <col min="12" max="12" width="12" style="57" bestFit="1" customWidth="1"/>
    <col min="13" max="13" width="9.140625" style="57"/>
    <col min="14" max="14" width="25.42578125" style="57" customWidth="1"/>
    <col min="15" max="15" width="10" style="57" bestFit="1" customWidth="1"/>
    <col min="16" max="17" width="9.140625" style="57"/>
    <col min="18" max="18" width="11.140625" style="57" bestFit="1" customWidth="1"/>
    <col min="19" max="19" width="14.28515625" style="57" bestFit="1" customWidth="1"/>
    <col min="20" max="20" width="16.28515625" style="57" bestFit="1" customWidth="1"/>
    <col min="21" max="21" width="12.140625" style="57" bestFit="1" customWidth="1"/>
    <col min="22" max="16384" width="9.140625" style="57"/>
  </cols>
  <sheetData>
    <row r="3" spans="2:21" x14ac:dyDescent="0.25">
      <c r="B3" s="102"/>
      <c r="C3" s="102"/>
    </row>
    <row r="4" spans="2:21" x14ac:dyDescent="0.25">
      <c r="B4" s="103" t="s">
        <v>0</v>
      </c>
      <c r="C4" s="103"/>
      <c r="F4" s="103" t="s">
        <v>79</v>
      </c>
      <c r="G4" s="103"/>
      <c r="J4" s="103" t="s">
        <v>80</v>
      </c>
      <c r="K4" s="103"/>
      <c r="N4" s="103" t="s">
        <v>85</v>
      </c>
      <c r="O4" s="103"/>
      <c r="R4" s="98" t="s">
        <v>98</v>
      </c>
      <c r="S4" s="99"/>
      <c r="T4" s="99"/>
      <c r="U4" s="100"/>
    </row>
    <row r="5" spans="2:21" x14ac:dyDescent="0.25">
      <c r="B5" s="101"/>
      <c r="C5" s="101"/>
      <c r="F5" s="101"/>
      <c r="G5" s="101"/>
      <c r="J5" s="101"/>
      <c r="K5" s="101"/>
      <c r="N5" s="101"/>
      <c r="O5" s="101"/>
      <c r="R5" s="101"/>
      <c r="S5" s="101"/>
      <c r="T5" s="101"/>
      <c r="U5" s="101"/>
    </row>
    <row r="6" spans="2:21" x14ac:dyDescent="0.25">
      <c r="B6" s="33" t="s">
        <v>1</v>
      </c>
      <c r="C6" s="58">
        <f>'Monthly Totals'!C5+'Monthly Totals'!F5+'Monthly Totals'!I5+'Monthly Totals'!L5+'Monthly Totals'!O5+'Monthly Totals'!R5+'Monthly Totals'!C28+'Monthly Totals'!F28+'Monthly Totals'!I28+'Monthly Totals'!L28+'Monthly Totals'!O28+'Monthly Totals'!R28</f>
        <v>4850</v>
      </c>
      <c r="F6" s="33" t="s">
        <v>1</v>
      </c>
      <c r="G6" s="38">
        <f>C6 / 12</f>
        <v>404.16666666666669</v>
      </c>
      <c r="H6" s="61"/>
      <c r="I6" s="61"/>
      <c r="J6" s="62" t="s">
        <v>1</v>
      </c>
      <c r="K6" s="38">
        <f>C6 / 52</f>
        <v>93.269230769230774</v>
      </c>
      <c r="L6" s="61"/>
      <c r="M6" s="61"/>
      <c r="N6" s="62" t="s">
        <v>1</v>
      </c>
      <c r="O6" s="38">
        <f>C6 / 365</f>
        <v>13.287671232876713</v>
      </c>
      <c r="R6" s="33" t="s">
        <v>91</v>
      </c>
      <c r="S6" s="33" t="s">
        <v>18</v>
      </c>
      <c r="T6" s="33" t="s">
        <v>19</v>
      </c>
      <c r="U6" s="33" t="s">
        <v>20</v>
      </c>
    </row>
    <row r="7" spans="2:21" x14ac:dyDescent="0.25">
      <c r="B7" s="33" t="s">
        <v>2</v>
      </c>
      <c r="C7" s="58">
        <f>'Monthly Totals'!C6+'Monthly Totals'!F6+'Monthly Totals'!I6+'Monthly Totals'!L6+'Monthly Totals'!O6+'Monthly Totals'!R6+'Monthly Totals'!C29+'Monthly Totals'!F29+'Monthly Totals'!I29+'Monthly Totals'!L29+'Monthly Totals'!O29+'Monthly Totals'!R29</f>
        <v>3580</v>
      </c>
      <c r="F7" s="33" t="s">
        <v>2</v>
      </c>
      <c r="G7" s="38">
        <f>C7 / 12</f>
        <v>298.33333333333331</v>
      </c>
      <c r="H7" s="61"/>
      <c r="I7" s="61"/>
      <c r="J7" s="62" t="s">
        <v>2</v>
      </c>
      <c r="K7" s="38">
        <f>C7 / 52</f>
        <v>68.84615384615384</v>
      </c>
      <c r="L7" s="61"/>
      <c r="M7" s="61"/>
      <c r="N7" s="62" t="s">
        <v>2</v>
      </c>
      <c r="O7" s="38">
        <f>C7 / 365</f>
        <v>9.8082191780821919</v>
      </c>
      <c r="R7" s="33" t="s">
        <v>24</v>
      </c>
      <c r="S7" s="58">
        <f>'Occupancy Report Summarised'!L4+'Occupancy Report Summarised'!L8+'Occupancy Report Summarised'!L12+'Occupancy Report Summarised'!L16+'Occupancy Report Summarised'!L20+'Occupancy Report Summarised'!L24+'Occupancy Report Summarised'!L28+'Occupancy Report Summarised'!L32+'Occupancy Report Summarised'!L36+'Occupancy Report Summarised'!L40+'Occupancy Report Summarised'!L44+'Occupancy Report Summarised'!L48</f>
        <v>4850</v>
      </c>
      <c r="T7" s="58">
        <f>'Occupancy Report Summarised'!M4+'Occupancy Report Summarised'!M8+'Occupancy Report Summarised'!M12+'Occupancy Report Summarised'!M16+'Occupancy Report Summarised'!M20+'Occupancy Report Summarised'!M24+'Occupancy Report Summarised'!M28+'Occupancy Report Summarised'!M32+'Occupancy Report Summarised'!M36+'Occupancy Report Summarised'!M40+'Occupancy Report Summarised'!M44+'Occupancy Report Summarised'!M48</f>
        <v>5556</v>
      </c>
      <c r="U7" s="37">
        <f>SUM(S7/T7)</f>
        <v>0.87293016558675307</v>
      </c>
    </row>
    <row r="8" spans="2:21" x14ac:dyDescent="0.25">
      <c r="B8" s="33" t="s">
        <v>99</v>
      </c>
      <c r="C8" s="58">
        <f>'Monthly Totals'!C7+'Monthly Totals'!F7+'Monthly Totals'!I7+'Monthly Totals'!L7+'Monthly Totals'!O7+'Monthly Totals'!R7+'Monthly Totals'!C30+'Monthly Totals'!F30+'Monthly Totals'!I30+'Monthly Totals'!L30+'Monthly Totals'!O30+'Monthly Totals'!R30</f>
        <v>757</v>
      </c>
      <c r="F8" s="33" t="s">
        <v>99</v>
      </c>
      <c r="G8" s="38">
        <f>C8 / 12</f>
        <v>63.083333333333336</v>
      </c>
      <c r="H8" s="61"/>
      <c r="I8" s="61"/>
      <c r="J8" s="33" t="s">
        <v>99</v>
      </c>
      <c r="K8" s="38">
        <f>C8 / 52</f>
        <v>14.557692307692308</v>
      </c>
      <c r="L8" s="61"/>
      <c r="M8" s="61"/>
      <c r="N8" s="33" t="s">
        <v>99</v>
      </c>
      <c r="O8" s="38">
        <f>C8 / 365</f>
        <v>2.0739726027397261</v>
      </c>
      <c r="R8" s="33" t="s">
        <v>25</v>
      </c>
      <c r="S8" s="58">
        <f>'Occupancy Report Summarised'!L5+'Occupancy Report Summarised'!L9+'Occupancy Report Summarised'!L13+'Occupancy Report Summarised'!L17+'Occupancy Report Summarised'!L21+'Occupancy Report Summarised'!L25+'Occupancy Report Summarised'!L29+'Occupancy Report Summarised'!L33+'Occupancy Report Summarised'!L37+'Occupancy Report Summarised'!L41+'Occupancy Report Summarised'!L45+'Occupancy Report Summarised'!L49</f>
        <v>3580</v>
      </c>
      <c r="T8" s="58">
        <f>'Occupancy Report Summarised'!M5+'Occupancy Report Summarised'!M9+'Occupancy Report Summarised'!M13+'Occupancy Report Summarised'!M17+'Occupancy Report Summarised'!M21+'Occupancy Report Summarised'!M25+'Occupancy Report Summarised'!M29+'Occupancy Report Summarised'!M33+'Occupancy Report Summarised'!M37+'Occupancy Report Summarised'!M41+'Occupancy Report Summarised'!M45+'Occupancy Report Summarised'!M49</f>
        <v>4936</v>
      </c>
      <c r="U8" s="37">
        <f>SUM(S8/T8)</f>
        <v>0.72528363047001621</v>
      </c>
    </row>
    <row r="9" spans="2:21" x14ac:dyDescent="0.25">
      <c r="B9" s="33" t="s">
        <v>3</v>
      </c>
      <c r="C9" s="58">
        <f>'Monthly Totals'!C8+'Monthly Totals'!F8+'Monthly Totals'!I8+'Monthly Totals'!L8+'Monthly Totals'!O8+'Monthly Totals'!R8+'Monthly Totals'!C31+'Monthly Totals'!F31+'Monthly Totals'!I31+'Monthly Totals'!L31+'Monthly Totals'!O31+'Monthly Totals'!R31</f>
        <v>9922</v>
      </c>
      <c r="F9" s="33" t="s">
        <v>3</v>
      </c>
      <c r="G9" s="38">
        <f>C9 / 12</f>
        <v>826.83333333333337</v>
      </c>
      <c r="H9" s="61"/>
      <c r="I9" s="61"/>
      <c r="J9" s="62" t="s">
        <v>3</v>
      </c>
      <c r="K9" s="38">
        <f>C9 / 52</f>
        <v>190.80769230769232</v>
      </c>
      <c r="L9" s="61"/>
      <c r="M9" s="61"/>
      <c r="N9" s="62" t="s">
        <v>3</v>
      </c>
      <c r="O9" s="38">
        <f>C9 / 365</f>
        <v>27.183561643835617</v>
      </c>
      <c r="R9" s="33" t="s">
        <v>99</v>
      </c>
      <c r="S9" s="58">
        <f>'After 3pm Data'!Z4+'After 3pm Data'!Z6+'After 3pm Data'!Z8</f>
        <v>1492</v>
      </c>
      <c r="T9" s="58">
        <f>'After 3pm Data'!AA4+'After 3pm Data'!AA6+'After 3pm Data'!AA8</f>
        <v>4692</v>
      </c>
      <c r="U9" s="37">
        <f>SUM(S9/T9)</f>
        <v>0.31798806479113384</v>
      </c>
    </row>
    <row r="10" spans="2:21" x14ac:dyDescent="0.25">
      <c r="B10" s="33" t="s">
        <v>76</v>
      </c>
      <c r="C10" s="58">
        <f>'Monthly Totals'!C9+'Monthly Totals'!F9+'Monthly Totals'!I9+'Monthly Totals'!L9+'Monthly Totals'!O9+'Monthly Totals'!R9+'Monthly Totals'!C32+'Monthly Totals'!F32+'Monthly Totals'!I32+'Monthly Totals'!L32+'Monthly Totals'!O32+'Monthly Totals'!R32</f>
        <v>2063</v>
      </c>
      <c r="F10" s="33" t="s">
        <v>76</v>
      </c>
      <c r="G10" s="38">
        <f>C10 / 12</f>
        <v>171.91666666666666</v>
      </c>
      <c r="H10" s="61"/>
      <c r="I10" s="61"/>
      <c r="J10" s="62" t="s">
        <v>76</v>
      </c>
      <c r="K10" s="38">
        <f>C10 / 52</f>
        <v>39.67307692307692</v>
      </c>
      <c r="L10" s="61"/>
      <c r="M10" s="61"/>
      <c r="N10" s="62" t="s">
        <v>76</v>
      </c>
      <c r="O10" s="38">
        <f>C10 / 365</f>
        <v>5.6520547945205477</v>
      </c>
      <c r="R10" s="33" t="s">
        <v>92</v>
      </c>
      <c r="S10" s="66">
        <f>SUM(S7:S9)</f>
        <v>9922</v>
      </c>
      <c r="T10" s="66">
        <f>SUM(T7:T9)</f>
        <v>15184</v>
      </c>
      <c r="U10" s="37">
        <f>SUM(S10/T10)</f>
        <v>0.65345100105374077</v>
      </c>
    </row>
    <row r="11" spans="2:21" ht="37.5" x14ac:dyDescent="0.25">
      <c r="B11" s="39" t="s">
        <v>68</v>
      </c>
      <c r="C11" s="37">
        <f>SUM(C10/C9)</f>
        <v>0.20792178996170127</v>
      </c>
      <c r="E11" s="59"/>
      <c r="F11" s="39" t="s">
        <v>68</v>
      </c>
      <c r="G11" s="38" t="s">
        <v>86</v>
      </c>
      <c r="H11" s="61"/>
      <c r="I11" s="61"/>
      <c r="J11" s="63" t="s">
        <v>68</v>
      </c>
      <c r="K11" s="38" t="s">
        <v>86</v>
      </c>
      <c r="L11" s="61"/>
      <c r="M11" s="61"/>
      <c r="N11" s="63" t="s">
        <v>68</v>
      </c>
      <c r="O11" s="38" t="s">
        <v>86</v>
      </c>
    </row>
    <row r="12" spans="2:21" x14ac:dyDescent="0.25">
      <c r="B12" s="32" t="s">
        <v>4</v>
      </c>
      <c r="C12" s="58">
        <f>'Monthly Totals'!C11+'Monthly Totals'!F11+'Monthly Totals'!I11+'Monthly Totals'!L11+'Monthly Totals'!O11+'Monthly Totals'!R11+'Monthly Totals'!C34+'Monthly Totals'!F34+'Monthly Totals'!I34+'Monthly Totals'!L34+'Monthly Totals'!O34+'Monthly Totals'!R34</f>
        <v>7824</v>
      </c>
      <c r="F12" s="32" t="s">
        <v>4</v>
      </c>
      <c r="G12" s="38">
        <f>C12 / 12</f>
        <v>652</v>
      </c>
      <c r="H12" s="61"/>
      <c r="I12" s="61"/>
      <c r="J12" s="64" t="s">
        <v>4</v>
      </c>
      <c r="K12" s="38">
        <f>C12 / 52</f>
        <v>150.46153846153845</v>
      </c>
      <c r="L12" s="61"/>
      <c r="M12" s="61"/>
      <c r="N12" s="64" t="s">
        <v>4</v>
      </c>
      <c r="O12" s="38">
        <f>C12 / 365</f>
        <v>21.435616438356163</v>
      </c>
      <c r="R12" s="98" t="s">
        <v>102</v>
      </c>
      <c r="S12" s="99"/>
      <c r="T12" s="99"/>
      <c r="U12" s="100"/>
    </row>
    <row r="13" spans="2:21" x14ac:dyDescent="0.25">
      <c r="B13" s="33" t="s">
        <v>77</v>
      </c>
      <c r="C13" s="58">
        <f>'Monthly Totals'!C12+'Monthly Totals'!F12+'Monthly Totals'!I12+'Monthly Totals'!L12+'Monthly Totals'!O12+'Monthly Totals'!R12+'Monthly Totals'!C35+'Monthly Totals'!F35+'Monthly Totals'!I35+'Monthly Totals'!L35+'Monthly Totals'!O35+'Monthly Totals'!R35</f>
        <v>78</v>
      </c>
      <c r="F13" s="33" t="s">
        <v>77</v>
      </c>
      <c r="G13" s="38">
        <f t="shared" ref="G13:G24" si="0">C13 / 12</f>
        <v>6.5</v>
      </c>
      <c r="H13" s="61"/>
      <c r="I13" s="61"/>
      <c r="J13" s="62" t="s">
        <v>77</v>
      </c>
      <c r="K13" s="38">
        <f t="shared" ref="K13:K24" si="1">C13 / 52</f>
        <v>1.5</v>
      </c>
      <c r="L13" s="61"/>
      <c r="M13" s="61"/>
      <c r="N13" s="62" t="s">
        <v>77</v>
      </c>
      <c r="O13" s="38">
        <f t="shared" ref="O13:O24" si="2">C13 / 365</f>
        <v>0.21369863013698631</v>
      </c>
    </row>
    <row r="14" spans="2:21" x14ac:dyDescent="0.25">
      <c r="B14" s="33" t="s">
        <v>69</v>
      </c>
      <c r="C14" s="58">
        <f>'Monthly Totals'!C13+'Monthly Totals'!F13+'Monthly Totals'!I13+'Monthly Totals'!L13+'Monthly Totals'!O13+'Monthly Totals'!R13+'Monthly Totals'!C36+'Monthly Totals'!F36+'Monthly Totals'!I36+'Monthly Totals'!L36+'Monthly Totals'!O36+'Monthly Totals'!R36</f>
        <v>34</v>
      </c>
      <c r="D14" s="69"/>
      <c r="F14" s="33" t="s">
        <v>69</v>
      </c>
      <c r="G14" s="38">
        <f t="shared" si="0"/>
        <v>2.8333333333333335</v>
      </c>
      <c r="H14" s="61"/>
      <c r="I14" s="61"/>
      <c r="J14" s="62" t="s">
        <v>69</v>
      </c>
      <c r="K14" s="38">
        <f t="shared" si="1"/>
        <v>0.65384615384615385</v>
      </c>
      <c r="L14" s="61"/>
      <c r="M14" s="61"/>
      <c r="N14" s="62" t="s">
        <v>69</v>
      </c>
      <c r="O14" s="38">
        <f t="shared" si="2"/>
        <v>9.3150684931506855E-2</v>
      </c>
      <c r="R14" s="33" t="s">
        <v>91</v>
      </c>
      <c r="S14" s="33" t="s">
        <v>18</v>
      </c>
      <c r="T14" s="33" t="s">
        <v>19</v>
      </c>
      <c r="U14" s="33" t="s">
        <v>20</v>
      </c>
    </row>
    <row r="15" spans="2:21" x14ac:dyDescent="0.25">
      <c r="B15" s="33" t="s">
        <v>70</v>
      </c>
      <c r="C15" s="58">
        <f>'Monthly Totals'!C14+'Monthly Totals'!F14+'Monthly Totals'!I14+'Monthly Totals'!L14+'Monthly Totals'!O14+'Monthly Totals'!R14+'Monthly Totals'!C37+'Monthly Totals'!F37+'Monthly Totals'!I37+'Monthly Totals'!L37+'Monthly Totals'!O37+'Monthly Totals'!R37</f>
        <v>168</v>
      </c>
      <c r="D15" s="69"/>
      <c r="F15" s="33" t="s">
        <v>70</v>
      </c>
      <c r="G15" s="38">
        <f t="shared" si="0"/>
        <v>14</v>
      </c>
      <c r="H15" s="61"/>
      <c r="I15" s="61"/>
      <c r="J15" s="62" t="s">
        <v>70</v>
      </c>
      <c r="K15" s="38">
        <f t="shared" si="1"/>
        <v>3.2307692307692308</v>
      </c>
      <c r="L15" s="61"/>
      <c r="M15" s="61"/>
      <c r="N15" s="62" t="s">
        <v>70</v>
      </c>
      <c r="O15" s="38">
        <f t="shared" si="2"/>
        <v>0.46027397260273972</v>
      </c>
      <c r="R15" s="33" t="s">
        <v>24</v>
      </c>
      <c r="S15" s="58">
        <f>'Occupancy Report Summarised'!L4+'Occupancy Report Summarised'!L8+'Occupancy Report Summarised'!L12+'Occupancy Report Summarised'!L16+'Occupancy Report Summarised'!L20+'Occupancy Report Summarised'!L24+'Occupancy Report Summarised'!L28+'Occupancy Report Summarised'!L32+'Occupancy Report Summarised'!L36+'Occupancy Report Summarised'!L40+'Occupancy Report Summarised'!L44+'Occupancy Report Summarised'!L48</f>
        <v>4850</v>
      </c>
      <c r="T15" s="58">
        <f>'Occupancy Report Summarised'!M4+'Occupancy Report Summarised'!M8+'Occupancy Report Summarised'!M12+'Occupancy Report Summarised'!M16+'Occupancy Report Summarised'!M20+'Occupancy Report Summarised'!M24+'Occupancy Report Summarised'!M28+'Occupancy Report Summarised'!M32+'Occupancy Report Summarised'!M36+'Occupancy Report Summarised'!M40+'Occupancy Report Summarised'!M44+'Occupancy Report Summarised'!M48</f>
        <v>5556</v>
      </c>
      <c r="U15" s="37">
        <f>SUM(S15/T15)</f>
        <v>0.87293016558675307</v>
      </c>
    </row>
    <row r="16" spans="2:21" x14ac:dyDescent="0.25">
      <c r="B16" s="33" t="s">
        <v>71</v>
      </c>
      <c r="C16" s="58">
        <f>'Monthly Totals'!C15+'Monthly Totals'!F15+'Monthly Totals'!I15+'Monthly Totals'!L15+'Monthly Totals'!O15+'Monthly Totals'!R15+'Monthly Totals'!C38+'Monthly Totals'!F38+'Monthly Totals'!I38+'Monthly Totals'!L38+'Monthly Totals'!O38+'Monthly Totals'!R38</f>
        <v>19</v>
      </c>
      <c r="F16" s="33" t="s">
        <v>71</v>
      </c>
      <c r="G16" s="38">
        <f t="shared" si="0"/>
        <v>1.5833333333333333</v>
      </c>
      <c r="H16" s="61"/>
      <c r="I16" s="61"/>
      <c r="J16" s="62" t="s">
        <v>71</v>
      </c>
      <c r="K16" s="38">
        <f t="shared" si="1"/>
        <v>0.36538461538461536</v>
      </c>
      <c r="L16" s="61"/>
      <c r="M16" s="61"/>
      <c r="N16" s="62" t="s">
        <v>71</v>
      </c>
      <c r="O16" s="38">
        <f t="shared" si="2"/>
        <v>5.2054794520547946E-2</v>
      </c>
      <c r="R16" s="33" t="s">
        <v>25</v>
      </c>
      <c r="S16" s="58">
        <f>'Occupancy Report Summarised'!L5+'Occupancy Report Summarised'!L9+'Occupancy Report Summarised'!L13+'Occupancy Report Summarised'!L17+'Occupancy Report Summarised'!L21+'Occupancy Report Summarised'!L25+'Occupancy Report Summarised'!L29+'Occupancy Report Summarised'!L33+'Occupancy Report Summarised'!L37+'Occupancy Report Summarised'!L41+'Occupancy Report Summarised'!L45+'Occupancy Report Summarised'!L49</f>
        <v>3580</v>
      </c>
      <c r="T16" s="58">
        <f>'Occupancy Report Summarised'!M5+'Occupancy Report Summarised'!M9+'Occupancy Report Summarised'!M13+'Occupancy Report Summarised'!M17+'Occupancy Report Summarised'!M21+'Occupancy Report Summarised'!M25+'Occupancy Report Summarised'!M29+'Occupancy Report Summarised'!M33+'Occupancy Report Summarised'!M37+'Occupancy Report Summarised'!M41+'Occupancy Report Summarised'!M45+'Occupancy Report Summarised'!M49</f>
        <v>4936</v>
      </c>
      <c r="U16" s="37">
        <f>SUM(S16/T16)</f>
        <v>0.72528363047001621</v>
      </c>
    </row>
    <row r="17" spans="2:21" x14ac:dyDescent="0.25">
      <c r="B17" s="33" t="s">
        <v>5</v>
      </c>
      <c r="C17" s="58">
        <f>'Monthly Totals'!C16+'Monthly Totals'!F16+'Monthly Totals'!I16+'Monthly Totals'!L16+'Monthly Totals'!O16+'Monthly Totals'!R16+'Monthly Totals'!C39+'Monthly Totals'!F39+'Monthly Totals'!I39+'Monthly Totals'!L39+'Monthly Totals'!O39+'Monthly Totals'!R39</f>
        <v>1011</v>
      </c>
      <c r="D17" s="69"/>
      <c r="F17" s="33" t="s">
        <v>5</v>
      </c>
      <c r="G17" s="38">
        <f t="shared" si="0"/>
        <v>84.25</v>
      </c>
      <c r="H17" s="61"/>
      <c r="I17" s="61"/>
      <c r="J17" s="62" t="s">
        <v>5</v>
      </c>
      <c r="K17" s="38">
        <f t="shared" si="1"/>
        <v>19.442307692307693</v>
      </c>
      <c r="L17" s="61"/>
      <c r="M17" s="61"/>
      <c r="N17" s="62" t="s">
        <v>5</v>
      </c>
      <c r="O17" s="38">
        <f t="shared" si="2"/>
        <v>2.7698630136986302</v>
      </c>
      <c r="R17" s="33" t="s">
        <v>92</v>
      </c>
      <c r="S17" s="88">
        <f>SUM(S15+S16)</f>
        <v>8430</v>
      </c>
      <c r="T17" s="88">
        <f>SUM(T15+T16)</f>
        <v>10492</v>
      </c>
      <c r="U17" s="37">
        <f>SUM(S17/T17)</f>
        <v>0.80346930995043842</v>
      </c>
    </row>
    <row r="18" spans="2:21" ht="37.5" x14ac:dyDescent="0.25">
      <c r="B18" s="32" t="s">
        <v>72</v>
      </c>
      <c r="C18" s="58">
        <f>'Monthly Totals'!C17+'Monthly Totals'!F17+'Monthly Totals'!I17+'Monthly Totals'!L17+'Monthly Totals'!O17+'Monthly Totals'!R17+'Monthly Totals'!C40+'Monthly Totals'!F40+'Monthly Totals'!I40+'Monthly Totals'!L40+'Monthly Totals'!O40+'Monthly Totals'!R40</f>
        <v>17</v>
      </c>
      <c r="F18" s="32" t="s">
        <v>72</v>
      </c>
      <c r="G18" s="38">
        <f t="shared" si="0"/>
        <v>1.4166666666666667</v>
      </c>
      <c r="H18" s="65"/>
      <c r="I18" s="61"/>
      <c r="J18" s="64" t="s">
        <v>72</v>
      </c>
      <c r="K18" s="38">
        <f t="shared" si="1"/>
        <v>0.32692307692307693</v>
      </c>
      <c r="L18" s="65"/>
      <c r="M18" s="61"/>
      <c r="N18" s="64" t="s">
        <v>72</v>
      </c>
      <c r="O18" s="38">
        <f t="shared" si="2"/>
        <v>4.6575342465753428E-2</v>
      </c>
    </row>
    <row r="19" spans="2:21" x14ac:dyDescent="0.25">
      <c r="B19" s="33" t="s">
        <v>6</v>
      </c>
      <c r="C19" s="58">
        <f>'Monthly Totals'!C18+'Monthly Totals'!F18+'Monthly Totals'!I18+'Monthly Totals'!L18+'Monthly Totals'!O18+'Monthly Totals'!R18+'Monthly Totals'!C41+'Monthly Totals'!F41+'Monthly Totals'!I41+'Monthly Totals'!L41+'Monthly Totals'!O41+'Monthly Totals'!R41</f>
        <v>318</v>
      </c>
      <c r="F19" s="33" t="s">
        <v>6</v>
      </c>
      <c r="G19" s="38">
        <f t="shared" si="0"/>
        <v>26.5</v>
      </c>
      <c r="H19" s="61"/>
      <c r="I19" s="61"/>
      <c r="J19" s="62" t="s">
        <v>6</v>
      </c>
      <c r="K19" s="38">
        <f t="shared" si="1"/>
        <v>6.115384615384615</v>
      </c>
      <c r="L19" s="61"/>
      <c r="M19" s="61"/>
      <c r="N19" s="62" t="s">
        <v>6</v>
      </c>
      <c r="O19" s="38">
        <f t="shared" si="2"/>
        <v>0.87123287671232874</v>
      </c>
      <c r="S19" s="69"/>
    </row>
    <row r="20" spans="2:21" x14ac:dyDescent="0.25">
      <c r="B20" s="33" t="s">
        <v>93</v>
      </c>
      <c r="C20" s="58">
        <f>'Monthly Totals'!C19+'Monthly Totals'!F19+'Monthly Totals'!I19+'Monthly Totals'!L19+'Monthly Totals'!O19+'Monthly Totals'!R19+'Monthly Totals'!C42+'Monthly Totals'!F42+'Monthly Totals'!I42+'Monthly Totals'!L42+'Monthly Totals'!O42+'Monthly Totals'!R42</f>
        <v>0</v>
      </c>
      <c r="F20" s="33" t="s">
        <v>93</v>
      </c>
      <c r="G20" s="38">
        <f t="shared" si="0"/>
        <v>0</v>
      </c>
      <c r="H20" s="61"/>
      <c r="I20" s="61"/>
      <c r="J20" s="33" t="s">
        <v>93</v>
      </c>
      <c r="K20" s="38">
        <f t="shared" si="1"/>
        <v>0</v>
      </c>
      <c r="L20" s="61"/>
      <c r="M20" s="61"/>
      <c r="N20" s="33" t="s">
        <v>93</v>
      </c>
      <c r="O20" s="38">
        <f t="shared" si="2"/>
        <v>0</v>
      </c>
    </row>
    <row r="21" spans="2:21" x14ac:dyDescent="0.25">
      <c r="B21" s="33" t="s">
        <v>78</v>
      </c>
      <c r="C21" s="58">
        <f>'Monthly Totals'!C20+'Monthly Totals'!F20+'Monthly Totals'!I20+'Monthly Totals'!L20+'Monthly Totals'!O20+'Monthly Totals'!R20+'Monthly Totals'!C43+'Monthly Totals'!F43+'Monthly Totals'!I43+'Monthly Totals'!L43+'Monthly Totals'!O43+'Monthly Totals'!R43</f>
        <v>35</v>
      </c>
      <c r="F21" s="33" t="s">
        <v>78</v>
      </c>
      <c r="G21" s="38">
        <f t="shared" si="0"/>
        <v>2.9166666666666665</v>
      </c>
      <c r="H21" s="61"/>
      <c r="I21" s="61"/>
      <c r="J21" s="62" t="s">
        <v>78</v>
      </c>
      <c r="K21" s="38">
        <f t="shared" si="1"/>
        <v>0.67307692307692313</v>
      </c>
      <c r="L21" s="61"/>
      <c r="M21" s="61"/>
      <c r="N21" s="62" t="s">
        <v>78</v>
      </c>
      <c r="O21" s="38">
        <f t="shared" si="2"/>
        <v>9.5890410958904104E-2</v>
      </c>
    </row>
    <row r="22" spans="2:21" x14ac:dyDescent="0.25">
      <c r="B22" s="33" t="s">
        <v>73</v>
      </c>
      <c r="C22" s="58">
        <f>'Monthly Totals'!C21+'Monthly Totals'!F21+'Monthly Totals'!I21+'Monthly Totals'!L21+'Monthly Totals'!O21+'Monthly Totals'!R21+'Monthly Totals'!C44+'Monthly Totals'!F44+'Monthly Totals'!I44+'Monthly Totals'!L44+'Monthly Totals'!O44+'Monthly Totals'!R44</f>
        <v>218</v>
      </c>
      <c r="F22" s="33" t="s">
        <v>73</v>
      </c>
      <c r="G22" s="38">
        <f t="shared" si="0"/>
        <v>18.166666666666668</v>
      </c>
      <c r="H22" s="61"/>
      <c r="I22" s="61"/>
      <c r="J22" s="62" t="s">
        <v>73</v>
      </c>
      <c r="K22" s="38">
        <f t="shared" si="1"/>
        <v>4.1923076923076925</v>
      </c>
      <c r="L22" s="61"/>
      <c r="M22" s="61"/>
      <c r="N22" s="62" t="s">
        <v>73</v>
      </c>
      <c r="O22" s="38">
        <f t="shared" si="2"/>
        <v>0.59726027397260273</v>
      </c>
    </row>
    <row r="23" spans="2:21" x14ac:dyDescent="0.25">
      <c r="B23" s="33" t="s">
        <v>7</v>
      </c>
      <c r="C23" s="58">
        <f>'Monthly Totals'!C22+'Monthly Totals'!F22+'Monthly Totals'!I22+'Monthly Totals'!L22+'Monthly Totals'!O22+'Monthly Totals'!R22+'Monthly Totals'!C45+'Monthly Totals'!F45+'Monthly Totals'!I45+'Monthly Totals'!L45+'Monthly Totals'!O45+'Monthly Totals'!R45</f>
        <v>178</v>
      </c>
      <c r="F23" s="33" t="s">
        <v>7</v>
      </c>
      <c r="G23" s="38">
        <f t="shared" si="0"/>
        <v>14.833333333333334</v>
      </c>
      <c r="H23" s="61"/>
      <c r="I23" s="61"/>
      <c r="J23" s="62" t="s">
        <v>7</v>
      </c>
      <c r="K23" s="38">
        <f t="shared" si="1"/>
        <v>3.4230769230769229</v>
      </c>
      <c r="L23" s="61"/>
      <c r="M23" s="61"/>
      <c r="N23" s="62" t="s">
        <v>7</v>
      </c>
      <c r="O23" s="38">
        <f t="shared" si="2"/>
        <v>0.48767123287671232</v>
      </c>
    </row>
    <row r="24" spans="2:21" x14ac:dyDescent="0.25">
      <c r="B24" s="33" t="s">
        <v>74</v>
      </c>
      <c r="C24" s="58">
        <f>'Monthly Totals'!C23+'Monthly Totals'!F23+'Monthly Totals'!I23+'Monthly Totals'!L23+'Monthly Totals'!O23+'Monthly Totals'!R23+'Monthly Totals'!C46+'Monthly Totals'!F46+'Monthly Totals'!I46+'Monthly Totals'!L46+'Monthly Totals'!O46+'Monthly Totals'!R46</f>
        <v>5583</v>
      </c>
      <c r="F24" s="33" t="s">
        <v>74</v>
      </c>
      <c r="G24" s="38">
        <f t="shared" si="0"/>
        <v>465.25</v>
      </c>
      <c r="H24" s="61"/>
      <c r="I24" s="61"/>
      <c r="J24" s="62" t="s">
        <v>74</v>
      </c>
      <c r="K24" s="38">
        <f t="shared" si="1"/>
        <v>107.36538461538461</v>
      </c>
      <c r="L24" s="61"/>
      <c r="M24" s="61"/>
      <c r="N24" s="62" t="s">
        <v>74</v>
      </c>
      <c r="O24" s="38">
        <f t="shared" si="2"/>
        <v>15.295890410958904</v>
      </c>
    </row>
    <row r="26" spans="2:21" x14ac:dyDescent="0.25">
      <c r="D26" s="60"/>
    </row>
  </sheetData>
  <mergeCells count="12">
    <mergeCell ref="R12:U12"/>
    <mergeCell ref="R4:U4"/>
    <mergeCell ref="R5:U5"/>
    <mergeCell ref="B3:C3"/>
    <mergeCell ref="N4:O4"/>
    <mergeCell ref="N5:O5"/>
    <mergeCell ref="B4:C4"/>
    <mergeCell ref="B5:C5"/>
    <mergeCell ref="F4:G4"/>
    <mergeCell ref="F5:G5"/>
    <mergeCell ref="J4:K4"/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8681-3F4E-4E58-98B6-76F1C5B0A556}">
  <dimension ref="B1:U123"/>
  <sheetViews>
    <sheetView showGridLines="0" topLeftCell="B1" zoomScale="70" zoomScaleNormal="70" workbookViewId="0">
      <selection activeCell="L5" sqref="L5"/>
    </sheetView>
  </sheetViews>
  <sheetFormatPr defaultColWidth="9.140625" defaultRowHeight="18.75" x14ac:dyDescent="0.4"/>
  <cols>
    <col min="1" max="1" width="3.28515625" style="2" customWidth="1"/>
    <col min="2" max="2" width="37.42578125" style="2" bestFit="1" customWidth="1"/>
    <col min="3" max="3" width="11" style="2" bestFit="1" customWidth="1"/>
    <col min="4" max="5" width="17.85546875" style="4" customWidth="1"/>
    <col min="6" max="6" width="19.140625" style="4" customWidth="1"/>
    <col min="7" max="7" width="20.42578125" style="2" bestFit="1" customWidth="1"/>
    <col min="8" max="8" width="9.140625" style="2"/>
    <col min="9" max="9" width="37.42578125" style="2" bestFit="1" customWidth="1"/>
    <col min="10" max="10" width="11" style="2" bestFit="1" customWidth="1"/>
    <col min="11" max="11" width="15.7109375" style="2" customWidth="1"/>
    <col min="12" max="12" width="23.28515625" style="2" bestFit="1" customWidth="1"/>
    <col min="13" max="13" width="18.5703125" style="2" bestFit="1" customWidth="1"/>
    <col min="14" max="14" width="27.42578125" style="2" customWidth="1"/>
    <col min="15" max="15" width="14.140625" style="2" customWidth="1"/>
    <col min="16" max="16" width="37.42578125" style="2" bestFit="1" customWidth="1"/>
    <col min="17" max="17" width="11" style="5" bestFit="1" customWidth="1"/>
    <col min="18" max="18" width="15.5703125" style="2" customWidth="1"/>
    <col min="19" max="19" width="23.28515625" style="2" bestFit="1" customWidth="1"/>
    <col min="20" max="20" width="19.140625" style="2" customWidth="1"/>
    <col min="21" max="21" width="20.42578125" style="2" bestFit="1" customWidth="1"/>
    <col min="22" max="16384" width="9.140625" style="2"/>
  </cols>
  <sheetData>
    <row r="1" spans="2:21" ht="19.5" x14ac:dyDescent="0.4">
      <c r="C1" s="3"/>
      <c r="J1" s="3"/>
    </row>
    <row r="2" spans="2:21" ht="52.5" x14ac:dyDescent="0.55000000000000004">
      <c r="B2" s="1" t="s">
        <v>8</v>
      </c>
      <c r="C2" s="6"/>
      <c r="D2" s="7" t="s">
        <v>18</v>
      </c>
      <c r="E2" s="7" t="s">
        <v>19</v>
      </c>
      <c r="F2" s="7" t="s">
        <v>20</v>
      </c>
      <c r="G2" s="6" t="s">
        <v>21</v>
      </c>
      <c r="H2" s="8"/>
      <c r="I2" s="1" t="s">
        <v>22</v>
      </c>
      <c r="J2" s="6"/>
      <c r="K2" s="7" t="s">
        <v>18</v>
      </c>
      <c r="L2" s="7" t="s">
        <v>19</v>
      </c>
      <c r="M2" s="7" t="s">
        <v>20</v>
      </c>
      <c r="N2" s="6" t="s">
        <v>21</v>
      </c>
      <c r="P2" s="1" t="s">
        <v>9</v>
      </c>
      <c r="Q2" s="9"/>
      <c r="R2" s="6" t="s">
        <v>18</v>
      </c>
      <c r="S2" s="7" t="s">
        <v>19</v>
      </c>
      <c r="T2" s="6" t="s">
        <v>20</v>
      </c>
      <c r="U2" s="6" t="s">
        <v>21</v>
      </c>
    </row>
    <row r="3" spans="2:21" ht="19.5" thickBot="1" x14ac:dyDescent="0.45">
      <c r="K3" s="4"/>
      <c r="L3" s="4"/>
      <c r="M3" s="4"/>
    </row>
    <row r="4" spans="2:21" x14ac:dyDescent="0.4">
      <c r="B4" s="104" t="s">
        <v>23</v>
      </c>
      <c r="C4" s="10" t="s">
        <v>24</v>
      </c>
      <c r="D4" s="11">
        <f>GETPIVOTDATA("Sum of AM FIELD",'Pivot Table'!$A$4,"DAY","Mon")</f>
        <v>292</v>
      </c>
      <c r="E4" s="11">
        <f>108+108+0+96</f>
        <v>312</v>
      </c>
      <c r="F4" s="12">
        <f>SUM(D4/E4)</f>
        <v>0.9358974358974359</v>
      </c>
      <c r="G4" s="13"/>
      <c r="I4" s="104" t="s">
        <v>23</v>
      </c>
      <c r="J4" s="10" t="s">
        <v>24</v>
      </c>
      <c r="K4" s="11">
        <f>GETPIVOTDATA("Sum of AM FIELD",'Pivot Table'!$A$16,"DAY","Mon")</f>
        <v>153</v>
      </c>
      <c r="L4" s="11">
        <f>88+88+0+68</f>
        <v>244</v>
      </c>
      <c r="M4" s="12">
        <f>SUM(K4/L4)</f>
        <v>0.62704918032786883</v>
      </c>
      <c r="N4" s="13"/>
      <c r="P4" s="104" t="s">
        <v>23</v>
      </c>
      <c r="Q4" s="10" t="s">
        <v>24</v>
      </c>
      <c r="R4" s="11">
        <f>GETPIVOTDATA("Sum of AM FIELD",'Pivot Table'!$A$28,"DAY","Mon")</f>
        <v>0</v>
      </c>
      <c r="S4" s="11"/>
      <c r="T4" s="12" t="e">
        <f>SUM(R4/S4)</f>
        <v>#DIV/0!</v>
      </c>
      <c r="U4" s="13"/>
    </row>
    <row r="5" spans="2:21" ht="19.5" thickBot="1" x14ac:dyDescent="0.45">
      <c r="B5" s="105"/>
      <c r="C5" s="14" t="s">
        <v>25</v>
      </c>
      <c r="D5" s="15">
        <f>GETPIVOTDATA("Sum of PM FIELD",'Pivot Table'!$A$4,"DAY","Mon")</f>
        <v>278</v>
      </c>
      <c r="E5" s="15">
        <f>76+76+80+96</f>
        <v>328</v>
      </c>
      <c r="F5" s="16">
        <f>SUM(D5/E5)</f>
        <v>0.84756097560975607</v>
      </c>
      <c r="G5" s="17"/>
      <c r="I5" s="105"/>
      <c r="J5" s="14" t="s">
        <v>25</v>
      </c>
      <c r="K5" s="15">
        <f>GETPIVOTDATA("Sum of PM FIELD",'Pivot Table'!$A$16,"DAY","Mon")</f>
        <v>324</v>
      </c>
      <c r="L5" s="15">
        <f>88+84+80+104</f>
        <v>356</v>
      </c>
      <c r="M5" s="16">
        <f>SUM(K5/L5)</f>
        <v>0.9101123595505618</v>
      </c>
      <c r="N5" s="17"/>
      <c r="P5" s="105"/>
      <c r="Q5" s="14" t="s">
        <v>25</v>
      </c>
      <c r="R5" s="15">
        <f>GETPIVOTDATA("Sum of PM FIELD",'Pivot Table'!$A$28,"DAY","Mon")</f>
        <v>0</v>
      </c>
      <c r="S5" s="15"/>
      <c r="T5" s="16" t="e">
        <f>SUM(R5/S5)</f>
        <v>#DIV/0!</v>
      </c>
      <c r="U5" s="17"/>
    </row>
    <row r="6" spans="2:21" ht="20.25" thickTop="1" thickBot="1" x14ac:dyDescent="0.45">
      <c r="B6" s="70" t="s">
        <v>26</v>
      </c>
      <c r="C6" s="18"/>
      <c r="D6" s="19">
        <f>SUM(D3:D5)</f>
        <v>570</v>
      </c>
      <c r="E6" s="19">
        <f>SUM(E3:E5)</f>
        <v>640</v>
      </c>
      <c r="F6" s="20">
        <f>SUM(D6/E6)</f>
        <v>0.890625</v>
      </c>
      <c r="G6" s="21"/>
      <c r="I6" s="70" t="s">
        <v>26</v>
      </c>
      <c r="J6" s="18"/>
      <c r="K6" s="19">
        <f>SUM(K3:K5)</f>
        <v>477</v>
      </c>
      <c r="L6" s="19">
        <f>SUM(L3:L5)</f>
        <v>600</v>
      </c>
      <c r="M6" s="20">
        <f>SUM(K6/L6)</f>
        <v>0.79500000000000004</v>
      </c>
      <c r="N6" s="21"/>
      <c r="P6" s="70" t="s">
        <v>26</v>
      </c>
      <c r="Q6" s="18"/>
      <c r="R6" s="19">
        <f>SUM(R3:R5)</f>
        <v>0</v>
      </c>
      <c r="S6" s="19">
        <f>SUM(S4:S5)</f>
        <v>0</v>
      </c>
      <c r="T6" s="20" t="e">
        <f>SUM(R6/S6)</f>
        <v>#DIV/0!</v>
      </c>
      <c r="U6" s="21"/>
    </row>
    <row r="7" spans="2:21" ht="19.5" thickBot="1" x14ac:dyDescent="0.45">
      <c r="B7" s="5"/>
      <c r="C7" s="22"/>
      <c r="I7" s="5"/>
      <c r="J7" s="22"/>
      <c r="K7" s="4"/>
      <c r="L7" s="4"/>
      <c r="M7" s="4"/>
      <c r="P7" s="5"/>
      <c r="Q7" s="22"/>
      <c r="R7" s="4"/>
      <c r="S7" s="4"/>
      <c r="T7" s="4"/>
    </row>
    <row r="8" spans="2:21" x14ac:dyDescent="0.4">
      <c r="B8" s="104" t="s">
        <v>27</v>
      </c>
      <c r="C8" s="10" t="s">
        <v>24</v>
      </c>
      <c r="D8" s="11">
        <f>GETPIVOTDATA("Sum of AM FIELD",'Pivot Table'!$A$4,"DAY","Tue")</f>
        <v>326</v>
      </c>
      <c r="E8" s="11">
        <f>112+112+112+112</f>
        <v>448</v>
      </c>
      <c r="F8" s="12">
        <f>SUM(D8/E8)</f>
        <v>0.7276785714285714</v>
      </c>
      <c r="G8" s="13"/>
      <c r="I8" s="104" t="s">
        <v>27</v>
      </c>
      <c r="J8" s="10" t="s">
        <v>24</v>
      </c>
      <c r="K8" s="11">
        <f>GETPIVOTDATA("Sum of AM FIELD",'Pivot Table'!$A$16,"DAY","Tue")</f>
        <v>397</v>
      </c>
      <c r="L8" s="11">
        <f>100+112+100+112</f>
        <v>424</v>
      </c>
      <c r="M8" s="12">
        <f>SUM(K8/L8)</f>
        <v>0.93632075471698117</v>
      </c>
      <c r="N8" s="13"/>
      <c r="P8" s="104" t="s">
        <v>27</v>
      </c>
      <c r="Q8" s="10" t="s">
        <v>24</v>
      </c>
      <c r="R8" s="11">
        <f>GETPIVOTDATA("Sum of AM FIELD",'Pivot Table'!$A$28,"DAY","Tue")</f>
        <v>0</v>
      </c>
      <c r="S8" s="11"/>
      <c r="T8" s="12" t="e">
        <f>SUM(R8/S8)</f>
        <v>#DIV/0!</v>
      </c>
      <c r="U8" s="13"/>
    </row>
    <row r="9" spans="2:21" ht="19.5" thickBot="1" x14ac:dyDescent="0.45">
      <c r="B9" s="105"/>
      <c r="C9" s="14" t="s">
        <v>25</v>
      </c>
      <c r="D9" s="15">
        <f>GETPIVOTDATA("Sum of PM FIELD",'Pivot Table'!$A$4,"DAY","Tue")</f>
        <v>45</v>
      </c>
      <c r="E9" s="15">
        <f>80+80+80+80</f>
        <v>320</v>
      </c>
      <c r="F9" s="16">
        <f>SUM(D9/E9)</f>
        <v>0.140625</v>
      </c>
      <c r="G9" s="17"/>
      <c r="I9" s="105"/>
      <c r="J9" s="14" t="s">
        <v>25</v>
      </c>
      <c r="K9" s="15">
        <f>GETPIVOTDATA("Sum of PM FIELD",'Pivot Table'!$A$16,"DAY","Tue")</f>
        <v>68</v>
      </c>
      <c r="L9" s="15">
        <f>72+60+84+80</f>
        <v>296</v>
      </c>
      <c r="M9" s="16">
        <f>SUM(K9/L9)</f>
        <v>0.22972972972972974</v>
      </c>
      <c r="N9" s="17"/>
      <c r="P9" s="105"/>
      <c r="Q9" s="14" t="s">
        <v>25</v>
      </c>
      <c r="R9" s="15">
        <f>GETPIVOTDATA("Sum of PM FIELD",'Pivot Table'!$A$28,"DAY","Tue")</f>
        <v>0</v>
      </c>
      <c r="S9" s="15"/>
      <c r="T9" s="16" t="e">
        <f>SUM(R9/S9)</f>
        <v>#DIV/0!</v>
      </c>
      <c r="U9" s="17"/>
    </row>
    <row r="10" spans="2:21" ht="20.25" thickTop="1" thickBot="1" x14ac:dyDescent="0.45">
      <c r="B10" s="70" t="s">
        <v>26</v>
      </c>
      <c r="C10" s="23"/>
      <c r="D10" s="24">
        <f>SUM(D7:D9)</f>
        <v>371</v>
      </c>
      <c r="E10" s="24">
        <f>SUM(E7:E9)</f>
        <v>768</v>
      </c>
      <c r="F10" s="25">
        <f>SUM(D10/E10)</f>
        <v>0.48307291666666669</v>
      </c>
      <c r="G10" s="26"/>
      <c r="I10" s="70" t="s">
        <v>26</v>
      </c>
      <c r="J10" s="23"/>
      <c r="K10" s="24">
        <f>SUM(K7:K9)</f>
        <v>465</v>
      </c>
      <c r="L10" s="24">
        <f>SUM(L7:L9)</f>
        <v>720</v>
      </c>
      <c r="M10" s="25">
        <f>SUM(K10/L10)</f>
        <v>0.64583333333333337</v>
      </c>
      <c r="N10" s="26"/>
      <c r="P10" s="70" t="s">
        <v>26</v>
      </c>
      <c r="Q10" s="23"/>
      <c r="R10" s="24">
        <f>SUM(R7:R9)</f>
        <v>0</v>
      </c>
      <c r="S10" s="24">
        <f>SUM(S7:S9)</f>
        <v>0</v>
      </c>
      <c r="T10" s="25" t="e">
        <f>SUM(R10/S10)</f>
        <v>#DIV/0!</v>
      </c>
      <c r="U10" s="26"/>
    </row>
    <row r="11" spans="2:21" ht="19.5" thickBot="1" x14ac:dyDescent="0.45">
      <c r="B11" s="5"/>
      <c r="C11" s="22"/>
      <c r="I11" s="5"/>
      <c r="J11" s="22"/>
      <c r="K11" s="4"/>
      <c r="L11" s="4"/>
      <c r="M11" s="4"/>
      <c r="P11" s="5"/>
      <c r="Q11" s="22"/>
      <c r="R11" s="4"/>
      <c r="S11" s="4"/>
      <c r="T11" s="4"/>
    </row>
    <row r="12" spans="2:21" x14ac:dyDescent="0.4">
      <c r="B12" s="104" t="s">
        <v>28</v>
      </c>
      <c r="C12" s="10" t="s">
        <v>24</v>
      </c>
      <c r="D12" s="11">
        <f>GETPIVOTDATA("Sum of AM FIELD",'Pivot Table'!$A$4,"DAY","Wed")</f>
        <v>288</v>
      </c>
      <c r="E12" s="11">
        <f>108+108+108+108</f>
        <v>432</v>
      </c>
      <c r="F12" s="12">
        <f>SUM(D12/E12)</f>
        <v>0.66666666666666663</v>
      </c>
      <c r="G12" s="13"/>
      <c r="I12" s="104" t="s">
        <v>28</v>
      </c>
      <c r="J12" s="10" t="s">
        <v>24</v>
      </c>
      <c r="K12" s="11">
        <f>GETPIVOTDATA("Sum of AM FIELD",'Pivot Table'!$A$16,"DAY","Wed")</f>
        <v>398</v>
      </c>
      <c r="L12" s="11">
        <f>100+128+112+92</f>
        <v>432</v>
      </c>
      <c r="M12" s="12">
        <f>SUM(K12/L12)</f>
        <v>0.92129629629629628</v>
      </c>
      <c r="N12" s="13"/>
      <c r="P12" s="104" t="s">
        <v>28</v>
      </c>
      <c r="Q12" s="10" t="s">
        <v>24</v>
      </c>
      <c r="R12" s="11">
        <f>GETPIVOTDATA("Sum of AM FIELD",'Pivot Table'!$A$28,"DAY","Wed")</f>
        <v>0</v>
      </c>
      <c r="S12" s="11"/>
      <c r="T12" s="12" t="e">
        <f>SUM(R12/S12)</f>
        <v>#DIV/0!</v>
      </c>
      <c r="U12" s="13"/>
    </row>
    <row r="13" spans="2:21" ht="19.5" thickBot="1" x14ac:dyDescent="0.45">
      <c r="B13" s="105"/>
      <c r="C13" s="14" t="s">
        <v>25</v>
      </c>
      <c r="D13" s="15">
        <f>GETPIVOTDATA("Sum of PM FIELD",'Pivot Table'!$A$4,"DAY","Wed")</f>
        <v>169</v>
      </c>
      <c r="E13" s="15">
        <f>76+76+76+76</f>
        <v>304</v>
      </c>
      <c r="F13" s="16">
        <f>SUM(D13/E13)</f>
        <v>0.55592105263157898</v>
      </c>
      <c r="G13" s="17"/>
      <c r="I13" s="105"/>
      <c r="J13" s="14" t="s">
        <v>25</v>
      </c>
      <c r="K13" s="15">
        <f>GETPIVOTDATA("Sum of PM FIELD",'Pivot Table'!$A$16,"DAY","Wed")</f>
        <v>253</v>
      </c>
      <c r="L13" s="15">
        <f>88+84+72+84</f>
        <v>328</v>
      </c>
      <c r="M13" s="16">
        <f>SUM(K13/L13)</f>
        <v>0.77134146341463417</v>
      </c>
      <c r="N13" s="17"/>
      <c r="P13" s="105"/>
      <c r="Q13" s="14" t="s">
        <v>25</v>
      </c>
      <c r="R13" s="15">
        <f>GETPIVOTDATA("Sum of PM FIELD",'Pivot Table'!$A$28,"DAY","Wed")</f>
        <v>0</v>
      </c>
      <c r="S13" s="15"/>
      <c r="T13" s="16" t="e">
        <f>SUM(R13/S13)</f>
        <v>#DIV/0!</v>
      </c>
      <c r="U13" s="17"/>
    </row>
    <row r="14" spans="2:21" ht="20.25" thickTop="1" thickBot="1" x14ac:dyDescent="0.45">
      <c r="B14" s="70" t="s">
        <v>26</v>
      </c>
      <c r="C14" s="23"/>
      <c r="D14" s="24">
        <f>SUM(D11:D13)</f>
        <v>457</v>
      </c>
      <c r="E14" s="24">
        <f>SUM(E11:E13)</f>
        <v>736</v>
      </c>
      <c r="F14" s="25">
        <f>SUM(D14/E14)</f>
        <v>0.62092391304347827</v>
      </c>
      <c r="G14" s="26"/>
      <c r="I14" s="70" t="s">
        <v>26</v>
      </c>
      <c r="J14" s="23"/>
      <c r="K14" s="24">
        <f>SUM(K11:K13)</f>
        <v>651</v>
      </c>
      <c r="L14" s="24">
        <f>SUM(L11:L13)</f>
        <v>760</v>
      </c>
      <c r="M14" s="25">
        <f>SUM(K14/L14)</f>
        <v>0.85657894736842111</v>
      </c>
      <c r="N14" s="26"/>
      <c r="P14" s="70" t="s">
        <v>26</v>
      </c>
      <c r="Q14" s="23"/>
      <c r="R14" s="24">
        <f>SUM(R11:R13)</f>
        <v>0</v>
      </c>
      <c r="S14" s="24">
        <f>SUM(S11:S13)</f>
        <v>0</v>
      </c>
      <c r="T14" s="25" t="e">
        <f>SUM(R14/S14)</f>
        <v>#DIV/0!</v>
      </c>
      <c r="U14" s="26"/>
    </row>
    <row r="15" spans="2:21" ht="19.5" thickBot="1" x14ac:dyDescent="0.45">
      <c r="B15" s="5"/>
      <c r="C15" s="22"/>
      <c r="I15" s="5"/>
      <c r="J15" s="22"/>
      <c r="K15" s="4"/>
      <c r="L15" s="4"/>
      <c r="M15" s="4"/>
      <c r="P15" s="5"/>
      <c r="Q15" s="22"/>
      <c r="R15" s="4"/>
      <c r="S15" s="4"/>
      <c r="T15" s="4"/>
    </row>
    <row r="16" spans="2:21" x14ac:dyDescent="0.4">
      <c r="B16" s="104" t="s">
        <v>29</v>
      </c>
      <c r="C16" s="10" t="s">
        <v>24</v>
      </c>
      <c r="D16" s="11">
        <f>GETPIVOTDATA("Sum of AM FIELD",'Pivot Table'!$A$4,"DAY","Thu")</f>
        <v>404</v>
      </c>
      <c r="E16" s="11">
        <f>96+88+88+88+88</f>
        <v>448</v>
      </c>
      <c r="F16" s="12">
        <f>SUM(D16/E16)</f>
        <v>0.9017857142857143</v>
      </c>
      <c r="G16" s="13"/>
      <c r="I16" s="104" t="s">
        <v>29</v>
      </c>
      <c r="J16" s="10" t="s">
        <v>24</v>
      </c>
      <c r="K16" s="11">
        <f>GETPIVOTDATA("Sum of AM FIELD",'Pivot Table'!$A$16,"DAY","Thu")</f>
        <v>330</v>
      </c>
      <c r="L16" s="11">
        <f>88+88+88+88</f>
        <v>352</v>
      </c>
      <c r="M16" s="12">
        <f>SUM(K16/L16)</f>
        <v>0.9375</v>
      </c>
      <c r="N16" s="13"/>
      <c r="P16" s="104" t="s">
        <v>29</v>
      </c>
      <c r="Q16" s="10" t="s">
        <v>24</v>
      </c>
      <c r="R16" s="11">
        <f>GETPIVOTDATA("Sum of AM FIELD",'Pivot Table'!$A$28,"DAY","Thu")</f>
        <v>0</v>
      </c>
      <c r="S16" s="11"/>
      <c r="T16" s="12" t="e">
        <f>SUM(R16/S16)</f>
        <v>#DIV/0!</v>
      </c>
      <c r="U16" s="13"/>
    </row>
    <row r="17" spans="2:21" ht="19.5" thickBot="1" x14ac:dyDescent="0.45">
      <c r="B17" s="105"/>
      <c r="C17" s="14" t="s">
        <v>25</v>
      </c>
      <c r="D17" s="15">
        <f>GETPIVOTDATA("Sum of PM FIELD",'Pivot Table'!$A$4,"DAY","Thu")</f>
        <v>356</v>
      </c>
      <c r="E17" s="15">
        <f>88+88+88+88+88</f>
        <v>440</v>
      </c>
      <c r="F17" s="16">
        <f t="shared" ref="F17:F29" si="0">SUM(D17/E17)</f>
        <v>0.80909090909090908</v>
      </c>
      <c r="G17" s="17"/>
      <c r="I17" s="105"/>
      <c r="J17" s="14" t="s">
        <v>25</v>
      </c>
      <c r="K17" s="15">
        <f>GETPIVOTDATA("Sum of PM FIELD",'Pivot Table'!$A$16,"DAY","Thu")</f>
        <v>309</v>
      </c>
      <c r="L17" s="15">
        <f>88+88+88+88</f>
        <v>352</v>
      </c>
      <c r="M17" s="16">
        <f>SUM(K17/L17)</f>
        <v>0.87784090909090906</v>
      </c>
      <c r="N17" s="17"/>
      <c r="P17" s="105"/>
      <c r="Q17" s="14" t="s">
        <v>25</v>
      </c>
      <c r="R17" s="15">
        <f>GETPIVOTDATA("Sum of PM FIELD",'Pivot Table'!$A$28,"DAY","Thu")</f>
        <v>0</v>
      </c>
      <c r="S17" s="15"/>
      <c r="T17" s="16" t="e">
        <f>SUM(R17/S17)</f>
        <v>#DIV/0!</v>
      </c>
      <c r="U17" s="17"/>
    </row>
    <row r="18" spans="2:21" ht="20.25" thickTop="1" thickBot="1" x14ac:dyDescent="0.45">
      <c r="B18" s="70" t="s">
        <v>26</v>
      </c>
      <c r="C18" s="23"/>
      <c r="D18" s="24">
        <f>SUM(D15:D17)</f>
        <v>760</v>
      </c>
      <c r="E18" s="24">
        <f>SUM(E15:E17)</f>
        <v>888</v>
      </c>
      <c r="F18" s="25">
        <f>SUM(D18/E18)</f>
        <v>0.85585585585585588</v>
      </c>
      <c r="G18" s="26"/>
      <c r="I18" s="70" t="s">
        <v>26</v>
      </c>
      <c r="J18" s="23"/>
      <c r="K18" s="24">
        <f>SUM(K15:K17)</f>
        <v>639</v>
      </c>
      <c r="L18" s="24">
        <f>SUM(L15:L17)</f>
        <v>704</v>
      </c>
      <c r="M18" s="25">
        <f>SUM(K18/L18)</f>
        <v>0.90767045454545459</v>
      </c>
      <c r="N18" s="26"/>
      <c r="P18" s="70" t="s">
        <v>26</v>
      </c>
      <c r="Q18" s="23"/>
      <c r="R18" s="24">
        <f>SUM(R15:R17)</f>
        <v>0</v>
      </c>
      <c r="S18" s="24">
        <f>SUM(S15:S17)</f>
        <v>0</v>
      </c>
      <c r="T18" s="25" t="e">
        <f>SUM(R18/S18)</f>
        <v>#DIV/0!</v>
      </c>
      <c r="U18" s="26"/>
    </row>
    <row r="19" spans="2:21" ht="19.5" thickBot="1" x14ac:dyDescent="0.45">
      <c r="B19" s="5"/>
      <c r="C19" s="22"/>
      <c r="I19" s="5"/>
      <c r="J19" s="22"/>
      <c r="K19" s="4"/>
      <c r="L19" s="4"/>
      <c r="M19" s="4"/>
      <c r="P19" s="5"/>
      <c r="Q19" s="22"/>
      <c r="R19" s="4"/>
      <c r="S19" s="4"/>
      <c r="T19" s="4"/>
    </row>
    <row r="20" spans="2:21" x14ac:dyDescent="0.4">
      <c r="B20" s="104" t="s">
        <v>30</v>
      </c>
      <c r="C20" s="10" t="s">
        <v>24</v>
      </c>
      <c r="D20" s="11">
        <f>GETPIVOTDATA("Sum of AM FIELD",'Pivot Table'!$A$4,"DAY","Fri")</f>
        <v>446</v>
      </c>
      <c r="E20" s="11">
        <f>108+108+80+108+108</f>
        <v>512</v>
      </c>
      <c r="F20" s="12">
        <f t="shared" si="0"/>
        <v>0.87109375</v>
      </c>
      <c r="G20" s="13"/>
      <c r="I20" s="104" t="s">
        <v>30</v>
      </c>
      <c r="J20" s="10" t="s">
        <v>24</v>
      </c>
      <c r="K20" s="11">
        <f>GETPIVOTDATA("Sum of AM FIELD",'Pivot Table'!$A$16,"DAY","Fri")</f>
        <v>305</v>
      </c>
      <c r="L20" s="11">
        <f>80+80+108+80</f>
        <v>348</v>
      </c>
      <c r="M20" s="12">
        <f>SUM(K20/L20)</f>
        <v>0.87643678160919536</v>
      </c>
      <c r="N20" s="13"/>
      <c r="P20" s="104" t="s">
        <v>30</v>
      </c>
      <c r="Q20" s="10" t="s">
        <v>24</v>
      </c>
      <c r="R20" s="11">
        <f>GETPIVOTDATA("Sum of AM FIELD",'Pivot Table'!$A$28,"DAY","Fri")</f>
        <v>0</v>
      </c>
      <c r="S20" s="11"/>
      <c r="T20" s="12" t="e">
        <f>SUM(R20/S20)</f>
        <v>#DIV/0!</v>
      </c>
      <c r="U20" s="13"/>
    </row>
    <row r="21" spans="2:21" ht="19.5" thickBot="1" x14ac:dyDescent="0.45">
      <c r="B21" s="105"/>
      <c r="C21" s="14" t="s">
        <v>25</v>
      </c>
      <c r="D21" s="15">
        <f>GETPIVOTDATA("Sum of PM FIELD",'Pivot Table'!$A$4,"DAY","Fri")</f>
        <v>269</v>
      </c>
      <c r="E21" s="15">
        <f>76+76+80+76+76</f>
        <v>384</v>
      </c>
      <c r="F21" s="16">
        <f t="shared" si="0"/>
        <v>0.70052083333333337</v>
      </c>
      <c r="G21" s="17"/>
      <c r="I21" s="105"/>
      <c r="J21" s="14" t="s">
        <v>25</v>
      </c>
      <c r="K21" s="15">
        <f>GETPIVOTDATA("Sum of PM FIELD",'Pivot Table'!$A$16,"DAY","Fri")</f>
        <v>290</v>
      </c>
      <c r="L21" s="15">
        <f>80+84+72+88</f>
        <v>324</v>
      </c>
      <c r="M21" s="16">
        <f>SUM(K21/L21)</f>
        <v>0.89506172839506171</v>
      </c>
      <c r="N21" s="17"/>
      <c r="P21" s="105"/>
      <c r="Q21" s="14" t="s">
        <v>25</v>
      </c>
      <c r="R21" s="15">
        <f>GETPIVOTDATA("Sum of PM FIELD",'Pivot Table'!$A$28,"DAY","Fri")</f>
        <v>0</v>
      </c>
      <c r="S21" s="15"/>
      <c r="T21" s="16" t="e">
        <f>SUM(R21/S21)</f>
        <v>#DIV/0!</v>
      </c>
      <c r="U21" s="17"/>
    </row>
    <row r="22" spans="2:21" ht="20.25" thickTop="1" thickBot="1" x14ac:dyDescent="0.45">
      <c r="B22" s="70" t="s">
        <v>26</v>
      </c>
      <c r="C22" s="23"/>
      <c r="D22" s="24">
        <f>SUM(D19:D21)</f>
        <v>715</v>
      </c>
      <c r="E22" s="24">
        <f>SUM(E19:E21)</f>
        <v>896</v>
      </c>
      <c r="F22" s="25">
        <f>SUM(D22/E22)</f>
        <v>0.7979910714285714</v>
      </c>
      <c r="G22" s="26"/>
      <c r="I22" s="70" t="s">
        <v>26</v>
      </c>
      <c r="J22" s="23"/>
      <c r="K22" s="24">
        <f>SUM(K19:K21)</f>
        <v>595</v>
      </c>
      <c r="L22" s="24">
        <f>SUM(L19:L21)</f>
        <v>672</v>
      </c>
      <c r="M22" s="25">
        <f>SUM(K22/L22)</f>
        <v>0.88541666666666663</v>
      </c>
      <c r="N22" s="26"/>
      <c r="P22" s="70" t="s">
        <v>26</v>
      </c>
      <c r="Q22" s="23"/>
      <c r="R22" s="24">
        <f>SUM(R19:R21)</f>
        <v>0</v>
      </c>
      <c r="S22" s="24">
        <f>SUM(S19:S21)</f>
        <v>0</v>
      </c>
      <c r="T22" s="25" t="e">
        <f>SUM(R22/S22)</f>
        <v>#DIV/0!</v>
      </c>
      <c r="U22" s="26"/>
    </row>
    <row r="23" spans="2:21" ht="19.5" thickBot="1" x14ac:dyDescent="0.45">
      <c r="B23" s="5"/>
      <c r="C23" s="22"/>
      <c r="I23" s="5"/>
      <c r="J23" s="22"/>
      <c r="K23" s="4"/>
      <c r="L23" s="4"/>
      <c r="M23" s="4"/>
      <c r="P23" s="5"/>
      <c r="Q23" s="22"/>
      <c r="R23" s="4"/>
      <c r="S23" s="4"/>
      <c r="T23" s="4"/>
    </row>
    <row r="24" spans="2:21" x14ac:dyDescent="0.4">
      <c r="B24" s="104" t="s">
        <v>31</v>
      </c>
      <c r="C24" s="10" t="s">
        <v>24</v>
      </c>
      <c r="D24" s="11">
        <f>GETPIVOTDATA("Sum of AM FIELD",'Pivot Table'!$A$4,"DAY","Sat")</f>
        <v>439</v>
      </c>
      <c r="E24" s="11">
        <f>96+88+96+96+96</f>
        <v>472</v>
      </c>
      <c r="F24" s="12">
        <f t="shared" si="0"/>
        <v>0.93008474576271183</v>
      </c>
      <c r="G24" s="13"/>
      <c r="I24" s="104" t="s">
        <v>31</v>
      </c>
      <c r="J24" s="10" t="s">
        <v>24</v>
      </c>
      <c r="K24" s="11">
        <f>GETPIVOTDATA("Sum of AM FIELD",'Pivot Table'!$A$16,"DAY","Sat")</f>
        <v>348</v>
      </c>
      <c r="L24" s="11">
        <f>96+80+92+96</f>
        <v>364</v>
      </c>
      <c r="M24" s="12">
        <f>SUM(K24/L24)</f>
        <v>0.95604395604395609</v>
      </c>
      <c r="N24" s="13"/>
      <c r="P24" s="104" t="s">
        <v>31</v>
      </c>
      <c r="Q24" s="10" t="s">
        <v>24</v>
      </c>
      <c r="R24" s="11">
        <f>GETPIVOTDATA("Sum of AM FIELD",'Pivot Table'!$A$28,"DAY","Sat")</f>
        <v>0</v>
      </c>
      <c r="S24" s="11"/>
      <c r="T24" s="12" t="e">
        <f>SUM(R24/S24)</f>
        <v>#DIV/0!</v>
      </c>
      <c r="U24" s="13"/>
    </row>
    <row r="25" spans="2:21" ht="19.5" thickBot="1" x14ac:dyDescent="0.45">
      <c r="B25" s="105"/>
      <c r="C25" s="14" t="s">
        <v>25</v>
      </c>
      <c r="D25" s="15">
        <f>GETPIVOTDATA("Sum of PM FIELD",'Pivot Table'!$A$4,"DAY","Sat")</f>
        <v>265</v>
      </c>
      <c r="E25" s="15">
        <f>88+88+92+88+88</f>
        <v>444</v>
      </c>
      <c r="F25" s="16">
        <f t="shared" si="0"/>
        <v>0.59684684684684686</v>
      </c>
      <c r="G25" s="17"/>
      <c r="I25" s="105"/>
      <c r="J25" s="14" t="s">
        <v>25</v>
      </c>
      <c r="K25" s="15">
        <f>GETPIVOTDATA("Sum of PM FIELD",'Pivot Table'!$A$16,"DAY","Sat")</f>
        <v>319</v>
      </c>
      <c r="L25" s="15">
        <f>92+84+88+92</f>
        <v>356</v>
      </c>
      <c r="M25" s="16">
        <f>SUM(K25/L25)</f>
        <v>0.8960674157303371</v>
      </c>
      <c r="N25" s="17"/>
      <c r="P25" s="105"/>
      <c r="Q25" s="14" t="s">
        <v>25</v>
      </c>
      <c r="R25" s="15">
        <f>GETPIVOTDATA("Sum of PM FIELD",'Pivot Table'!$A$28,"DAY","Sat")</f>
        <v>0</v>
      </c>
      <c r="S25" s="15"/>
      <c r="T25" s="16" t="e">
        <f>SUM(R25/S25)</f>
        <v>#DIV/0!</v>
      </c>
      <c r="U25" s="17"/>
    </row>
    <row r="26" spans="2:21" ht="20.25" thickTop="1" thickBot="1" x14ac:dyDescent="0.45">
      <c r="B26" s="70" t="s">
        <v>26</v>
      </c>
      <c r="C26" s="23"/>
      <c r="D26" s="24">
        <f>SUM(D23:D25)</f>
        <v>704</v>
      </c>
      <c r="E26" s="24">
        <f>SUM(E23:E25)</f>
        <v>916</v>
      </c>
      <c r="F26" s="25">
        <f>SUM(D26/E26)</f>
        <v>0.76855895196506552</v>
      </c>
      <c r="G26" s="26"/>
      <c r="I26" s="70" t="s">
        <v>26</v>
      </c>
      <c r="J26" s="23"/>
      <c r="K26" s="24">
        <f>SUM(K23:K25)</f>
        <v>667</v>
      </c>
      <c r="L26" s="24">
        <f>SUM(L23:L25)</f>
        <v>720</v>
      </c>
      <c r="M26" s="25">
        <f>SUM(K26/L26)</f>
        <v>0.92638888888888893</v>
      </c>
      <c r="N26" s="26"/>
      <c r="P26" s="70" t="s">
        <v>26</v>
      </c>
      <c r="Q26" s="23"/>
      <c r="R26" s="24">
        <f>SUM(R23:R25)</f>
        <v>0</v>
      </c>
      <c r="S26" s="24">
        <f>SUM(S23:S25)</f>
        <v>0</v>
      </c>
      <c r="T26" s="25" t="e">
        <f>SUM(R26/S26)</f>
        <v>#DIV/0!</v>
      </c>
      <c r="U26" s="26"/>
    </row>
    <row r="27" spans="2:21" ht="19.5" thickBot="1" x14ac:dyDescent="0.45">
      <c r="B27" s="5"/>
      <c r="C27" s="22"/>
      <c r="F27" s="27"/>
      <c r="I27" s="5"/>
      <c r="J27" s="22"/>
      <c r="K27" s="4"/>
      <c r="L27" s="4"/>
      <c r="M27" s="27"/>
      <c r="P27" s="5"/>
      <c r="Q27" s="22"/>
      <c r="R27" s="4"/>
      <c r="S27" s="4"/>
      <c r="T27" s="27"/>
    </row>
    <row r="28" spans="2:21" x14ac:dyDescent="0.4">
      <c r="B28" s="104" t="s">
        <v>32</v>
      </c>
      <c r="C28" s="10" t="s">
        <v>24</v>
      </c>
      <c r="D28" s="11">
        <f>GETPIVOTDATA("Sum of AM FIELD",'Pivot Table'!$A$4,"DAY","Sun")</f>
        <v>362</v>
      </c>
      <c r="E28" s="11">
        <f>96+96+96+96</f>
        <v>384</v>
      </c>
      <c r="F28" s="12">
        <f t="shared" si="0"/>
        <v>0.94270833333333337</v>
      </c>
      <c r="G28" s="13"/>
      <c r="I28" s="104" t="s">
        <v>32</v>
      </c>
      <c r="J28" s="10" t="s">
        <v>24</v>
      </c>
      <c r="K28" s="11">
        <f>GETPIVOTDATA("Sum of AM FIELD",'Pivot Table'!$A$16,"DAY","Sun")</f>
        <v>362</v>
      </c>
      <c r="L28" s="11">
        <f>96+96+96+96</f>
        <v>384</v>
      </c>
      <c r="M28" s="12">
        <f>SUM(K28/L28)</f>
        <v>0.94270833333333337</v>
      </c>
      <c r="N28" s="13"/>
      <c r="P28" s="104" t="s">
        <v>32</v>
      </c>
      <c r="Q28" s="10" t="s">
        <v>24</v>
      </c>
      <c r="R28" s="11">
        <f>GETPIVOTDATA("Sum of AM FIELD",'Pivot Table'!$A$28,"DAY","Sun")</f>
        <v>0</v>
      </c>
      <c r="S28" s="43"/>
      <c r="T28" s="12" t="e">
        <f>SUM(R28/S28)</f>
        <v>#DIV/0!</v>
      </c>
      <c r="U28" s="13"/>
    </row>
    <row r="29" spans="2:21" ht="19.5" thickBot="1" x14ac:dyDescent="0.45">
      <c r="B29" s="105"/>
      <c r="C29" s="14" t="s">
        <v>25</v>
      </c>
      <c r="D29" s="15">
        <f>GETPIVOTDATA("Sum of PM FIELD",'Pivot Table'!$A$4,"DAY","Sun")</f>
        <v>346</v>
      </c>
      <c r="E29" s="15">
        <f>88+88+88+88</f>
        <v>352</v>
      </c>
      <c r="F29" s="16">
        <f t="shared" si="0"/>
        <v>0.98295454545454541</v>
      </c>
      <c r="G29" s="17"/>
      <c r="I29" s="105"/>
      <c r="J29" s="14" t="s">
        <v>25</v>
      </c>
      <c r="K29" s="15">
        <f>GETPIVOTDATA("Sum of PM FIELD",'Pivot Table'!$A$16,"DAY","Sun")</f>
        <v>289</v>
      </c>
      <c r="L29" s="15">
        <f>88+88+88+88</f>
        <v>352</v>
      </c>
      <c r="M29" s="16">
        <f>SUM(K29/L29)</f>
        <v>0.82102272727272729</v>
      </c>
      <c r="N29" s="17"/>
      <c r="P29" s="105"/>
      <c r="Q29" s="14" t="s">
        <v>25</v>
      </c>
      <c r="R29" s="15">
        <f>GETPIVOTDATA("Sum of PM FIELD",'Pivot Table'!$A$28,"DAY","Sun")</f>
        <v>0</v>
      </c>
      <c r="S29" s="15"/>
      <c r="T29" s="16" t="e">
        <f>SUM(R29/S29)</f>
        <v>#DIV/0!</v>
      </c>
      <c r="U29" s="17"/>
    </row>
    <row r="30" spans="2:21" ht="20.25" thickTop="1" thickBot="1" x14ac:dyDescent="0.45">
      <c r="B30" s="70" t="s">
        <v>26</v>
      </c>
      <c r="C30" s="23"/>
      <c r="D30" s="24">
        <f>SUM(D27:D29)</f>
        <v>708</v>
      </c>
      <c r="E30" s="24">
        <f>SUM(E27:E29)</f>
        <v>736</v>
      </c>
      <c r="F30" s="25">
        <f>SUM(D30/E30)</f>
        <v>0.96195652173913049</v>
      </c>
      <c r="G30" s="26"/>
      <c r="I30" s="70" t="s">
        <v>26</v>
      </c>
      <c r="J30" s="23"/>
      <c r="K30" s="24">
        <f>SUM(K27:K29)</f>
        <v>651</v>
      </c>
      <c r="L30" s="24">
        <f>SUM(L27:L29)</f>
        <v>736</v>
      </c>
      <c r="M30" s="25">
        <f>SUM(K30/L30)</f>
        <v>0.88451086956521741</v>
      </c>
      <c r="N30" s="26"/>
      <c r="P30" s="70" t="s">
        <v>26</v>
      </c>
      <c r="Q30" s="23"/>
      <c r="R30" s="24">
        <f>SUM(R27:R29)</f>
        <v>0</v>
      </c>
      <c r="S30" s="24">
        <f>SUM(S27:S29)</f>
        <v>0</v>
      </c>
      <c r="T30" s="25" t="e">
        <f>SUM(R30/S30)</f>
        <v>#DIV/0!</v>
      </c>
      <c r="U30" s="26"/>
    </row>
    <row r="33" spans="2:21" ht="52.5" x14ac:dyDescent="0.55000000000000004">
      <c r="B33" s="1" t="s">
        <v>10</v>
      </c>
      <c r="C33" s="6"/>
      <c r="D33" s="7" t="s">
        <v>18</v>
      </c>
      <c r="E33" s="7" t="s">
        <v>19</v>
      </c>
      <c r="F33" s="7" t="s">
        <v>20</v>
      </c>
      <c r="G33" s="6" t="s">
        <v>21</v>
      </c>
      <c r="I33" s="1" t="s">
        <v>11</v>
      </c>
      <c r="J33" s="6"/>
      <c r="K33" s="6" t="s">
        <v>18</v>
      </c>
      <c r="L33" s="6" t="s">
        <v>19</v>
      </c>
      <c r="M33" s="6" t="s">
        <v>20</v>
      </c>
      <c r="N33" s="6" t="s">
        <v>21</v>
      </c>
      <c r="P33" s="1" t="s">
        <v>12</v>
      </c>
      <c r="Q33" s="9"/>
      <c r="R33" s="6" t="s">
        <v>18</v>
      </c>
      <c r="S33" s="6" t="s">
        <v>19</v>
      </c>
      <c r="T33" s="6" t="s">
        <v>20</v>
      </c>
      <c r="U33" s="6" t="s">
        <v>21</v>
      </c>
    </row>
    <row r="34" spans="2:21" ht="19.5" thickBot="1" x14ac:dyDescent="0.45"/>
    <row r="35" spans="2:21" x14ac:dyDescent="0.4">
      <c r="B35" s="104" t="s">
        <v>23</v>
      </c>
      <c r="C35" s="10" t="s">
        <v>24</v>
      </c>
      <c r="D35" s="11">
        <f>GETPIVOTDATA("Sum of AM FIELD",'Pivot Table'!$A$40,"DAY","Mon")</f>
        <v>0</v>
      </c>
      <c r="E35" s="11"/>
      <c r="F35" s="12" t="e">
        <f>SUM(D35/E35)</f>
        <v>#DIV/0!</v>
      </c>
      <c r="G35" s="13"/>
      <c r="I35" s="104" t="s">
        <v>23</v>
      </c>
      <c r="J35" s="10" t="s">
        <v>24</v>
      </c>
      <c r="K35" s="11">
        <f>GETPIVOTDATA("Sum of AM FIELD",'Pivot Table'!$A$52,"DAY","Mon")</f>
        <v>0</v>
      </c>
      <c r="L35" s="11"/>
      <c r="M35" s="12" t="e">
        <f>SUM(K35/L35)</f>
        <v>#DIV/0!</v>
      </c>
      <c r="N35" s="13"/>
      <c r="P35" s="104" t="s">
        <v>23</v>
      </c>
      <c r="Q35" s="10" t="s">
        <v>24</v>
      </c>
      <c r="R35" s="11">
        <f>GETPIVOTDATA("Sum of AM FIELD",'Pivot Table'!$A$64,"DAY","Mon")</f>
        <v>0</v>
      </c>
      <c r="S35" s="11"/>
      <c r="T35" s="12" t="e">
        <f>SUM(R35/S35)</f>
        <v>#DIV/0!</v>
      </c>
      <c r="U35" s="13"/>
    </row>
    <row r="36" spans="2:21" ht="19.5" thickBot="1" x14ac:dyDescent="0.45">
      <c r="B36" s="105"/>
      <c r="C36" s="14" t="s">
        <v>25</v>
      </c>
      <c r="D36" s="15">
        <f>GETPIVOTDATA("Sum of PM FIELD",'Pivot Table'!$A$40,"DAY","Mon")</f>
        <v>0</v>
      </c>
      <c r="E36" s="15"/>
      <c r="F36" s="16" t="e">
        <f>SUM(D36/E36)</f>
        <v>#DIV/0!</v>
      </c>
      <c r="G36" s="17"/>
      <c r="I36" s="105"/>
      <c r="J36" s="14" t="s">
        <v>25</v>
      </c>
      <c r="K36" s="15">
        <f>GETPIVOTDATA("Sum of PM FIELD",'Pivot Table'!$A$52,"DAY","Mon")</f>
        <v>0</v>
      </c>
      <c r="L36" s="15"/>
      <c r="M36" s="16" t="e">
        <f>SUM(K36/L36)</f>
        <v>#DIV/0!</v>
      </c>
      <c r="N36" s="17"/>
      <c r="P36" s="105"/>
      <c r="Q36" s="14" t="s">
        <v>25</v>
      </c>
      <c r="R36" s="15">
        <f>GETPIVOTDATA("Sum of PM FIELD",'Pivot Table'!$A$64,"DAY","Mon")</f>
        <v>0</v>
      </c>
      <c r="S36" s="15"/>
      <c r="T36" s="16" t="e">
        <f>SUM(R36/S36)</f>
        <v>#DIV/0!</v>
      </c>
      <c r="U36" s="17"/>
    </row>
    <row r="37" spans="2:21" ht="20.25" thickTop="1" thickBot="1" x14ac:dyDescent="0.45">
      <c r="B37" s="70" t="s">
        <v>26</v>
      </c>
      <c r="C37" s="18"/>
      <c r="D37" s="19">
        <f>SUM(D34:D36)</f>
        <v>0</v>
      </c>
      <c r="E37" s="19">
        <f>SUM(E34:E36)</f>
        <v>0</v>
      </c>
      <c r="F37" s="20" t="e">
        <f>SUM(D37/E37)</f>
        <v>#DIV/0!</v>
      </c>
      <c r="G37" s="21"/>
      <c r="I37" s="70" t="s">
        <v>26</v>
      </c>
      <c r="J37" s="18"/>
      <c r="K37" s="19">
        <f>SUM(K34:K36)</f>
        <v>0</v>
      </c>
      <c r="L37" s="19">
        <f>SUM(L34:L36)</f>
        <v>0</v>
      </c>
      <c r="M37" s="20" t="e">
        <f>SUM(K37/L37)</f>
        <v>#DIV/0!</v>
      </c>
      <c r="N37" s="21"/>
      <c r="P37" s="70" t="s">
        <v>26</v>
      </c>
      <c r="Q37" s="18"/>
      <c r="R37" s="19">
        <f>SUM(R34:R36)</f>
        <v>0</v>
      </c>
      <c r="S37" s="19">
        <f>SUM(S34:S36)</f>
        <v>0</v>
      </c>
      <c r="T37" s="20" t="e">
        <f>SUM(R37/S37)</f>
        <v>#DIV/0!</v>
      </c>
      <c r="U37" s="21"/>
    </row>
    <row r="38" spans="2:21" ht="19.5" thickBot="1" x14ac:dyDescent="0.45">
      <c r="B38" s="5"/>
      <c r="C38" s="22"/>
      <c r="I38" s="5"/>
      <c r="J38" s="22"/>
      <c r="K38" s="4"/>
      <c r="L38" s="4"/>
      <c r="M38" s="4"/>
      <c r="P38" s="5"/>
      <c r="Q38" s="22"/>
      <c r="R38" s="4"/>
      <c r="S38" s="4"/>
      <c r="T38" s="4"/>
    </row>
    <row r="39" spans="2:21" x14ac:dyDescent="0.4">
      <c r="B39" s="104" t="s">
        <v>27</v>
      </c>
      <c r="C39" s="10" t="s">
        <v>24</v>
      </c>
      <c r="D39" s="11">
        <f>GETPIVOTDATA("Sum of AM FIELD",'Pivot Table'!$A$40,"DAY","Tue")</f>
        <v>0</v>
      </c>
      <c r="E39" s="11"/>
      <c r="F39" s="12" t="e">
        <f>SUM(D39/E39)</f>
        <v>#DIV/0!</v>
      </c>
      <c r="G39" s="13"/>
      <c r="I39" s="104" t="s">
        <v>27</v>
      </c>
      <c r="J39" s="10" t="s">
        <v>24</v>
      </c>
      <c r="K39" s="11">
        <f>GETPIVOTDATA("Sum of AM FIELD",'Pivot Table'!$A$52,"DAY","Tue")</f>
        <v>0</v>
      </c>
      <c r="L39" s="11"/>
      <c r="M39" s="12" t="e">
        <f>SUM(K39/L39)</f>
        <v>#DIV/0!</v>
      </c>
      <c r="N39" s="13"/>
      <c r="P39" s="104" t="s">
        <v>27</v>
      </c>
      <c r="Q39" s="10" t="s">
        <v>24</v>
      </c>
      <c r="R39" s="11">
        <f>GETPIVOTDATA("Sum of AM FIELD",'Pivot Table'!$A$64,"DAY","Tue")</f>
        <v>0</v>
      </c>
      <c r="S39" s="11"/>
      <c r="T39" s="12" t="e">
        <f>SUM(R39/S39)</f>
        <v>#DIV/0!</v>
      </c>
      <c r="U39" s="13"/>
    </row>
    <row r="40" spans="2:21" ht="19.5" thickBot="1" x14ac:dyDescent="0.45">
      <c r="B40" s="105"/>
      <c r="C40" s="14" t="s">
        <v>25</v>
      </c>
      <c r="D40" s="15">
        <f>GETPIVOTDATA("Sum of PM FIELD",'Pivot Table'!$A$40,"DAY","Tue")</f>
        <v>0</v>
      </c>
      <c r="E40" s="15"/>
      <c r="F40" s="16" t="e">
        <f>SUM(D40/E40)</f>
        <v>#DIV/0!</v>
      </c>
      <c r="G40" s="17"/>
      <c r="I40" s="105"/>
      <c r="J40" s="14" t="s">
        <v>25</v>
      </c>
      <c r="K40" s="15">
        <f>GETPIVOTDATA("Sum of PM FIELD",'Pivot Table'!$A$52,"DAY","Tue")</f>
        <v>0</v>
      </c>
      <c r="L40" s="15"/>
      <c r="M40" s="16" t="e">
        <f>SUM(K40/L40)</f>
        <v>#DIV/0!</v>
      </c>
      <c r="N40" s="17"/>
      <c r="P40" s="105"/>
      <c r="Q40" s="14" t="s">
        <v>25</v>
      </c>
      <c r="R40" s="15">
        <f>GETPIVOTDATA("Sum of PM FIELD",'Pivot Table'!$A$64,"DAY","Tue")</f>
        <v>0</v>
      </c>
      <c r="S40" s="15"/>
      <c r="T40" s="16" t="e">
        <f>SUM(R40/S40)</f>
        <v>#DIV/0!</v>
      </c>
      <c r="U40" s="17"/>
    </row>
    <row r="41" spans="2:21" ht="20.25" thickTop="1" thickBot="1" x14ac:dyDescent="0.45">
      <c r="B41" s="70" t="s">
        <v>26</v>
      </c>
      <c r="C41" s="23"/>
      <c r="D41" s="24">
        <f>SUM(D38:D40)</f>
        <v>0</v>
      </c>
      <c r="E41" s="24">
        <f>SUM(E38:E40)</f>
        <v>0</v>
      </c>
      <c r="F41" s="25" t="e">
        <f>SUM(D41/E41)</f>
        <v>#DIV/0!</v>
      </c>
      <c r="G41" s="26"/>
      <c r="I41" s="70" t="s">
        <v>26</v>
      </c>
      <c r="J41" s="23"/>
      <c r="K41" s="24">
        <f>SUM(K38:K40)</f>
        <v>0</v>
      </c>
      <c r="L41" s="24">
        <f>SUM(L38:L40)</f>
        <v>0</v>
      </c>
      <c r="M41" s="25" t="e">
        <f>SUM(K41/L41)</f>
        <v>#DIV/0!</v>
      </c>
      <c r="N41" s="26"/>
      <c r="P41" s="70" t="s">
        <v>26</v>
      </c>
      <c r="Q41" s="23"/>
      <c r="R41" s="24">
        <f>SUM(R38:R40)</f>
        <v>0</v>
      </c>
      <c r="S41" s="24">
        <f>SUM(S38:S40)</f>
        <v>0</v>
      </c>
      <c r="T41" s="25" t="e">
        <f>SUM(R41/S41)</f>
        <v>#DIV/0!</v>
      </c>
      <c r="U41" s="26"/>
    </row>
    <row r="42" spans="2:21" ht="19.5" thickBot="1" x14ac:dyDescent="0.45">
      <c r="B42" s="5"/>
      <c r="C42" s="22"/>
      <c r="I42" s="5"/>
      <c r="J42" s="22"/>
      <c r="K42" s="4"/>
      <c r="L42" s="4"/>
      <c r="M42" s="4"/>
      <c r="P42" s="5"/>
      <c r="Q42" s="22"/>
      <c r="R42" s="4"/>
      <c r="S42" s="4"/>
      <c r="T42" s="4"/>
    </row>
    <row r="43" spans="2:21" x14ac:dyDescent="0.4">
      <c r="B43" s="104" t="s">
        <v>28</v>
      </c>
      <c r="C43" s="10" t="s">
        <v>24</v>
      </c>
      <c r="D43" s="11">
        <f>GETPIVOTDATA("Sum of AM FIELD",'Pivot Table'!$A$40,"DAY","Wed")</f>
        <v>0</v>
      </c>
      <c r="E43" s="11"/>
      <c r="F43" s="12" t="e">
        <f>SUM(D43/E43)</f>
        <v>#DIV/0!</v>
      </c>
      <c r="G43" s="13"/>
      <c r="I43" s="104" t="s">
        <v>28</v>
      </c>
      <c r="J43" s="10" t="s">
        <v>24</v>
      </c>
      <c r="K43" s="11">
        <f>GETPIVOTDATA("Sum of AM FIELD",'Pivot Table'!$A$52,"DAY","Wed")</f>
        <v>0</v>
      </c>
      <c r="L43" s="11"/>
      <c r="M43" s="12" t="e">
        <f>SUM(K43/L43)</f>
        <v>#DIV/0!</v>
      </c>
      <c r="N43" s="13"/>
      <c r="P43" s="104" t="s">
        <v>28</v>
      </c>
      <c r="Q43" s="10" t="s">
        <v>24</v>
      </c>
      <c r="R43" s="11">
        <f>GETPIVOTDATA("Sum of AM FIELD",'Pivot Table'!$A$64,"DAY","Wed")</f>
        <v>0</v>
      </c>
      <c r="S43" s="11"/>
      <c r="T43" s="12" t="e">
        <f>SUM(R43/S43)</f>
        <v>#DIV/0!</v>
      </c>
      <c r="U43" s="13"/>
    </row>
    <row r="44" spans="2:21" ht="19.5" thickBot="1" x14ac:dyDescent="0.45">
      <c r="B44" s="105"/>
      <c r="C44" s="14" t="s">
        <v>25</v>
      </c>
      <c r="D44" s="15">
        <f>GETPIVOTDATA("Sum of PM FIELD",'Pivot Table'!$A$40,"DAY","Wed")</f>
        <v>0</v>
      </c>
      <c r="E44" s="15"/>
      <c r="F44" s="16" t="e">
        <f>SUM(D44/E44)</f>
        <v>#DIV/0!</v>
      </c>
      <c r="G44" s="17"/>
      <c r="I44" s="105"/>
      <c r="J44" s="14" t="s">
        <v>25</v>
      </c>
      <c r="K44" s="15">
        <f>GETPIVOTDATA("Sum of PM FIELD",'Pivot Table'!$A$52,"DAY","Wed")</f>
        <v>0</v>
      </c>
      <c r="L44" s="15"/>
      <c r="M44" s="16" t="e">
        <f>SUM(K44/L44)</f>
        <v>#DIV/0!</v>
      </c>
      <c r="N44" s="17"/>
      <c r="P44" s="105"/>
      <c r="Q44" s="14" t="s">
        <v>25</v>
      </c>
      <c r="R44" s="15">
        <f>GETPIVOTDATA("Sum of PM FIELD",'Pivot Table'!$A$64,"DAY","Wed")</f>
        <v>0</v>
      </c>
      <c r="S44" s="15"/>
      <c r="T44" s="16" t="e">
        <f>SUM(R44/S44)</f>
        <v>#DIV/0!</v>
      </c>
      <c r="U44" s="17"/>
    </row>
    <row r="45" spans="2:21" ht="20.25" thickTop="1" thickBot="1" x14ac:dyDescent="0.45">
      <c r="B45" s="70" t="s">
        <v>26</v>
      </c>
      <c r="C45" s="23"/>
      <c r="D45" s="24">
        <f>SUM(D42:D44)</f>
        <v>0</v>
      </c>
      <c r="E45" s="24">
        <f>SUM(E42:E44)</f>
        <v>0</v>
      </c>
      <c r="F45" s="25" t="e">
        <f>SUM(D45/E45)</f>
        <v>#DIV/0!</v>
      </c>
      <c r="G45" s="26"/>
      <c r="I45" s="70" t="s">
        <v>26</v>
      </c>
      <c r="J45" s="23"/>
      <c r="K45" s="24">
        <f>SUM(K42:K44)</f>
        <v>0</v>
      </c>
      <c r="L45" s="24">
        <f>SUM(L42:L44)</f>
        <v>0</v>
      </c>
      <c r="M45" s="25" t="e">
        <f>SUM(K45/L45)</f>
        <v>#DIV/0!</v>
      </c>
      <c r="N45" s="26"/>
      <c r="P45" s="70" t="s">
        <v>26</v>
      </c>
      <c r="Q45" s="23"/>
      <c r="R45" s="24">
        <f>SUM(R42:R44)</f>
        <v>0</v>
      </c>
      <c r="S45" s="24">
        <f>SUM(S42:S44)</f>
        <v>0</v>
      </c>
      <c r="T45" s="25" t="e">
        <f>SUM(R45/S45)</f>
        <v>#DIV/0!</v>
      </c>
      <c r="U45" s="26"/>
    </row>
    <row r="46" spans="2:21" ht="19.5" thickBot="1" x14ac:dyDescent="0.45">
      <c r="B46" s="5"/>
      <c r="C46" s="22"/>
      <c r="I46" s="5"/>
      <c r="J46" s="22"/>
      <c r="K46" s="4"/>
      <c r="L46" s="4"/>
      <c r="M46" s="4"/>
      <c r="P46" s="5"/>
      <c r="Q46" s="22"/>
      <c r="R46" s="4"/>
      <c r="S46" s="4"/>
      <c r="T46" s="4"/>
    </row>
    <row r="47" spans="2:21" x14ac:dyDescent="0.4">
      <c r="B47" s="104" t="s">
        <v>29</v>
      </c>
      <c r="C47" s="10" t="s">
        <v>24</v>
      </c>
      <c r="D47" s="11">
        <f>GETPIVOTDATA("Sum of AM FIELD",'Pivot Table'!$A$40,"DAY","Thu")</f>
        <v>0</v>
      </c>
      <c r="E47" s="11"/>
      <c r="F47" s="12" t="e">
        <f>SUM(D47/E47)</f>
        <v>#DIV/0!</v>
      </c>
      <c r="G47" s="13"/>
      <c r="I47" s="104" t="s">
        <v>29</v>
      </c>
      <c r="J47" s="10" t="s">
        <v>24</v>
      </c>
      <c r="K47" s="11">
        <f>GETPIVOTDATA("Sum of AM FIELD",'Pivot Table'!$A$52,"DAY","Thu")</f>
        <v>0</v>
      </c>
      <c r="L47" s="11"/>
      <c r="M47" s="12" t="e">
        <f>SUM(K47/L47)</f>
        <v>#DIV/0!</v>
      </c>
      <c r="N47" s="13"/>
      <c r="P47" s="104" t="s">
        <v>29</v>
      </c>
      <c r="Q47" s="10" t="s">
        <v>24</v>
      </c>
      <c r="R47" s="11">
        <f>GETPIVOTDATA("Sum of AM FIELD",'Pivot Table'!$A$64,"DAY","Thu")</f>
        <v>0</v>
      </c>
      <c r="S47" s="11"/>
      <c r="T47" s="12" t="e">
        <f>SUM(R47/S47)</f>
        <v>#DIV/0!</v>
      </c>
      <c r="U47" s="13"/>
    </row>
    <row r="48" spans="2:21" ht="19.5" thickBot="1" x14ac:dyDescent="0.45">
      <c r="B48" s="105"/>
      <c r="C48" s="14" t="s">
        <v>25</v>
      </c>
      <c r="D48" s="15">
        <f>GETPIVOTDATA("Sum of PM FIELD",'Pivot Table'!$A$40,"DAY","Thu")</f>
        <v>0</v>
      </c>
      <c r="E48" s="15"/>
      <c r="F48" s="16" t="e">
        <f>SUM(D48/E48)</f>
        <v>#DIV/0!</v>
      </c>
      <c r="G48" s="17"/>
      <c r="I48" s="105"/>
      <c r="J48" s="14" t="s">
        <v>25</v>
      </c>
      <c r="K48" s="15">
        <f>GETPIVOTDATA("Sum of PM FIELD",'Pivot Table'!$A$52,"DAY","Thu")</f>
        <v>0</v>
      </c>
      <c r="L48" s="15"/>
      <c r="M48" s="16" t="e">
        <f>SUM(K48/L48)</f>
        <v>#DIV/0!</v>
      </c>
      <c r="N48" s="17"/>
      <c r="P48" s="105"/>
      <c r="Q48" s="14" t="s">
        <v>25</v>
      </c>
      <c r="R48" s="15">
        <f>GETPIVOTDATA("Sum of PM FIELD",'Pivot Table'!$A$64,"DAY","Thu")</f>
        <v>0</v>
      </c>
      <c r="S48" s="15"/>
      <c r="T48" s="16" t="e">
        <f>SUM(R48/S48)</f>
        <v>#DIV/0!</v>
      </c>
      <c r="U48" s="17"/>
    </row>
    <row r="49" spans="2:21" ht="20.25" thickTop="1" thickBot="1" x14ac:dyDescent="0.45">
      <c r="B49" s="70" t="s">
        <v>26</v>
      </c>
      <c r="C49" s="23"/>
      <c r="D49" s="24">
        <f>SUM(D46:D48)</f>
        <v>0</v>
      </c>
      <c r="E49" s="24">
        <f>SUM(E46:E48)</f>
        <v>0</v>
      </c>
      <c r="F49" s="25" t="e">
        <f>SUM(D49/E49)</f>
        <v>#DIV/0!</v>
      </c>
      <c r="G49" s="26"/>
      <c r="I49" s="70" t="s">
        <v>26</v>
      </c>
      <c r="J49" s="23"/>
      <c r="K49" s="24">
        <f>SUM(K46:K48)</f>
        <v>0</v>
      </c>
      <c r="L49" s="24">
        <f>SUM(L46:L48)</f>
        <v>0</v>
      </c>
      <c r="M49" s="25" t="e">
        <f>SUM(K49/L49)</f>
        <v>#DIV/0!</v>
      </c>
      <c r="N49" s="26"/>
      <c r="P49" s="70" t="s">
        <v>26</v>
      </c>
      <c r="Q49" s="23"/>
      <c r="R49" s="24">
        <f>SUM(R46:R48)</f>
        <v>0</v>
      </c>
      <c r="S49" s="24">
        <f>SUM(S46:S48)</f>
        <v>0</v>
      </c>
      <c r="T49" s="25" t="e">
        <f>SUM(R49/S49)</f>
        <v>#DIV/0!</v>
      </c>
      <c r="U49" s="26"/>
    </row>
    <row r="50" spans="2:21" ht="19.5" thickBot="1" x14ac:dyDescent="0.45">
      <c r="B50" s="5"/>
      <c r="C50" s="22"/>
      <c r="I50" s="5"/>
      <c r="J50" s="22"/>
      <c r="K50" s="4"/>
      <c r="L50" s="4"/>
      <c r="M50" s="4"/>
      <c r="P50" s="5"/>
      <c r="Q50" s="22"/>
      <c r="R50" s="4"/>
      <c r="S50" s="4"/>
      <c r="T50" s="4"/>
    </row>
    <row r="51" spans="2:21" x14ac:dyDescent="0.4">
      <c r="B51" s="104" t="s">
        <v>30</v>
      </c>
      <c r="C51" s="10" t="s">
        <v>24</v>
      </c>
      <c r="D51" s="11">
        <f>GETPIVOTDATA("Sum of AM FIELD",'Pivot Table'!$A$40,"DAY","Fri")</f>
        <v>0</v>
      </c>
      <c r="E51" s="11"/>
      <c r="F51" s="12" t="e">
        <f>SUM(D51/E51)</f>
        <v>#DIV/0!</v>
      </c>
      <c r="G51" s="13"/>
      <c r="I51" s="104" t="s">
        <v>30</v>
      </c>
      <c r="J51" s="10" t="s">
        <v>24</v>
      </c>
      <c r="K51" s="11">
        <f>GETPIVOTDATA("Sum of AM FIELD",'Pivot Table'!$A$52,"DAY","Fri")</f>
        <v>0</v>
      </c>
      <c r="L51" s="11"/>
      <c r="M51" s="12" t="e">
        <f>SUM(K51/L51)</f>
        <v>#DIV/0!</v>
      </c>
      <c r="N51" s="13"/>
      <c r="P51" s="104" t="s">
        <v>30</v>
      </c>
      <c r="Q51" s="10" t="s">
        <v>24</v>
      </c>
      <c r="R51" s="11">
        <f>GETPIVOTDATA("Sum of AM FIELD",'Pivot Table'!$A$64,"DAY","Fri")</f>
        <v>0</v>
      </c>
      <c r="S51" s="11"/>
      <c r="T51" s="12" t="e">
        <f>SUM(R51/S51)</f>
        <v>#DIV/0!</v>
      </c>
      <c r="U51" s="13"/>
    </row>
    <row r="52" spans="2:21" ht="19.5" thickBot="1" x14ac:dyDescent="0.45">
      <c r="B52" s="105"/>
      <c r="C52" s="14" t="s">
        <v>25</v>
      </c>
      <c r="D52" s="15">
        <f>GETPIVOTDATA("Sum of PM FIELD",'Pivot Table'!$A$40,"DAY","Fri")</f>
        <v>0</v>
      </c>
      <c r="E52" s="15"/>
      <c r="F52" s="16" t="e">
        <f>SUM(D52/E52)</f>
        <v>#DIV/0!</v>
      </c>
      <c r="G52" s="17"/>
      <c r="I52" s="105"/>
      <c r="J52" s="14" t="s">
        <v>25</v>
      </c>
      <c r="K52" s="15">
        <f>GETPIVOTDATA("Sum of PM FIELD",'Pivot Table'!$A$52,"DAY","Fri")</f>
        <v>0</v>
      </c>
      <c r="L52" s="15"/>
      <c r="M52" s="16" t="e">
        <f>SUM(K52/L52)</f>
        <v>#DIV/0!</v>
      </c>
      <c r="N52" s="17"/>
      <c r="P52" s="105"/>
      <c r="Q52" s="14" t="s">
        <v>25</v>
      </c>
      <c r="R52" s="15">
        <f>GETPIVOTDATA("Sum of PM FIELD",'Pivot Table'!$A$64,"DAY","Fri")</f>
        <v>0</v>
      </c>
      <c r="S52" s="15"/>
      <c r="T52" s="16" t="e">
        <f>SUM(R52/S52)</f>
        <v>#DIV/0!</v>
      </c>
      <c r="U52" s="17"/>
    </row>
    <row r="53" spans="2:21" ht="20.25" thickTop="1" thickBot="1" x14ac:dyDescent="0.45">
      <c r="B53" s="70" t="s">
        <v>26</v>
      </c>
      <c r="C53" s="23"/>
      <c r="D53" s="24">
        <f>SUM(D50:D52)</f>
        <v>0</v>
      </c>
      <c r="E53" s="24">
        <f>SUM(E50:E52)</f>
        <v>0</v>
      </c>
      <c r="F53" s="25" t="e">
        <f>SUM(D53/E53)</f>
        <v>#DIV/0!</v>
      </c>
      <c r="G53" s="26"/>
      <c r="I53" s="70" t="s">
        <v>26</v>
      </c>
      <c r="J53" s="23"/>
      <c r="K53" s="24">
        <f>SUM(K50:K52)</f>
        <v>0</v>
      </c>
      <c r="L53" s="24">
        <f>SUM(L50:L52)</f>
        <v>0</v>
      </c>
      <c r="M53" s="25" t="e">
        <f>SUM(K53/L53)</f>
        <v>#DIV/0!</v>
      </c>
      <c r="N53" s="26"/>
      <c r="P53" s="70" t="s">
        <v>26</v>
      </c>
      <c r="Q53" s="23"/>
      <c r="R53" s="24">
        <f>SUM(R50:R52)</f>
        <v>0</v>
      </c>
      <c r="S53" s="24">
        <f>SUM(S50:S52)</f>
        <v>0</v>
      </c>
      <c r="T53" s="25" t="e">
        <f>SUM(R53/S53)</f>
        <v>#DIV/0!</v>
      </c>
      <c r="U53" s="26"/>
    </row>
    <row r="54" spans="2:21" ht="19.5" thickBot="1" x14ac:dyDescent="0.45">
      <c r="B54" s="5"/>
      <c r="C54" s="22"/>
      <c r="I54" s="5"/>
      <c r="J54" s="22"/>
      <c r="K54" s="4"/>
      <c r="L54" s="4"/>
      <c r="M54" s="4"/>
      <c r="P54" s="5"/>
      <c r="Q54" s="22"/>
      <c r="R54" s="4"/>
      <c r="S54" s="4"/>
      <c r="T54" s="4"/>
    </row>
    <row r="55" spans="2:21" x14ac:dyDescent="0.4">
      <c r="B55" s="104" t="s">
        <v>31</v>
      </c>
      <c r="C55" s="10" t="s">
        <v>24</v>
      </c>
      <c r="D55" s="11">
        <f>GETPIVOTDATA("Sum of AM FIELD",'Pivot Table'!$A$40,"DAY","Sat")</f>
        <v>0</v>
      </c>
      <c r="E55" s="11"/>
      <c r="F55" s="12" t="e">
        <f>SUM(D55/E55)</f>
        <v>#DIV/0!</v>
      </c>
      <c r="G55" s="13"/>
      <c r="I55" s="104" t="s">
        <v>31</v>
      </c>
      <c r="J55" s="10" t="s">
        <v>24</v>
      </c>
      <c r="K55" s="11">
        <f>GETPIVOTDATA("Sum of AM FIELD",'Pivot Table'!$A$52,"DAY","Sat")</f>
        <v>0</v>
      </c>
      <c r="L55" s="11"/>
      <c r="M55" s="12" t="e">
        <f>SUM(K55/L55)</f>
        <v>#DIV/0!</v>
      </c>
      <c r="N55" s="13"/>
      <c r="P55" s="104" t="s">
        <v>31</v>
      </c>
      <c r="Q55" s="10" t="s">
        <v>24</v>
      </c>
      <c r="R55" s="11">
        <f>GETPIVOTDATA("Sum of AM FIELD",'Pivot Table'!$A$64,"DAY","Sat")</f>
        <v>0</v>
      </c>
      <c r="S55" s="11"/>
      <c r="T55" s="12" t="e">
        <f>SUM(R55/S55)</f>
        <v>#DIV/0!</v>
      </c>
      <c r="U55" s="13"/>
    </row>
    <row r="56" spans="2:21" ht="19.5" thickBot="1" x14ac:dyDescent="0.45">
      <c r="B56" s="105"/>
      <c r="C56" s="14" t="s">
        <v>25</v>
      </c>
      <c r="D56" s="15">
        <f>GETPIVOTDATA("Sum of PM FIELD",'Pivot Table'!$A$40,"DAY","Sat")</f>
        <v>0</v>
      </c>
      <c r="E56" s="15"/>
      <c r="F56" s="16" t="e">
        <f>SUM(D56/E56)</f>
        <v>#DIV/0!</v>
      </c>
      <c r="G56" s="17"/>
      <c r="I56" s="105"/>
      <c r="J56" s="14" t="s">
        <v>25</v>
      </c>
      <c r="K56" s="15">
        <f>GETPIVOTDATA("Sum of PM FIELD",'Pivot Table'!$A$52,"DAY","Sat")</f>
        <v>0</v>
      </c>
      <c r="L56" s="15"/>
      <c r="M56" s="16" t="e">
        <f>SUM(K56/L56)</f>
        <v>#DIV/0!</v>
      </c>
      <c r="N56" s="17"/>
      <c r="P56" s="105"/>
      <c r="Q56" s="14" t="s">
        <v>25</v>
      </c>
      <c r="R56" s="15">
        <f>GETPIVOTDATA("Sum of PM FIELD",'Pivot Table'!$A$64,"DAY","Sat")</f>
        <v>0</v>
      </c>
      <c r="S56" s="15"/>
      <c r="T56" s="16" t="e">
        <f>SUM(R56/S56)</f>
        <v>#DIV/0!</v>
      </c>
      <c r="U56" s="17"/>
    </row>
    <row r="57" spans="2:21" ht="20.25" thickTop="1" thickBot="1" x14ac:dyDescent="0.45">
      <c r="B57" s="70" t="s">
        <v>26</v>
      </c>
      <c r="C57" s="23"/>
      <c r="D57" s="24">
        <f>SUM(D54:D56)</f>
        <v>0</v>
      </c>
      <c r="E57" s="24">
        <f>SUM(E55:E56)</f>
        <v>0</v>
      </c>
      <c r="F57" s="25" t="e">
        <f>SUM(D57/E57)</f>
        <v>#DIV/0!</v>
      </c>
      <c r="G57" s="26"/>
      <c r="I57" s="70" t="s">
        <v>26</v>
      </c>
      <c r="J57" s="23"/>
      <c r="K57" s="24">
        <f>SUM(K54:K56)</f>
        <v>0</v>
      </c>
      <c r="L57" s="24">
        <f>SUM(L54:L56)</f>
        <v>0</v>
      </c>
      <c r="M57" s="25" t="e">
        <f>SUM(K57/L57)</f>
        <v>#DIV/0!</v>
      </c>
      <c r="N57" s="26"/>
      <c r="P57" s="70" t="s">
        <v>26</v>
      </c>
      <c r="Q57" s="23"/>
      <c r="R57" s="24">
        <f>SUM(R54:R56)</f>
        <v>0</v>
      </c>
      <c r="S57" s="24">
        <f>SUM(S54:S56)</f>
        <v>0</v>
      </c>
      <c r="T57" s="25" t="e">
        <f>SUM(R57/S57)</f>
        <v>#DIV/0!</v>
      </c>
      <c r="U57" s="26"/>
    </row>
    <row r="58" spans="2:21" ht="19.5" thickBot="1" x14ac:dyDescent="0.45">
      <c r="B58" s="5"/>
      <c r="C58" s="22"/>
      <c r="F58" s="27"/>
      <c r="I58" s="5"/>
      <c r="J58" s="22"/>
      <c r="K58" s="4"/>
      <c r="L58" s="4"/>
      <c r="M58" s="27"/>
      <c r="P58" s="5"/>
      <c r="Q58" s="22"/>
      <c r="R58" s="4"/>
      <c r="S58" s="4"/>
      <c r="T58" s="27"/>
    </row>
    <row r="59" spans="2:21" x14ac:dyDescent="0.4">
      <c r="B59" s="104" t="s">
        <v>32</v>
      </c>
      <c r="C59" s="10" t="s">
        <v>24</v>
      </c>
      <c r="D59" s="11">
        <f>GETPIVOTDATA("Sum of AM FIELD",'Pivot Table'!$A$40,"DAY","Sun")</f>
        <v>0</v>
      </c>
      <c r="E59" s="11"/>
      <c r="F59" s="12" t="e">
        <f>SUM(D59/E59)</f>
        <v>#DIV/0!</v>
      </c>
      <c r="G59" s="13"/>
      <c r="I59" s="104" t="s">
        <v>32</v>
      </c>
      <c r="J59" s="10" t="s">
        <v>24</v>
      </c>
      <c r="K59" s="11">
        <f>GETPIVOTDATA("Sum of AM FIELD",'Pivot Table'!$A$52,"DAY","Sun")</f>
        <v>0</v>
      </c>
      <c r="L59" s="11"/>
      <c r="M59" s="12" t="e">
        <f>SUM(K59/L59)</f>
        <v>#DIV/0!</v>
      </c>
      <c r="N59" s="13"/>
      <c r="P59" s="104" t="s">
        <v>32</v>
      </c>
      <c r="Q59" s="10" t="s">
        <v>24</v>
      </c>
      <c r="R59" s="11">
        <f>GETPIVOTDATA("Sum of AM FIELD",'Pivot Table'!$A$64,"DAY","Sun")</f>
        <v>0</v>
      </c>
      <c r="S59" s="11"/>
      <c r="T59" s="12" t="e">
        <f>SUM(R59/S59)</f>
        <v>#DIV/0!</v>
      </c>
      <c r="U59" s="13"/>
    </row>
    <row r="60" spans="2:21" ht="19.5" thickBot="1" x14ac:dyDescent="0.45">
      <c r="B60" s="105"/>
      <c r="C60" s="14" t="s">
        <v>25</v>
      </c>
      <c r="D60" s="15">
        <f>GETPIVOTDATA("Sum of PM FIELD",'Pivot Table'!$A$40,"DAY","Sun")</f>
        <v>0</v>
      </c>
      <c r="E60" s="15"/>
      <c r="F60" s="16" t="e">
        <f>SUM(D60/E60)</f>
        <v>#DIV/0!</v>
      </c>
      <c r="G60" s="17"/>
      <c r="I60" s="105"/>
      <c r="J60" s="14" t="s">
        <v>25</v>
      </c>
      <c r="K60" s="15">
        <f>GETPIVOTDATA("Sum of PM FIELD",'Pivot Table'!$A$52,"DAY","Sun")</f>
        <v>0</v>
      </c>
      <c r="L60" s="15"/>
      <c r="M60" s="16" t="e">
        <f>SUM(K60/L60)</f>
        <v>#DIV/0!</v>
      </c>
      <c r="N60" s="17"/>
      <c r="P60" s="105"/>
      <c r="Q60" s="14" t="s">
        <v>25</v>
      </c>
      <c r="R60" s="15">
        <f>GETPIVOTDATA("Sum of PM FIELD",'Pivot Table'!$A$64,"DAY","Sun")</f>
        <v>0</v>
      </c>
      <c r="S60" s="15"/>
      <c r="T60" s="16" t="e">
        <f>SUM(R60/S60)</f>
        <v>#DIV/0!</v>
      </c>
      <c r="U60" s="17"/>
    </row>
    <row r="61" spans="2:21" ht="20.25" thickTop="1" thickBot="1" x14ac:dyDescent="0.45">
      <c r="B61" s="70" t="s">
        <v>26</v>
      </c>
      <c r="C61" s="23"/>
      <c r="D61" s="24">
        <f>SUM(D58:D60)</f>
        <v>0</v>
      </c>
      <c r="E61" s="24">
        <f>SUM(E58:E60)</f>
        <v>0</v>
      </c>
      <c r="F61" s="25" t="e">
        <f>SUM(D61/E61)</f>
        <v>#DIV/0!</v>
      </c>
      <c r="G61" s="26"/>
      <c r="I61" s="70" t="s">
        <v>26</v>
      </c>
      <c r="J61" s="23"/>
      <c r="K61" s="24">
        <f>SUM(K58:K60)</f>
        <v>0</v>
      </c>
      <c r="L61" s="24">
        <f>SUM(L58:L60)</f>
        <v>0</v>
      </c>
      <c r="M61" s="25" t="e">
        <f>SUM(K61/L61)</f>
        <v>#DIV/0!</v>
      </c>
      <c r="N61" s="26"/>
      <c r="P61" s="70" t="s">
        <v>26</v>
      </c>
      <c r="Q61" s="23"/>
      <c r="R61" s="24">
        <f>SUM(R58:R60)</f>
        <v>0</v>
      </c>
      <c r="S61" s="24">
        <f>SUM(S58:S60)</f>
        <v>0</v>
      </c>
      <c r="T61" s="25" t="e">
        <f>SUM(R61/S61)</f>
        <v>#DIV/0!</v>
      </c>
      <c r="U61" s="26"/>
    </row>
    <row r="64" spans="2:21" ht="52.5" x14ac:dyDescent="0.55000000000000004">
      <c r="B64" s="1" t="s">
        <v>13</v>
      </c>
      <c r="C64" s="6"/>
      <c r="D64" s="7" t="s">
        <v>18</v>
      </c>
      <c r="E64" s="7" t="s">
        <v>19</v>
      </c>
      <c r="F64" s="7" t="s">
        <v>20</v>
      </c>
      <c r="G64" s="6" t="s">
        <v>21</v>
      </c>
      <c r="I64" s="1" t="s">
        <v>14</v>
      </c>
      <c r="J64" s="6"/>
      <c r="K64" s="7" t="s">
        <v>18</v>
      </c>
      <c r="L64" s="7" t="s">
        <v>19</v>
      </c>
      <c r="M64" s="7" t="s">
        <v>20</v>
      </c>
      <c r="N64" s="6" t="s">
        <v>21</v>
      </c>
      <c r="P64" s="1" t="s">
        <v>15</v>
      </c>
      <c r="Q64" s="6"/>
      <c r="R64" s="7" t="s">
        <v>18</v>
      </c>
      <c r="S64" s="7" t="s">
        <v>19</v>
      </c>
      <c r="T64" s="7" t="s">
        <v>20</v>
      </c>
      <c r="U64" s="6" t="s">
        <v>21</v>
      </c>
    </row>
    <row r="65" spans="2:21" ht="19.5" thickBot="1" x14ac:dyDescent="0.45">
      <c r="K65" s="4"/>
      <c r="L65" s="4"/>
      <c r="M65" s="4"/>
      <c r="Q65" s="2"/>
      <c r="R65" s="4"/>
      <c r="S65" s="4"/>
      <c r="T65" s="4"/>
    </row>
    <row r="66" spans="2:21" x14ac:dyDescent="0.4">
      <c r="B66" s="104" t="s">
        <v>23</v>
      </c>
      <c r="C66" s="10" t="s">
        <v>24</v>
      </c>
      <c r="D66" s="11">
        <f>GETPIVOTDATA("Sum of AM FIELD",'Pivot Table'!$A$76,"DAY","Mon")</f>
        <v>0</v>
      </c>
      <c r="E66" s="11"/>
      <c r="F66" s="12" t="e">
        <f>SUM(D66/E66)</f>
        <v>#DIV/0!</v>
      </c>
      <c r="G66" s="13"/>
      <c r="I66" s="104" t="s">
        <v>23</v>
      </c>
      <c r="J66" s="10" t="s">
        <v>24</v>
      </c>
      <c r="K66" s="11">
        <f>GETPIVOTDATA("Sum of AM FIELD",'Pivot Table'!$A$88,"DAY","Mon")</f>
        <v>0</v>
      </c>
      <c r="L66" s="11"/>
      <c r="M66" s="12" t="e">
        <f>SUM(K66/L66)</f>
        <v>#DIV/0!</v>
      </c>
      <c r="N66" s="13"/>
      <c r="P66" s="104" t="s">
        <v>23</v>
      </c>
      <c r="Q66" s="10" t="s">
        <v>24</v>
      </c>
      <c r="R66" s="11">
        <f>GETPIVOTDATA("Sum of AM FIELD",'Pivot Table'!$A$100,"DAY","Mon")</f>
        <v>0</v>
      </c>
      <c r="S66" s="11"/>
      <c r="T66" s="12" t="e">
        <f>SUM(R66/S66)</f>
        <v>#DIV/0!</v>
      </c>
      <c r="U66" s="13"/>
    </row>
    <row r="67" spans="2:21" ht="19.5" thickBot="1" x14ac:dyDescent="0.45">
      <c r="B67" s="105"/>
      <c r="C67" s="14" t="s">
        <v>25</v>
      </c>
      <c r="D67" s="15">
        <f>GETPIVOTDATA("Sum of PM FIELD",'Pivot Table'!$A$76,"DAY","Mon")</f>
        <v>0</v>
      </c>
      <c r="E67" s="15"/>
      <c r="F67" s="16" t="e">
        <f>SUM(D67/E67)</f>
        <v>#DIV/0!</v>
      </c>
      <c r="G67" s="17"/>
      <c r="I67" s="105"/>
      <c r="J67" s="14" t="s">
        <v>25</v>
      </c>
      <c r="K67" s="15">
        <f>GETPIVOTDATA("Sum of PM FIELD",'Pivot Table'!$A$88,"DAY","Mon")</f>
        <v>0</v>
      </c>
      <c r="L67" s="15"/>
      <c r="M67" s="16" t="e">
        <f>SUM(K67/L67)</f>
        <v>#DIV/0!</v>
      </c>
      <c r="N67" s="17"/>
      <c r="P67" s="105"/>
      <c r="Q67" s="14" t="s">
        <v>25</v>
      </c>
      <c r="R67" s="15">
        <f>GETPIVOTDATA("Sum of PM FIELD",'Pivot Table'!$A$100,"DAY","Mon")</f>
        <v>0</v>
      </c>
      <c r="S67" s="15"/>
      <c r="T67" s="16" t="e">
        <f>SUM(R67/S67)</f>
        <v>#DIV/0!</v>
      </c>
      <c r="U67" s="17"/>
    </row>
    <row r="68" spans="2:21" ht="20.25" thickTop="1" thickBot="1" x14ac:dyDescent="0.45">
      <c r="B68" s="70" t="s">
        <v>26</v>
      </c>
      <c r="C68" s="18"/>
      <c r="D68" s="19">
        <f>SUM(D65:D67)</f>
        <v>0</v>
      </c>
      <c r="E68" s="24">
        <f>SUM(E66:E67)</f>
        <v>0</v>
      </c>
      <c r="F68" s="20" t="e">
        <f>SUM(D68/E68)</f>
        <v>#DIV/0!</v>
      </c>
      <c r="G68" s="21"/>
      <c r="I68" s="70" t="s">
        <v>26</v>
      </c>
      <c r="J68" s="18"/>
      <c r="K68" s="19">
        <f>SUM(K65:K67)</f>
        <v>0</v>
      </c>
      <c r="L68" s="24">
        <f>SUM(L66:L67)</f>
        <v>0</v>
      </c>
      <c r="M68" s="20" t="e">
        <f>SUM(K68/L68)</f>
        <v>#DIV/0!</v>
      </c>
      <c r="N68" s="21"/>
      <c r="P68" s="70" t="s">
        <v>26</v>
      </c>
      <c r="Q68" s="18"/>
      <c r="R68" s="19">
        <f>SUM(R65:R67)</f>
        <v>0</v>
      </c>
      <c r="S68" s="24">
        <f>SUM(S66:S67)</f>
        <v>0</v>
      </c>
      <c r="T68" s="20" t="e">
        <f>SUM(R68/S68)</f>
        <v>#DIV/0!</v>
      </c>
      <c r="U68" s="21"/>
    </row>
    <row r="69" spans="2:21" ht="19.5" thickBot="1" x14ac:dyDescent="0.45">
      <c r="B69" s="5"/>
      <c r="C69" s="22"/>
      <c r="I69" s="5"/>
      <c r="J69" s="22"/>
      <c r="K69" s="4"/>
      <c r="L69" s="4"/>
      <c r="M69" s="4"/>
      <c r="P69" s="5"/>
      <c r="Q69" s="22"/>
      <c r="R69" s="4"/>
      <c r="S69" s="4"/>
      <c r="T69" s="4"/>
    </row>
    <row r="70" spans="2:21" x14ac:dyDescent="0.4">
      <c r="B70" s="104" t="s">
        <v>27</v>
      </c>
      <c r="C70" s="10" t="s">
        <v>24</v>
      </c>
      <c r="D70" s="11">
        <f>GETPIVOTDATA("Sum of AM FIELD",'Pivot Table'!$A$76,"DAY","Tue")</f>
        <v>0</v>
      </c>
      <c r="E70" s="11"/>
      <c r="F70" s="12" t="e">
        <f>SUM(D70/E70)</f>
        <v>#DIV/0!</v>
      </c>
      <c r="G70" s="13"/>
      <c r="I70" s="104" t="s">
        <v>27</v>
      </c>
      <c r="J70" s="10" t="s">
        <v>24</v>
      </c>
      <c r="K70" s="11">
        <f>GETPIVOTDATA("Sum of AM FIELD",'Pivot Table'!$A$88,"DAY","Tue")</f>
        <v>0</v>
      </c>
      <c r="L70" s="11"/>
      <c r="M70" s="12" t="e">
        <f>SUM(K70/L70)</f>
        <v>#DIV/0!</v>
      </c>
      <c r="N70" s="13"/>
      <c r="P70" s="104" t="s">
        <v>27</v>
      </c>
      <c r="Q70" s="10" t="s">
        <v>24</v>
      </c>
      <c r="R70" s="11">
        <f>GETPIVOTDATA("Sum of AM FIELD",'Pivot Table'!$A$100,"DAY","Tue")</f>
        <v>0</v>
      </c>
      <c r="S70" s="11"/>
      <c r="T70" s="12" t="e">
        <f>SUM(R70/S70)</f>
        <v>#DIV/0!</v>
      </c>
      <c r="U70" s="13"/>
    </row>
    <row r="71" spans="2:21" ht="19.5" thickBot="1" x14ac:dyDescent="0.45">
      <c r="B71" s="105"/>
      <c r="C71" s="14" t="s">
        <v>25</v>
      </c>
      <c r="D71" s="15">
        <f>GETPIVOTDATA("Sum of PM FIELD",'Pivot Table'!$A$76,"DAY","Tue")</f>
        <v>0</v>
      </c>
      <c r="E71" s="15"/>
      <c r="F71" s="16" t="e">
        <f>SUM(D71/E71)</f>
        <v>#DIV/0!</v>
      </c>
      <c r="G71" s="17"/>
      <c r="I71" s="105"/>
      <c r="J71" s="14" t="s">
        <v>25</v>
      </c>
      <c r="K71" s="15">
        <f>GETPIVOTDATA("Sum of PM FIELD",'Pivot Table'!$A$88,"DAY","Tue")</f>
        <v>0</v>
      </c>
      <c r="L71" s="15"/>
      <c r="M71" s="16" t="e">
        <f>SUM(K71/L71)</f>
        <v>#DIV/0!</v>
      </c>
      <c r="N71" s="17"/>
      <c r="P71" s="105"/>
      <c r="Q71" s="14" t="s">
        <v>25</v>
      </c>
      <c r="R71" s="15">
        <f>GETPIVOTDATA("Sum of PM FIELD",'Pivot Table'!$A$100,"DAY","Tue")</f>
        <v>0</v>
      </c>
      <c r="S71" s="15"/>
      <c r="T71" s="16" t="e">
        <f>SUM(R71/S71)</f>
        <v>#DIV/0!</v>
      </c>
      <c r="U71" s="17"/>
    </row>
    <row r="72" spans="2:21" ht="20.25" thickTop="1" thickBot="1" x14ac:dyDescent="0.45">
      <c r="B72" s="70" t="s">
        <v>26</v>
      </c>
      <c r="C72" s="23"/>
      <c r="D72" s="24">
        <f>SUM(D69:D71)</f>
        <v>0</v>
      </c>
      <c r="E72" s="24">
        <f>SUM(E70:E71)</f>
        <v>0</v>
      </c>
      <c r="F72" s="25" t="e">
        <f>SUM(D72/E72)</f>
        <v>#DIV/0!</v>
      </c>
      <c r="G72" s="26"/>
      <c r="I72" s="70" t="s">
        <v>26</v>
      </c>
      <c r="J72" s="23"/>
      <c r="K72" s="24">
        <f>SUM(K69:K71)</f>
        <v>0</v>
      </c>
      <c r="L72" s="24">
        <f>SUM(L70:L71)</f>
        <v>0</v>
      </c>
      <c r="M72" s="25" t="e">
        <f>SUM(K72/L72)</f>
        <v>#DIV/0!</v>
      </c>
      <c r="N72" s="26"/>
      <c r="P72" s="70" t="s">
        <v>26</v>
      </c>
      <c r="Q72" s="23"/>
      <c r="R72" s="24">
        <f>SUM(R69:R71)</f>
        <v>0</v>
      </c>
      <c r="S72" s="24">
        <f>SUM(S70:S71)</f>
        <v>0</v>
      </c>
      <c r="T72" s="25" t="e">
        <f>SUM(R72/S72)</f>
        <v>#DIV/0!</v>
      </c>
      <c r="U72" s="26"/>
    </row>
    <row r="73" spans="2:21" ht="19.5" thickBot="1" x14ac:dyDescent="0.45">
      <c r="B73" s="5"/>
      <c r="C73" s="22"/>
      <c r="I73" s="5"/>
      <c r="J73" s="22"/>
      <c r="K73" s="4"/>
      <c r="L73" s="4"/>
      <c r="M73" s="4"/>
      <c r="P73" s="5"/>
      <c r="Q73" s="22"/>
      <c r="R73" s="4"/>
      <c r="S73" s="4"/>
      <c r="T73" s="4"/>
    </row>
    <row r="74" spans="2:21" x14ac:dyDescent="0.4">
      <c r="B74" s="104" t="s">
        <v>28</v>
      </c>
      <c r="C74" s="10" t="s">
        <v>24</v>
      </c>
      <c r="D74" s="11">
        <f>GETPIVOTDATA("Sum of AM FIELD",'Pivot Table'!$A$76,"DAY","Wed")</f>
        <v>0</v>
      </c>
      <c r="E74" s="11"/>
      <c r="F74" s="12" t="e">
        <f>SUM(D74/E74)</f>
        <v>#DIV/0!</v>
      </c>
      <c r="G74" s="13"/>
      <c r="I74" s="104" t="s">
        <v>28</v>
      </c>
      <c r="J74" s="10" t="s">
        <v>24</v>
      </c>
      <c r="K74" s="11">
        <f>GETPIVOTDATA("Sum of AM FIELD",'Pivot Table'!$A$88,"DAY","Wed")</f>
        <v>0</v>
      </c>
      <c r="L74" s="11"/>
      <c r="M74" s="12" t="e">
        <f>SUM(K74/L74)</f>
        <v>#DIV/0!</v>
      </c>
      <c r="N74" s="13"/>
      <c r="P74" s="104" t="s">
        <v>28</v>
      </c>
      <c r="Q74" s="10" t="s">
        <v>24</v>
      </c>
      <c r="R74" s="11">
        <f>GETPIVOTDATA("Sum of AM FIELD",'Pivot Table'!$A$100,"DAY","Wed")</f>
        <v>0</v>
      </c>
      <c r="S74" s="11"/>
      <c r="T74" s="12" t="e">
        <f>SUM(R74/S74)</f>
        <v>#DIV/0!</v>
      </c>
      <c r="U74" s="13"/>
    </row>
    <row r="75" spans="2:21" ht="19.5" thickBot="1" x14ac:dyDescent="0.45">
      <c r="B75" s="105"/>
      <c r="C75" s="14" t="s">
        <v>25</v>
      </c>
      <c r="D75" s="15">
        <f>GETPIVOTDATA("Sum of PM FIELD",'Pivot Table'!$A$76,"DAY","Wed")</f>
        <v>0</v>
      </c>
      <c r="E75" s="15"/>
      <c r="F75" s="16" t="e">
        <f>SUM(D75/E75)</f>
        <v>#DIV/0!</v>
      </c>
      <c r="G75" s="17"/>
      <c r="I75" s="105"/>
      <c r="J75" s="14" t="s">
        <v>25</v>
      </c>
      <c r="K75" s="15">
        <f>GETPIVOTDATA("Sum of PM FIELD",'Pivot Table'!$A$88,"DAY","Wed")</f>
        <v>0</v>
      </c>
      <c r="L75" s="15"/>
      <c r="M75" s="16" t="e">
        <f>SUM(K75/L75)</f>
        <v>#DIV/0!</v>
      </c>
      <c r="N75" s="17"/>
      <c r="P75" s="105"/>
      <c r="Q75" s="14" t="s">
        <v>25</v>
      </c>
      <c r="R75" s="15">
        <f>GETPIVOTDATA("Sum of PM FIELD",'Pivot Table'!$A$100,"DAY","Wed")</f>
        <v>0</v>
      </c>
      <c r="S75" s="15"/>
      <c r="T75" s="16" t="e">
        <f>SUM(R75/S75)</f>
        <v>#DIV/0!</v>
      </c>
      <c r="U75" s="17"/>
    </row>
    <row r="76" spans="2:21" ht="20.25" thickTop="1" thickBot="1" x14ac:dyDescent="0.45">
      <c r="B76" s="70" t="s">
        <v>26</v>
      </c>
      <c r="C76" s="23"/>
      <c r="D76" s="24">
        <f>SUM(D73:D75)</f>
        <v>0</v>
      </c>
      <c r="E76" s="24">
        <f>SUM(E74:E75)</f>
        <v>0</v>
      </c>
      <c r="F76" s="25" t="e">
        <f>SUM(D76/E76)</f>
        <v>#DIV/0!</v>
      </c>
      <c r="G76" s="26"/>
      <c r="I76" s="70" t="s">
        <v>26</v>
      </c>
      <c r="J76" s="23"/>
      <c r="K76" s="24">
        <f>SUM(K73:K75)</f>
        <v>0</v>
      </c>
      <c r="L76" s="24">
        <f>SUM(L74:L75)</f>
        <v>0</v>
      </c>
      <c r="M76" s="25" t="e">
        <f>SUM(K76/L76)</f>
        <v>#DIV/0!</v>
      </c>
      <c r="N76" s="26"/>
      <c r="P76" s="70" t="s">
        <v>26</v>
      </c>
      <c r="Q76" s="23"/>
      <c r="R76" s="24">
        <f>SUM(R73:R75)</f>
        <v>0</v>
      </c>
      <c r="S76" s="24">
        <f>SUM(S74:S75)</f>
        <v>0</v>
      </c>
      <c r="T76" s="25" t="e">
        <f>SUM(R76/S76)</f>
        <v>#DIV/0!</v>
      </c>
      <c r="U76" s="26"/>
    </row>
    <row r="77" spans="2:21" ht="19.5" thickBot="1" x14ac:dyDescent="0.45">
      <c r="B77" s="5"/>
      <c r="C77" s="22"/>
      <c r="I77" s="5"/>
      <c r="J77" s="22"/>
      <c r="K77" s="4"/>
      <c r="L77" s="4"/>
      <c r="M77" s="4"/>
      <c r="P77" s="5"/>
      <c r="Q77" s="22"/>
      <c r="R77" s="4"/>
      <c r="S77" s="4"/>
      <c r="T77" s="4"/>
    </row>
    <row r="78" spans="2:21" x14ac:dyDescent="0.4">
      <c r="B78" s="104" t="s">
        <v>29</v>
      </c>
      <c r="C78" s="10" t="s">
        <v>24</v>
      </c>
      <c r="D78" s="11">
        <f>GETPIVOTDATA("Sum of AM FIELD",'Pivot Table'!$A$76,"DAY","Thu")</f>
        <v>0</v>
      </c>
      <c r="E78" s="11"/>
      <c r="F78" s="12" t="e">
        <f>SUM(D78/E78)</f>
        <v>#DIV/0!</v>
      </c>
      <c r="G78" s="13"/>
      <c r="I78" s="104" t="s">
        <v>29</v>
      </c>
      <c r="J78" s="10" t="s">
        <v>24</v>
      </c>
      <c r="K78" s="11">
        <f>GETPIVOTDATA("Sum of AM FIELD",'Pivot Table'!$A$88,"DAY","Thu")</f>
        <v>0</v>
      </c>
      <c r="L78" s="11"/>
      <c r="M78" s="12" t="e">
        <f>SUM(K78/L78)</f>
        <v>#DIV/0!</v>
      </c>
      <c r="N78" s="13"/>
      <c r="P78" s="104" t="s">
        <v>29</v>
      </c>
      <c r="Q78" s="10" t="s">
        <v>24</v>
      </c>
      <c r="R78" s="11">
        <f>GETPIVOTDATA("Sum of AM FIELD",'Pivot Table'!$A$100,"DAY","Thu")</f>
        <v>0</v>
      </c>
      <c r="S78" s="11"/>
      <c r="T78" s="12" t="e">
        <f>SUM(R78/S78)</f>
        <v>#DIV/0!</v>
      </c>
      <c r="U78" s="13"/>
    </row>
    <row r="79" spans="2:21" ht="19.5" thickBot="1" x14ac:dyDescent="0.45">
      <c r="B79" s="105"/>
      <c r="C79" s="14" t="s">
        <v>25</v>
      </c>
      <c r="D79" s="15">
        <f>GETPIVOTDATA("Sum of PM FIELD",'Pivot Table'!$A$76,"DAY","Thu")</f>
        <v>0</v>
      </c>
      <c r="E79" s="15"/>
      <c r="F79" s="16" t="e">
        <f>SUM(D79/E79)</f>
        <v>#DIV/0!</v>
      </c>
      <c r="G79" s="17"/>
      <c r="I79" s="105"/>
      <c r="J79" s="14" t="s">
        <v>25</v>
      </c>
      <c r="K79" s="15">
        <f>GETPIVOTDATA("Sum of PM FIELD",'Pivot Table'!$A$88,"DAY","Thu")</f>
        <v>0</v>
      </c>
      <c r="L79" s="15"/>
      <c r="M79" s="16" t="e">
        <f>SUM(K79/L79)</f>
        <v>#DIV/0!</v>
      </c>
      <c r="N79" s="17"/>
      <c r="P79" s="105"/>
      <c r="Q79" s="14" t="s">
        <v>25</v>
      </c>
      <c r="R79" s="15">
        <f>GETPIVOTDATA("Sum of PM FIELD",'Pivot Table'!$A$100,"DAY","Thu")</f>
        <v>0</v>
      </c>
      <c r="S79" s="15"/>
      <c r="T79" s="16" t="e">
        <f>SUM(R79/S79)</f>
        <v>#DIV/0!</v>
      </c>
      <c r="U79" s="17"/>
    </row>
    <row r="80" spans="2:21" ht="20.25" thickTop="1" thickBot="1" x14ac:dyDescent="0.45">
      <c r="B80" s="70" t="s">
        <v>26</v>
      </c>
      <c r="C80" s="23"/>
      <c r="D80" s="24">
        <f>SUM(D77:D79)</f>
        <v>0</v>
      </c>
      <c r="E80" s="24">
        <f>SUM(E78:E79)</f>
        <v>0</v>
      </c>
      <c r="F80" s="25" t="e">
        <f>SUM(D80/E80)</f>
        <v>#DIV/0!</v>
      </c>
      <c r="G80" s="26"/>
      <c r="I80" s="70" t="s">
        <v>26</v>
      </c>
      <c r="J80" s="23"/>
      <c r="K80" s="24">
        <f>SUM(K77:K79)</f>
        <v>0</v>
      </c>
      <c r="L80" s="24">
        <f>SUM(L78:L79)</f>
        <v>0</v>
      </c>
      <c r="M80" s="25" t="e">
        <f>SUM(K80/L80)</f>
        <v>#DIV/0!</v>
      </c>
      <c r="N80" s="26"/>
      <c r="P80" s="70" t="s">
        <v>26</v>
      </c>
      <c r="Q80" s="23"/>
      <c r="R80" s="24">
        <f>SUM(R77:R79)</f>
        <v>0</v>
      </c>
      <c r="S80" s="24">
        <f>SUM(S78:S79)</f>
        <v>0</v>
      </c>
      <c r="T80" s="25" t="e">
        <f>SUM(R80/S80)</f>
        <v>#DIV/0!</v>
      </c>
      <c r="U80" s="26"/>
    </row>
    <row r="81" spans="2:21" ht="19.5" thickBot="1" x14ac:dyDescent="0.45">
      <c r="B81" s="5"/>
      <c r="C81" s="22"/>
      <c r="I81" s="5"/>
      <c r="J81" s="22"/>
      <c r="K81" s="4"/>
      <c r="L81" s="4"/>
      <c r="M81" s="4"/>
      <c r="P81" s="5"/>
      <c r="Q81" s="22"/>
      <c r="R81" s="4"/>
      <c r="S81" s="4"/>
      <c r="T81" s="4"/>
    </row>
    <row r="82" spans="2:21" x14ac:dyDescent="0.4">
      <c r="B82" s="104" t="s">
        <v>30</v>
      </c>
      <c r="C82" s="10" t="s">
        <v>24</v>
      </c>
      <c r="D82" s="11">
        <f>GETPIVOTDATA("Sum of AM FIELD",'Pivot Table'!$A$76,"DAY","Fri")</f>
        <v>0</v>
      </c>
      <c r="E82" s="11"/>
      <c r="F82" s="12" t="e">
        <f>SUM(D82/E82)</f>
        <v>#DIV/0!</v>
      </c>
      <c r="G82" s="13"/>
      <c r="I82" s="104" t="s">
        <v>30</v>
      </c>
      <c r="J82" s="10" t="s">
        <v>24</v>
      </c>
      <c r="K82" s="11">
        <f>GETPIVOTDATA("Sum of AM FIELD",'Pivot Table'!$A$88,"DAY","Fri")</f>
        <v>0</v>
      </c>
      <c r="L82" s="11"/>
      <c r="M82" s="12" t="e">
        <f>SUM(K82/L82)</f>
        <v>#DIV/0!</v>
      </c>
      <c r="N82" s="13"/>
      <c r="P82" s="104" t="s">
        <v>30</v>
      </c>
      <c r="Q82" s="10" t="s">
        <v>24</v>
      </c>
      <c r="R82" s="11">
        <f>GETPIVOTDATA("Sum of AM FIELD",'Pivot Table'!$A$100,"DAY","Fri")</f>
        <v>0</v>
      </c>
      <c r="S82" s="11"/>
      <c r="T82" s="12" t="e">
        <f>SUM(R82/S82)</f>
        <v>#DIV/0!</v>
      </c>
      <c r="U82" s="13"/>
    </row>
    <row r="83" spans="2:21" ht="19.5" thickBot="1" x14ac:dyDescent="0.45">
      <c r="B83" s="105"/>
      <c r="C83" s="14" t="s">
        <v>25</v>
      </c>
      <c r="D83" s="15">
        <f>GETPIVOTDATA("Sum of PM FIELD",'Pivot Table'!$A$76,"DAY","Fri")</f>
        <v>0</v>
      </c>
      <c r="E83" s="15"/>
      <c r="F83" s="16" t="e">
        <f>SUM(D83/E83)</f>
        <v>#DIV/0!</v>
      </c>
      <c r="G83" s="17"/>
      <c r="I83" s="105"/>
      <c r="J83" s="14" t="s">
        <v>25</v>
      </c>
      <c r="K83" s="15">
        <f>GETPIVOTDATA("Sum of PM FIELD",'Pivot Table'!$A$88,"DAY","Fri")</f>
        <v>0</v>
      </c>
      <c r="L83" s="15"/>
      <c r="M83" s="16" t="e">
        <f>SUM(K83/L83)</f>
        <v>#DIV/0!</v>
      </c>
      <c r="N83" s="17"/>
      <c r="P83" s="105"/>
      <c r="Q83" s="14" t="s">
        <v>25</v>
      </c>
      <c r="R83" s="15">
        <f>GETPIVOTDATA("Sum of PM FIELD",'Pivot Table'!$A$100,"DAY","Fri")</f>
        <v>0</v>
      </c>
      <c r="S83" s="15"/>
      <c r="T83" s="16" t="e">
        <f>SUM(R83/S83)</f>
        <v>#DIV/0!</v>
      </c>
      <c r="U83" s="17"/>
    </row>
    <row r="84" spans="2:21" ht="20.25" thickTop="1" thickBot="1" x14ac:dyDescent="0.45">
      <c r="B84" s="70" t="s">
        <v>26</v>
      </c>
      <c r="C84" s="23"/>
      <c r="D84" s="24">
        <f>SUM(D81:D83)</f>
        <v>0</v>
      </c>
      <c r="E84" s="24">
        <f>SUM(E82:E83)</f>
        <v>0</v>
      </c>
      <c r="F84" s="25" t="e">
        <f>SUM(D84/E84)</f>
        <v>#DIV/0!</v>
      </c>
      <c r="G84" s="26"/>
      <c r="I84" s="70" t="s">
        <v>26</v>
      </c>
      <c r="J84" s="23"/>
      <c r="K84" s="24">
        <f>SUM(K81:K83)</f>
        <v>0</v>
      </c>
      <c r="L84" s="24">
        <f>SUM(L82:L83)</f>
        <v>0</v>
      </c>
      <c r="M84" s="25" t="e">
        <f>SUM(K84/L84)</f>
        <v>#DIV/0!</v>
      </c>
      <c r="N84" s="26"/>
      <c r="P84" s="70" t="s">
        <v>26</v>
      </c>
      <c r="Q84" s="23"/>
      <c r="R84" s="24">
        <f>SUM(R81:R83)</f>
        <v>0</v>
      </c>
      <c r="S84" s="24">
        <f>SUM(S82:S83)</f>
        <v>0</v>
      </c>
      <c r="T84" s="25" t="e">
        <f>SUM(R84/S84)</f>
        <v>#DIV/0!</v>
      </c>
      <c r="U84" s="26"/>
    </row>
    <row r="85" spans="2:21" ht="19.5" thickBot="1" x14ac:dyDescent="0.45">
      <c r="B85" s="5"/>
      <c r="C85" s="22"/>
      <c r="I85" s="5"/>
      <c r="J85" s="22"/>
      <c r="K85" s="4"/>
      <c r="L85" s="4"/>
      <c r="M85" s="4"/>
      <c r="P85" s="5"/>
      <c r="Q85" s="22"/>
      <c r="R85" s="4"/>
      <c r="S85" s="4"/>
      <c r="T85" s="4"/>
    </row>
    <row r="86" spans="2:21" x14ac:dyDescent="0.4">
      <c r="B86" s="104" t="s">
        <v>31</v>
      </c>
      <c r="C86" s="10" t="s">
        <v>24</v>
      </c>
      <c r="D86" s="11">
        <f>GETPIVOTDATA("Sum of AM FIELD",'Pivot Table'!$A$76,"DAY","Sat")</f>
        <v>0</v>
      </c>
      <c r="E86" s="11"/>
      <c r="F86" s="12" t="e">
        <f>SUM(D86/E86)</f>
        <v>#DIV/0!</v>
      </c>
      <c r="G86" s="13"/>
      <c r="I86" s="104" t="s">
        <v>31</v>
      </c>
      <c r="J86" s="10" t="s">
        <v>24</v>
      </c>
      <c r="K86" s="11">
        <f>GETPIVOTDATA("Sum of AM FIELD",'Pivot Table'!$A$88,"DAY","Sat")</f>
        <v>0</v>
      </c>
      <c r="L86" s="11"/>
      <c r="M86" s="12" t="e">
        <f>SUM(K86/L86)</f>
        <v>#DIV/0!</v>
      </c>
      <c r="N86" s="13"/>
      <c r="P86" s="104" t="s">
        <v>31</v>
      </c>
      <c r="Q86" s="10" t="s">
        <v>24</v>
      </c>
      <c r="R86" s="11">
        <f>GETPIVOTDATA("Sum of AM FIELD",'Pivot Table'!$A$100,"DAY","Sat")</f>
        <v>0</v>
      </c>
      <c r="S86" s="11"/>
      <c r="T86" s="12" t="e">
        <f>SUM(R86/S86)</f>
        <v>#DIV/0!</v>
      </c>
      <c r="U86" s="13"/>
    </row>
    <row r="87" spans="2:21" ht="19.5" thickBot="1" x14ac:dyDescent="0.45">
      <c r="B87" s="105"/>
      <c r="C87" s="14" t="s">
        <v>25</v>
      </c>
      <c r="D87" s="15">
        <f>GETPIVOTDATA("Sum of PM FIELD",'Pivot Table'!$A$76,"DAY","Sat")</f>
        <v>0</v>
      </c>
      <c r="E87" s="15"/>
      <c r="F87" s="16" t="e">
        <f>SUM(D87/E87)</f>
        <v>#DIV/0!</v>
      </c>
      <c r="G87" s="17"/>
      <c r="I87" s="105"/>
      <c r="J87" s="14" t="s">
        <v>25</v>
      </c>
      <c r="K87" s="15">
        <f>GETPIVOTDATA("Sum of PM FIELD",'Pivot Table'!$A$88,"DAY","Sat")</f>
        <v>0</v>
      </c>
      <c r="L87" s="15"/>
      <c r="M87" s="16" t="e">
        <f>SUM(K87/L87)</f>
        <v>#DIV/0!</v>
      </c>
      <c r="N87" s="17"/>
      <c r="P87" s="105"/>
      <c r="Q87" s="14" t="s">
        <v>25</v>
      </c>
      <c r="R87" s="15">
        <f>GETPIVOTDATA("Sum of PM FIELD",'Pivot Table'!$A$100,"DAY","Sat")</f>
        <v>0</v>
      </c>
      <c r="S87" s="15"/>
      <c r="T87" s="16" t="e">
        <f>SUM(R87/S87)</f>
        <v>#DIV/0!</v>
      </c>
      <c r="U87" s="17"/>
    </row>
    <row r="88" spans="2:21" ht="20.25" thickTop="1" thickBot="1" x14ac:dyDescent="0.45">
      <c r="B88" s="70" t="s">
        <v>26</v>
      </c>
      <c r="C88" s="23"/>
      <c r="D88" s="24">
        <f>SUM(D85:D87)</f>
        <v>0</v>
      </c>
      <c r="E88" s="24">
        <f>SUM(E86:E87)</f>
        <v>0</v>
      </c>
      <c r="F88" s="25" t="e">
        <f>SUM(D88/E88)</f>
        <v>#DIV/0!</v>
      </c>
      <c r="G88" s="26"/>
      <c r="I88" s="70" t="s">
        <v>26</v>
      </c>
      <c r="J88" s="23"/>
      <c r="K88" s="24">
        <f>SUM(K85:K87)</f>
        <v>0</v>
      </c>
      <c r="L88" s="24">
        <f>SUM(L86:L87)</f>
        <v>0</v>
      </c>
      <c r="M88" s="25" t="e">
        <f>SUM(K88/L88)</f>
        <v>#DIV/0!</v>
      </c>
      <c r="N88" s="26"/>
      <c r="P88" s="70" t="s">
        <v>26</v>
      </c>
      <c r="Q88" s="23"/>
      <c r="R88" s="24">
        <f>SUM(R85:R87)</f>
        <v>0</v>
      </c>
      <c r="S88" s="24">
        <f>SUM(S86:S87)</f>
        <v>0</v>
      </c>
      <c r="T88" s="25" t="e">
        <f>SUM(R88/S88)</f>
        <v>#DIV/0!</v>
      </c>
      <c r="U88" s="26"/>
    </row>
    <row r="89" spans="2:21" ht="19.5" thickBot="1" x14ac:dyDescent="0.45">
      <c r="B89" s="5"/>
      <c r="C89" s="22"/>
      <c r="F89" s="27"/>
      <c r="I89" s="5"/>
      <c r="J89" s="22"/>
      <c r="K89" s="4"/>
      <c r="L89" s="4"/>
      <c r="M89" s="27"/>
      <c r="P89" s="5"/>
      <c r="Q89" s="22"/>
      <c r="R89" s="4"/>
      <c r="S89" s="4"/>
      <c r="T89" s="27"/>
    </row>
    <row r="90" spans="2:21" x14ac:dyDescent="0.4">
      <c r="B90" s="104" t="s">
        <v>32</v>
      </c>
      <c r="C90" s="10" t="s">
        <v>24</v>
      </c>
      <c r="D90" s="11">
        <f>GETPIVOTDATA("Sum of AM FIELD",'Pivot Table'!$A$76,"DAY","Sun")</f>
        <v>0</v>
      </c>
      <c r="E90" s="11"/>
      <c r="F90" s="12" t="e">
        <f>SUM(D90/E90)</f>
        <v>#DIV/0!</v>
      </c>
      <c r="G90" s="13"/>
      <c r="I90" s="104" t="s">
        <v>32</v>
      </c>
      <c r="J90" s="10" t="s">
        <v>24</v>
      </c>
      <c r="K90" s="11">
        <f>GETPIVOTDATA("Sum of AM FIELD",'Pivot Table'!$A$88,"DAY","Sun")</f>
        <v>0</v>
      </c>
      <c r="L90" s="11"/>
      <c r="M90" s="12" t="e">
        <f>SUM(K90/L90)</f>
        <v>#DIV/0!</v>
      </c>
      <c r="N90" s="13"/>
      <c r="P90" s="104" t="s">
        <v>32</v>
      </c>
      <c r="Q90" s="10" t="s">
        <v>24</v>
      </c>
      <c r="R90" s="11">
        <f>GETPIVOTDATA("Sum of AM FIELD",'Pivot Table'!$A$100,"DAY","Sun")</f>
        <v>0</v>
      </c>
      <c r="S90" s="11"/>
      <c r="T90" s="12" t="e">
        <f>SUM(R90/S90)</f>
        <v>#DIV/0!</v>
      </c>
      <c r="U90" s="13"/>
    </row>
    <row r="91" spans="2:21" ht="19.5" thickBot="1" x14ac:dyDescent="0.45">
      <c r="B91" s="105"/>
      <c r="C91" s="14" t="s">
        <v>25</v>
      </c>
      <c r="D91" s="15">
        <f>GETPIVOTDATA("Sum of PM FIELD",'Pivot Table'!$A$76,"DAY","Sun")</f>
        <v>0</v>
      </c>
      <c r="E91" s="15"/>
      <c r="F91" s="16" t="e">
        <f>SUM(D91/E91)</f>
        <v>#DIV/0!</v>
      </c>
      <c r="G91" s="17"/>
      <c r="I91" s="105"/>
      <c r="J91" s="14" t="s">
        <v>25</v>
      </c>
      <c r="K91" s="15">
        <f>GETPIVOTDATA("Sum of PM FIELD",'Pivot Table'!$A$88,"DAY","Sun")</f>
        <v>0</v>
      </c>
      <c r="L91" s="15"/>
      <c r="M91" s="16" t="e">
        <f>SUM(K91/L91)</f>
        <v>#DIV/0!</v>
      </c>
      <c r="N91" s="17"/>
      <c r="P91" s="105"/>
      <c r="Q91" s="14" t="s">
        <v>25</v>
      </c>
      <c r="R91" s="15">
        <f>GETPIVOTDATA("Sum of PM FIELD",'Pivot Table'!$A$100,"DAY","Sun")</f>
        <v>0</v>
      </c>
      <c r="S91" s="15"/>
      <c r="T91" s="16" t="e">
        <f>SUM(R91/S91)</f>
        <v>#DIV/0!</v>
      </c>
      <c r="U91" s="17"/>
    </row>
    <row r="92" spans="2:21" ht="20.25" thickTop="1" thickBot="1" x14ac:dyDescent="0.45">
      <c r="B92" s="70" t="s">
        <v>26</v>
      </c>
      <c r="C92" s="23"/>
      <c r="D92" s="24">
        <f>SUM(D89:D91)</f>
        <v>0</v>
      </c>
      <c r="E92" s="24">
        <f>SUM(E90:E91)</f>
        <v>0</v>
      </c>
      <c r="F92" s="25" t="e">
        <f>SUM(D92/E92)</f>
        <v>#DIV/0!</v>
      </c>
      <c r="G92" s="26"/>
      <c r="I92" s="70" t="s">
        <v>26</v>
      </c>
      <c r="J92" s="23"/>
      <c r="K92" s="24">
        <f>SUM(K89:K91)</f>
        <v>0</v>
      </c>
      <c r="L92" s="24">
        <f>SUM(L90:L91)</f>
        <v>0</v>
      </c>
      <c r="M92" s="25" t="e">
        <f>SUM(K92/L92)</f>
        <v>#DIV/0!</v>
      </c>
      <c r="N92" s="26"/>
      <c r="P92" s="70" t="s">
        <v>26</v>
      </c>
      <c r="Q92" s="23"/>
      <c r="R92" s="24">
        <f>SUM(R89:R91)</f>
        <v>0</v>
      </c>
      <c r="S92" s="24">
        <f>SUM(S90:S91)</f>
        <v>0</v>
      </c>
      <c r="T92" s="25" t="e">
        <f>SUM(R92/S92)</f>
        <v>#DIV/0!</v>
      </c>
      <c r="U92" s="26"/>
    </row>
    <row r="95" spans="2:21" ht="52.5" x14ac:dyDescent="0.55000000000000004">
      <c r="B95" s="1" t="s">
        <v>16</v>
      </c>
      <c r="C95" s="6"/>
      <c r="D95" s="7" t="s">
        <v>18</v>
      </c>
      <c r="E95" s="7" t="s">
        <v>19</v>
      </c>
      <c r="F95" s="7" t="s">
        <v>20</v>
      </c>
      <c r="G95" s="6" t="s">
        <v>21</v>
      </c>
      <c r="I95" s="1" t="s">
        <v>60</v>
      </c>
      <c r="J95" s="6"/>
      <c r="K95" s="7" t="s">
        <v>18</v>
      </c>
      <c r="L95" s="7" t="s">
        <v>19</v>
      </c>
      <c r="M95" s="7" t="s">
        <v>20</v>
      </c>
      <c r="N95" s="6" t="s">
        <v>21</v>
      </c>
      <c r="P95" s="1" t="s">
        <v>17</v>
      </c>
      <c r="Q95" s="6"/>
      <c r="R95" s="7" t="s">
        <v>18</v>
      </c>
      <c r="S95" s="7" t="s">
        <v>19</v>
      </c>
      <c r="T95" s="7" t="s">
        <v>20</v>
      </c>
      <c r="U95" s="6" t="s">
        <v>21</v>
      </c>
    </row>
    <row r="96" spans="2:21" ht="19.5" thickBot="1" x14ac:dyDescent="0.45">
      <c r="K96" s="4"/>
      <c r="L96" s="4"/>
      <c r="M96" s="4"/>
      <c r="Q96" s="2"/>
      <c r="R96" s="4"/>
      <c r="S96" s="4"/>
      <c r="T96" s="4"/>
    </row>
    <row r="97" spans="2:21" x14ac:dyDescent="0.4">
      <c r="B97" s="104" t="s">
        <v>23</v>
      </c>
      <c r="C97" s="10" t="s">
        <v>24</v>
      </c>
      <c r="D97" s="11">
        <f>GETPIVOTDATA("Sum of AM FIELD",'Pivot Table'!$A$112,"DAY","Mon")</f>
        <v>0</v>
      </c>
      <c r="E97" s="11"/>
      <c r="F97" s="12" t="e">
        <f>SUM(D97/E97)</f>
        <v>#DIV/0!</v>
      </c>
      <c r="G97" s="13"/>
      <c r="I97" s="104" t="s">
        <v>23</v>
      </c>
      <c r="J97" s="10" t="s">
        <v>24</v>
      </c>
      <c r="K97" s="11">
        <f>GETPIVOTDATA("Sum of AM FIELD",'Pivot Table'!$A$124,"DAY","Mon")</f>
        <v>0</v>
      </c>
      <c r="L97" s="11"/>
      <c r="M97" s="12" t="e">
        <f>SUM(K97/L97)</f>
        <v>#DIV/0!</v>
      </c>
      <c r="N97" s="13"/>
      <c r="P97" s="104" t="s">
        <v>23</v>
      </c>
      <c r="Q97" s="10" t="s">
        <v>24</v>
      </c>
      <c r="R97" s="11">
        <f>GETPIVOTDATA("Sum of AM FIELD",'Pivot Table'!$A$136,"DAY","Mon")</f>
        <v>0</v>
      </c>
      <c r="S97" s="11"/>
      <c r="T97" s="12" t="e">
        <f>SUM(R97/S97)</f>
        <v>#DIV/0!</v>
      </c>
      <c r="U97" s="13"/>
    </row>
    <row r="98" spans="2:21" ht="19.5" thickBot="1" x14ac:dyDescent="0.45">
      <c r="B98" s="105"/>
      <c r="C98" s="86" t="s">
        <v>25</v>
      </c>
      <c r="D98" s="87">
        <f>GETPIVOTDATA("Sum of PM FIELD",'Pivot Table'!$A$112,"DAY","Mon")</f>
        <v>0</v>
      </c>
      <c r="E98" s="87"/>
      <c r="F98" s="89" t="e">
        <f>SUM(D98/E98)</f>
        <v>#DIV/0!</v>
      </c>
      <c r="G98" s="90"/>
      <c r="I98" s="105"/>
      <c r="J98" s="86" t="s">
        <v>25</v>
      </c>
      <c r="K98" s="87">
        <f>GETPIVOTDATA("Sum of PM FIELD",'Pivot Table'!$A$124,"DAY","Mon")</f>
        <v>0</v>
      </c>
      <c r="L98" s="87"/>
      <c r="M98" s="89" t="e">
        <f>SUM(K98/L98)</f>
        <v>#DIV/0!</v>
      </c>
      <c r="N98" s="90"/>
      <c r="P98" s="105"/>
      <c r="Q98" s="86" t="s">
        <v>25</v>
      </c>
      <c r="R98" s="87">
        <f>GETPIVOTDATA("Sum of PM FIELD",'Pivot Table'!$A$136,"DAY","Mon")</f>
        <v>0</v>
      </c>
      <c r="S98" s="87"/>
      <c r="T98" s="89" t="e">
        <f>SUM(R98/S98)</f>
        <v>#DIV/0!</v>
      </c>
      <c r="U98" s="90"/>
    </row>
    <row r="99" spans="2:21" ht="20.25" thickTop="1" thickBot="1" x14ac:dyDescent="0.45">
      <c r="B99" s="70" t="s">
        <v>26</v>
      </c>
      <c r="C99" s="18"/>
      <c r="D99" s="19">
        <f>SUM(D97:D98)</f>
        <v>0</v>
      </c>
      <c r="E99" s="19">
        <f>SUM(E97:E98)</f>
        <v>0</v>
      </c>
      <c r="F99" s="20" t="e">
        <f>SUM(D99/E99)</f>
        <v>#DIV/0!</v>
      </c>
      <c r="G99" s="21"/>
      <c r="I99" s="70" t="s">
        <v>26</v>
      </c>
      <c r="J99" s="18"/>
      <c r="K99" s="19">
        <f>SUM(K96:K98)</f>
        <v>0</v>
      </c>
      <c r="L99" s="19">
        <f>SUM(L96:L98)</f>
        <v>0</v>
      </c>
      <c r="M99" s="20" t="e">
        <f>SUM(K99/L99)</f>
        <v>#DIV/0!</v>
      </c>
      <c r="N99" s="21"/>
      <c r="P99" s="70" t="s">
        <v>26</v>
      </c>
      <c r="Q99" s="18"/>
      <c r="R99" s="19">
        <f>SUM(R96:R98)</f>
        <v>0</v>
      </c>
      <c r="S99" s="19">
        <f>SUM(S96:S98)</f>
        <v>0</v>
      </c>
      <c r="T99" s="20" t="e">
        <f>SUM(R99/S99)</f>
        <v>#DIV/0!</v>
      </c>
      <c r="U99" s="21"/>
    </row>
    <row r="100" spans="2:21" ht="19.5" thickBot="1" x14ac:dyDescent="0.45">
      <c r="B100" s="5"/>
      <c r="C100" s="22"/>
      <c r="I100" s="5"/>
      <c r="J100" s="22"/>
      <c r="K100" s="4"/>
      <c r="L100" s="4"/>
      <c r="M100" s="4"/>
      <c r="P100" s="5"/>
      <c r="Q100" s="22"/>
      <c r="R100" s="4"/>
      <c r="S100" s="4"/>
      <c r="T100" s="4"/>
    </row>
    <row r="101" spans="2:21" x14ac:dyDescent="0.4">
      <c r="B101" s="104" t="s">
        <v>27</v>
      </c>
      <c r="C101" s="10" t="s">
        <v>24</v>
      </c>
      <c r="D101" s="11">
        <f>GETPIVOTDATA("Sum of AM FIELD",'Pivot Table'!$A$112,"DAY","Tue")</f>
        <v>0</v>
      </c>
      <c r="E101" s="11"/>
      <c r="F101" s="12" t="e">
        <f>SUM(D101/E101)</f>
        <v>#DIV/0!</v>
      </c>
      <c r="G101" s="13"/>
      <c r="I101" s="104" t="s">
        <v>27</v>
      </c>
      <c r="J101" s="10" t="s">
        <v>24</v>
      </c>
      <c r="K101" s="11">
        <f>GETPIVOTDATA("Sum of AM FIELD",'Pivot Table'!$A$124,"DAY","Tue")</f>
        <v>0</v>
      </c>
      <c r="L101" s="11"/>
      <c r="M101" s="12" t="e">
        <f>SUM(K101/L101)</f>
        <v>#DIV/0!</v>
      </c>
      <c r="N101" s="13"/>
      <c r="P101" s="104" t="s">
        <v>27</v>
      </c>
      <c r="Q101" s="10" t="s">
        <v>24</v>
      </c>
      <c r="R101" s="11">
        <f>GETPIVOTDATA("Sum of AM FIELD",'Pivot Table'!$A$136,"DAY","Tue")</f>
        <v>0</v>
      </c>
      <c r="S101" s="11"/>
      <c r="T101" s="12" t="e">
        <f>SUM(R101/S101)</f>
        <v>#DIV/0!</v>
      </c>
      <c r="U101" s="13"/>
    </row>
    <row r="102" spans="2:21" ht="19.5" thickBot="1" x14ac:dyDescent="0.45">
      <c r="B102" s="105"/>
      <c r="C102" s="86" t="s">
        <v>25</v>
      </c>
      <c r="D102" s="87">
        <f>GETPIVOTDATA("Sum of PM FIELD",'Pivot Table'!$A$112,"DAY","Tue")</f>
        <v>0</v>
      </c>
      <c r="E102" s="87"/>
      <c r="F102" s="89" t="e">
        <f>SUM(D102/E102)</f>
        <v>#DIV/0!</v>
      </c>
      <c r="G102" s="90"/>
      <c r="I102" s="105"/>
      <c r="J102" s="86" t="s">
        <v>25</v>
      </c>
      <c r="K102" s="87">
        <f>GETPIVOTDATA("Sum of PM FIELD",'Pivot Table'!$A$124,"DAY","Tue")</f>
        <v>0</v>
      </c>
      <c r="L102" s="87"/>
      <c r="M102" s="89" t="e">
        <f>SUM(K102/L102)</f>
        <v>#DIV/0!</v>
      </c>
      <c r="N102" s="90"/>
      <c r="P102" s="105"/>
      <c r="Q102" s="86" t="s">
        <v>25</v>
      </c>
      <c r="R102" s="87">
        <f>GETPIVOTDATA("Sum of PM FIELD",'Pivot Table'!$A$136,"DAY","Tue")</f>
        <v>0</v>
      </c>
      <c r="S102" s="87"/>
      <c r="T102" s="89" t="e">
        <f>SUM(R102/S102)</f>
        <v>#DIV/0!</v>
      </c>
      <c r="U102" s="90"/>
    </row>
    <row r="103" spans="2:21" ht="20.25" thickTop="1" thickBot="1" x14ac:dyDescent="0.45">
      <c r="B103" s="70" t="s">
        <v>26</v>
      </c>
      <c r="C103" s="18"/>
      <c r="D103" s="19">
        <f>SUM(D101:D102)</f>
        <v>0</v>
      </c>
      <c r="E103" s="19">
        <f>SUM(E101:E102)</f>
        <v>0</v>
      </c>
      <c r="F103" s="20" t="e">
        <f>SUM(D103/E103)</f>
        <v>#DIV/0!</v>
      </c>
      <c r="G103" s="21"/>
      <c r="I103" s="70" t="s">
        <v>26</v>
      </c>
      <c r="J103" s="18"/>
      <c r="K103" s="19">
        <f>SUM(K100:K102)</f>
        <v>0</v>
      </c>
      <c r="L103" s="19">
        <f>SUM(L100:L102)</f>
        <v>0</v>
      </c>
      <c r="M103" s="20" t="e">
        <f>SUM(K103/L103)</f>
        <v>#DIV/0!</v>
      </c>
      <c r="N103" s="21"/>
      <c r="P103" s="70" t="s">
        <v>26</v>
      </c>
      <c r="Q103" s="18"/>
      <c r="R103" s="19">
        <f>SUM(R100:R102)</f>
        <v>0</v>
      </c>
      <c r="S103" s="19">
        <f>SUM(S100:S102)</f>
        <v>0</v>
      </c>
      <c r="T103" s="20" t="e">
        <f>SUM(R103/S103)</f>
        <v>#DIV/0!</v>
      </c>
      <c r="U103" s="21"/>
    </row>
    <row r="104" spans="2:21" ht="19.5" thickBot="1" x14ac:dyDescent="0.45">
      <c r="B104" s="5"/>
      <c r="C104" s="22"/>
      <c r="I104" s="5"/>
      <c r="J104" s="22"/>
      <c r="K104" s="4"/>
      <c r="L104" s="4"/>
      <c r="M104" s="4"/>
      <c r="P104" s="5"/>
      <c r="Q104" s="22"/>
      <c r="R104" s="4"/>
      <c r="S104" s="4"/>
      <c r="T104" s="4"/>
    </row>
    <row r="105" spans="2:21" x14ac:dyDescent="0.4">
      <c r="B105" s="104" t="s">
        <v>28</v>
      </c>
      <c r="C105" s="10" t="s">
        <v>24</v>
      </c>
      <c r="D105" s="11">
        <f>GETPIVOTDATA("Sum of AM FIELD",'Pivot Table'!$A$112,"DAY","Wed")</f>
        <v>0</v>
      </c>
      <c r="E105" s="11"/>
      <c r="F105" s="12" t="e">
        <f>SUM(D105/E105)</f>
        <v>#DIV/0!</v>
      </c>
      <c r="G105" s="13"/>
      <c r="I105" s="104" t="s">
        <v>28</v>
      </c>
      <c r="J105" s="10" t="s">
        <v>24</v>
      </c>
      <c r="K105" s="11">
        <f>GETPIVOTDATA("Sum of AM FIELD",'Pivot Table'!$A$124,"DAY","Wed")</f>
        <v>0</v>
      </c>
      <c r="L105" s="11"/>
      <c r="M105" s="12" t="e">
        <f>SUM(K105/L105)</f>
        <v>#DIV/0!</v>
      </c>
      <c r="N105" s="13"/>
      <c r="P105" s="104" t="s">
        <v>28</v>
      </c>
      <c r="Q105" s="10" t="s">
        <v>24</v>
      </c>
      <c r="R105" s="11">
        <f>GETPIVOTDATA("Sum of AM FIELD",'Pivot Table'!$A$136,"DAY","Wed")</f>
        <v>0</v>
      </c>
      <c r="S105" s="11"/>
      <c r="T105" s="12" t="e">
        <f>SUM(R105/S105)</f>
        <v>#DIV/0!</v>
      </c>
      <c r="U105" s="13"/>
    </row>
    <row r="106" spans="2:21" ht="19.5" thickBot="1" x14ac:dyDescent="0.45">
      <c r="B106" s="105"/>
      <c r="C106" s="86" t="s">
        <v>25</v>
      </c>
      <c r="D106" s="87">
        <f>GETPIVOTDATA("Sum of PM FIELD",'Pivot Table'!$A$112,"DAY","Wed")</f>
        <v>0</v>
      </c>
      <c r="E106" s="87"/>
      <c r="F106" s="89" t="e">
        <f>SUM(D106/E106)</f>
        <v>#DIV/0!</v>
      </c>
      <c r="G106" s="90"/>
      <c r="I106" s="105"/>
      <c r="J106" s="86" t="s">
        <v>25</v>
      </c>
      <c r="K106" s="87">
        <f>GETPIVOTDATA("Sum of PM FIELD",'Pivot Table'!$A$124,"DAY","Wed")</f>
        <v>0</v>
      </c>
      <c r="L106" s="87"/>
      <c r="M106" s="89" t="e">
        <f>SUM(K106/L106)</f>
        <v>#DIV/0!</v>
      </c>
      <c r="N106" s="90"/>
      <c r="P106" s="105"/>
      <c r="Q106" s="86" t="s">
        <v>25</v>
      </c>
      <c r="R106" s="87">
        <f>GETPIVOTDATA("Sum of PM FIELD",'Pivot Table'!$A$136,"DAY","Wed")</f>
        <v>0</v>
      </c>
      <c r="S106" s="87"/>
      <c r="T106" s="89" t="e">
        <f>SUM(R106/S106)</f>
        <v>#DIV/0!</v>
      </c>
      <c r="U106" s="90"/>
    </row>
    <row r="107" spans="2:21" ht="20.25" thickTop="1" thickBot="1" x14ac:dyDescent="0.45">
      <c r="B107" s="70" t="s">
        <v>26</v>
      </c>
      <c r="C107" s="18"/>
      <c r="D107" s="19">
        <f>SUM(D105:D106)</f>
        <v>0</v>
      </c>
      <c r="E107" s="19">
        <f>SUM(E105:E106)</f>
        <v>0</v>
      </c>
      <c r="F107" s="20" t="e">
        <f>SUM(D107/E107)</f>
        <v>#DIV/0!</v>
      </c>
      <c r="G107" s="21"/>
      <c r="I107" s="70" t="s">
        <v>26</v>
      </c>
      <c r="J107" s="18"/>
      <c r="K107" s="19">
        <f>SUM(K104:K106)</f>
        <v>0</v>
      </c>
      <c r="L107" s="19">
        <f>SUM(L104:L106)</f>
        <v>0</v>
      </c>
      <c r="M107" s="20" t="e">
        <f>SUM(K107/L107)</f>
        <v>#DIV/0!</v>
      </c>
      <c r="N107" s="21"/>
      <c r="P107" s="70" t="s">
        <v>26</v>
      </c>
      <c r="Q107" s="18"/>
      <c r="R107" s="19">
        <f>SUM(R104:R106)</f>
        <v>0</v>
      </c>
      <c r="S107" s="19">
        <f>SUM(S104:S106)</f>
        <v>0</v>
      </c>
      <c r="T107" s="20" t="e">
        <f>SUM(R107/S107)</f>
        <v>#DIV/0!</v>
      </c>
      <c r="U107" s="21"/>
    </row>
    <row r="108" spans="2:21" ht="19.5" thickBot="1" x14ac:dyDescent="0.45">
      <c r="B108" s="5"/>
      <c r="C108" s="22"/>
      <c r="I108" s="5"/>
      <c r="J108" s="22"/>
      <c r="K108" s="4"/>
      <c r="L108" s="4"/>
      <c r="M108" s="4"/>
      <c r="P108" s="5"/>
      <c r="Q108" s="22"/>
      <c r="R108" s="4"/>
      <c r="S108" s="4"/>
      <c r="T108" s="4"/>
    </row>
    <row r="109" spans="2:21" x14ac:dyDescent="0.4">
      <c r="B109" s="104" t="s">
        <v>29</v>
      </c>
      <c r="C109" s="10" t="s">
        <v>24</v>
      </c>
      <c r="D109" s="11">
        <f>GETPIVOTDATA("Sum of AM FIELD",'Pivot Table'!$A$112,"DAY","Thu")</f>
        <v>0</v>
      </c>
      <c r="E109" s="11"/>
      <c r="F109" s="12" t="e">
        <f>SUM(D109/E109)</f>
        <v>#DIV/0!</v>
      </c>
      <c r="G109" s="13"/>
      <c r="I109" s="104" t="s">
        <v>29</v>
      </c>
      <c r="J109" s="10" t="s">
        <v>24</v>
      </c>
      <c r="K109" s="11">
        <f>GETPIVOTDATA("Sum of AM FIELD",'Pivot Table'!$A$124,"DAY","Thu")</f>
        <v>0</v>
      </c>
      <c r="L109" s="11"/>
      <c r="M109" s="12" t="e">
        <f>SUM(K109/L109)</f>
        <v>#DIV/0!</v>
      </c>
      <c r="N109" s="13"/>
      <c r="P109" s="104" t="s">
        <v>29</v>
      </c>
      <c r="Q109" s="10" t="s">
        <v>24</v>
      </c>
      <c r="R109" s="11">
        <f>GETPIVOTDATA("Sum of AM FIELD",'Pivot Table'!$A$136,"DAY","Thu")</f>
        <v>0</v>
      </c>
      <c r="S109" s="11"/>
      <c r="T109" s="12" t="e">
        <f>SUM(R109/S109)</f>
        <v>#DIV/0!</v>
      </c>
      <c r="U109" s="13"/>
    </row>
    <row r="110" spans="2:21" ht="19.5" thickBot="1" x14ac:dyDescent="0.45">
      <c r="B110" s="105"/>
      <c r="C110" s="86" t="s">
        <v>25</v>
      </c>
      <c r="D110" s="87">
        <f>GETPIVOTDATA("Sum of PM FIELD",'Pivot Table'!$A$112,"DAY","Thu")</f>
        <v>0</v>
      </c>
      <c r="E110" s="87"/>
      <c r="F110" s="89" t="e">
        <f>SUM(D110/E110)</f>
        <v>#DIV/0!</v>
      </c>
      <c r="G110" s="90"/>
      <c r="I110" s="105"/>
      <c r="J110" s="86" t="s">
        <v>25</v>
      </c>
      <c r="K110" s="87">
        <f>GETPIVOTDATA("Sum of PM FIELD",'Pivot Table'!$A$124,"DAY","Thu")</f>
        <v>0</v>
      </c>
      <c r="L110" s="87"/>
      <c r="M110" s="89" t="e">
        <f>SUM(K110/L110)</f>
        <v>#DIV/0!</v>
      </c>
      <c r="N110" s="90"/>
      <c r="P110" s="105"/>
      <c r="Q110" s="86" t="s">
        <v>25</v>
      </c>
      <c r="R110" s="87">
        <f>GETPIVOTDATA("Sum of PM FIELD",'Pivot Table'!$A$136,"DAY","Thu")</f>
        <v>0</v>
      </c>
      <c r="S110" s="87"/>
      <c r="T110" s="89" t="e">
        <f>SUM(R110/S110)</f>
        <v>#DIV/0!</v>
      </c>
      <c r="U110" s="90"/>
    </row>
    <row r="111" spans="2:21" ht="20.25" thickTop="1" thickBot="1" x14ac:dyDescent="0.45">
      <c r="B111" s="70" t="s">
        <v>26</v>
      </c>
      <c r="C111" s="18"/>
      <c r="D111" s="19">
        <f>SUM(D109:D110)</f>
        <v>0</v>
      </c>
      <c r="E111" s="19">
        <f>SUM(E109:E110)</f>
        <v>0</v>
      </c>
      <c r="F111" s="20" t="e">
        <f>SUM(D111/E111)</f>
        <v>#DIV/0!</v>
      </c>
      <c r="G111" s="21"/>
      <c r="I111" s="70" t="s">
        <v>26</v>
      </c>
      <c r="J111" s="18"/>
      <c r="K111" s="19">
        <f>SUM(K108:K110)</f>
        <v>0</v>
      </c>
      <c r="L111" s="19">
        <f>SUM(L108:L110)</f>
        <v>0</v>
      </c>
      <c r="M111" s="20" t="e">
        <f>SUM(K111/L111)</f>
        <v>#DIV/0!</v>
      </c>
      <c r="N111" s="21"/>
      <c r="P111" s="70" t="s">
        <v>26</v>
      </c>
      <c r="Q111" s="18"/>
      <c r="R111" s="19">
        <f>SUM(R108:R110)</f>
        <v>0</v>
      </c>
      <c r="S111" s="19">
        <f>SUM(S108:S110)</f>
        <v>0</v>
      </c>
      <c r="T111" s="20" t="e">
        <f>SUM(R111/S111)</f>
        <v>#DIV/0!</v>
      </c>
      <c r="U111" s="21"/>
    </row>
    <row r="112" spans="2:21" ht="19.5" thickBot="1" x14ac:dyDescent="0.45">
      <c r="B112" s="5"/>
      <c r="C112" s="22"/>
      <c r="I112" s="5"/>
      <c r="J112" s="22"/>
      <c r="K112" s="4"/>
      <c r="L112" s="4"/>
      <c r="M112" s="4"/>
      <c r="P112" s="5"/>
      <c r="Q112" s="22"/>
      <c r="R112" s="4"/>
      <c r="S112" s="4"/>
      <c r="T112" s="4"/>
    </row>
    <row r="113" spans="2:21" x14ac:dyDescent="0.4">
      <c r="B113" s="104" t="s">
        <v>30</v>
      </c>
      <c r="C113" s="10" t="s">
        <v>24</v>
      </c>
      <c r="D113" s="11">
        <f>GETPIVOTDATA("Sum of AM FIELD",'Pivot Table'!$A$112,"DAY","Fri")</f>
        <v>0</v>
      </c>
      <c r="E113" s="11"/>
      <c r="F113" s="12" t="e">
        <f>SUM(D113/E113)</f>
        <v>#DIV/0!</v>
      </c>
      <c r="G113" s="13"/>
      <c r="I113" s="104" t="s">
        <v>30</v>
      </c>
      <c r="J113" s="10" t="s">
        <v>24</v>
      </c>
      <c r="K113" s="11">
        <f>GETPIVOTDATA("Sum of AM FIELD",'Pivot Table'!$A$124,"DAY","Fri")</f>
        <v>0</v>
      </c>
      <c r="L113" s="11"/>
      <c r="M113" s="12" t="e">
        <f>SUM(K113/L113)</f>
        <v>#DIV/0!</v>
      </c>
      <c r="N113" s="13"/>
      <c r="P113" s="104" t="s">
        <v>30</v>
      </c>
      <c r="Q113" s="10" t="s">
        <v>24</v>
      </c>
      <c r="R113" s="11">
        <f>GETPIVOTDATA("Sum of AM FIELD",'Pivot Table'!$A$136,"DAY","Fri")</f>
        <v>0</v>
      </c>
      <c r="S113" s="11"/>
      <c r="T113" s="12" t="e">
        <f>SUM(R113/S113)</f>
        <v>#DIV/0!</v>
      </c>
      <c r="U113" s="13"/>
    </row>
    <row r="114" spans="2:21" ht="19.5" thickBot="1" x14ac:dyDescent="0.45">
      <c r="B114" s="105"/>
      <c r="C114" s="86" t="s">
        <v>25</v>
      </c>
      <c r="D114" s="87">
        <f>GETPIVOTDATA("Sum of PM FIELD",'Pivot Table'!$A$112,"DAY","Fri")</f>
        <v>0</v>
      </c>
      <c r="E114" s="87"/>
      <c r="F114" s="89" t="e">
        <f>SUM(D114/E114)</f>
        <v>#DIV/0!</v>
      </c>
      <c r="G114" s="90"/>
      <c r="I114" s="105"/>
      <c r="J114" s="86" t="s">
        <v>25</v>
      </c>
      <c r="K114" s="87">
        <f>GETPIVOTDATA("Sum of PM FIELD",'Pivot Table'!$A$124,"DAY","Fri")</f>
        <v>0</v>
      </c>
      <c r="L114" s="87"/>
      <c r="M114" s="89" t="e">
        <f>SUM(K114/L114)</f>
        <v>#DIV/0!</v>
      </c>
      <c r="N114" s="90"/>
      <c r="P114" s="105"/>
      <c r="Q114" s="86" t="s">
        <v>25</v>
      </c>
      <c r="R114" s="87">
        <f>GETPIVOTDATA("Sum of PM FIELD",'Pivot Table'!$A$136,"DAY","Fri")</f>
        <v>0</v>
      </c>
      <c r="S114" s="87"/>
      <c r="T114" s="89" t="e">
        <f>SUM(R114/S114)</f>
        <v>#DIV/0!</v>
      </c>
      <c r="U114" s="90"/>
    </row>
    <row r="115" spans="2:21" ht="20.25" thickTop="1" thickBot="1" x14ac:dyDescent="0.45">
      <c r="B115" s="70" t="s">
        <v>26</v>
      </c>
      <c r="C115" s="18"/>
      <c r="D115" s="19">
        <f>SUM(D113:D114)</f>
        <v>0</v>
      </c>
      <c r="E115" s="19">
        <f>SUM(E113:E114)</f>
        <v>0</v>
      </c>
      <c r="F115" s="20" t="e">
        <f>SUM(D115/E115)</f>
        <v>#DIV/0!</v>
      </c>
      <c r="G115" s="21"/>
      <c r="I115" s="70" t="s">
        <v>26</v>
      </c>
      <c r="J115" s="18"/>
      <c r="K115" s="19">
        <f>SUM(K112:K114)</f>
        <v>0</v>
      </c>
      <c r="L115" s="19">
        <f>SUM(L112:L114)</f>
        <v>0</v>
      </c>
      <c r="M115" s="20" t="e">
        <f>SUM(K115/L115)</f>
        <v>#DIV/0!</v>
      </c>
      <c r="N115" s="21"/>
      <c r="P115" s="70" t="s">
        <v>26</v>
      </c>
      <c r="Q115" s="18"/>
      <c r="R115" s="19">
        <f>SUM(R112:R114)</f>
        <v>0</v>
      </c>
      <c r="S115" s="19">
        <f>SUM(S112:S114)</f>
        <v>0</v>
      </c>
      <c r="T115" s="20" t="e">
        <f>SUM(R115/S115)</f>
        <v>#DIV/0!</v>
      </c>
      <c r="U115" s="21"/>
    </row>
    <row r="116" spans="2:21" ht="19.5" thickBot="1" x14ac:dyDescent="0.45">
      <c r="B116" s="5"/>
      <c r="C116" s="22"/>
      <c r="I116" s="5"/>
      <c r="J116" s="22"/>
      <c r="K116" s="4"/>
      <c r="L116" s="4"/>
      <c r="M116" s="4"/>
      <c r="P116" s="5"/>
      <c r="Q116" s="22"/>
      <c r="R116" s="4"/>
      <c r="S116" s="4"/>
      <c r="T116" s="4"/>
    </row>
    <row r="117" spans="2:21" x14ac:dyDescent="0.4">
      <c r="B117" s="104" t="s">
        <v>31</v>
      </c>
      <c r="C117" s="10" t="s">
        <v>24</v>
      </c>
      <c r="D117" s="11">
        <f>GETPIVOTDATA("Sum of AM FIELD",'Pivot Table'!$A$112,"DAY","Sat")</f>
        <v>0</v>
      </c>
      <c r="E117" s="11"/>
      <c r="F117" s="12" t="e">
        <f>SUM(D117/E117)</f>
        <v>#DIV/0!</v>
      </c>
      <c r="G117" s="13"/>
      <c r="I117" s="104" t="s">
        <v>31</v>
      </c>
      <c r="J117" s="10" t="s">
        <v>24</v>
      </c>
      <c r="K117" s="11">
        <f>GETPIVOTDATA("Sum of AM FIELD",'Pivot Table'!$A$124,"DAY","Sat")</f>
        <v>0</v>
      </c>
      <c r="L117" s="11"/>
      <c r="M117" s="12" t="e">
        <f>SUM(K117/L117)</f>
        <v>#DIV/0!</v>
      </c>
      <c r="N117" s="13"/>
      <c r="P117" s="104" t="s">
        <v>31</v>
      </c>
      <c r="Q117" s="10" t="s">
        <v>24</v>
      </c>
      <c r="R117" s="11">
        <f>GETPIVOTDATA("Sum of AM FIELD",'Pivot Table'!$A$136,"DAY","Sat")</f>
        <v>0</v>
      </c>
      <c r="S117" s="11"/>
      <c r="T117" s="12" t="e">
        <f>SUM(R117/S117)</f>
        <v>#DIV/0!</v>
      </c>
      <c r="U117" s="13"/>
    </row>
    <row r="118" spans="2:21" ht="19.5" thickBot="1" x14ac:dyDescent="0.45">
      <c r="B118" s="105"/>
      <c r="C118" s="86" t="s">
        <v>25</v>
      </c>
      <c r="D118" s="87">
        <f>GETPIVOTDATA("Sum of PM FIELD",'Pivot Table'!$A$112,"DAY","Sat")</f>
        <v>0</v>
      </c>
      <c r="E118" s="87"/>
      <c r="F118" s="89" t="e">
        <f>SUM(D118/E118)</f>
        <v>#DIV/0!</v>
      </c>
      <c r="G118" s="90"/>
      <c r="I118" s="105"/>
      <c r="J118" s="86" t="s">
        <v>25</v>
      </c>
      <c r="K118" s="87">
        <f>GETPIVOTDATA("Sum of PM FIELD",'Pivot Table'!$A$124,"DAY","Sat")</f>
        <v>0</v>
      </c>
      <c r="L118" s="87"/>
      <c r="M118" s="89" t="e">
        <f>SUM(K118/L118)</f>
        <v>#DIV/0!</v>
      </c>
      <c r="N118" s="90"/>
      <c r="P118" s="105"/>
      <c r="Q118" s="86" t="s">
        <v>25</v>
      </c>
      <c r="R118" s="87">
        <f>GETPIVOTDATA("Sum of PM FIELD",'Pivot Table'!$A$136,"DAY","Sat")</f>
        <v>0</v>
      </c>
      <c r="S118" s="87"/>
      <c r="T118" s="89" t="e">
        <f>SUM(R118/S118)</f>
        <v>#DIV/0!</v>
      </c>
      <c r="U118" s="90"/>
    </row>
    <row r="119" spans="2:21" ht="20.25" thickTop="1" thickBot="1" x14ac:dyDescent="0.45">
      <c r="B119" s="70" t="s">
        <v>26</v>
      </c>
      <c r="C119" s="18"/>
      <c r="D119" s="19">
        <f>SUM(D117:D118)</f>
        <v>0</v>
      </c>
      <c r="E119" s="19">
        <f>SUM(E117:E118)</f>
        <v>0</v>
      </c>
      <c r="F119" s="20" t="e">
        <f>SUM(D119/E119)</f>
        <v>#DIV/0!</v>
      </c>
      <c r="G119" s="21"/>
      <c r="I119" s="70" t="s">
        <v>26</v>
      </c>
      <c r="J119" s="18"/>
      <c r="K119" s="19">
        <f>SUM(K116:K118)</f>
        <v>0</v>
      </c>
      <c r="L119" s="19">
        <f>SUM(L116:L118)</f>
        <v>0</v>
      </c>
      <c r="M119" s="20" t="e">
        <f>SUM(K119/L119)</f>
        <v>#DIV/0!</v>
      </c>
      <c r="N119" s="21"/>
      <c r="P119" s="70" t="s">
        <v>26</v>
      </c>
      <c r="Q119" s="18"/>
      <c r="R119" s="19">
        <f>SUM(R116:R118)</f>
        <v>0</v>
      </c>
      <c r="S119" s="19">
        <f>SUM(S116:S118)</f>
        <v>0</v>
      </c>
      <c r="T119" s="20" t="e">
        <f>SUM(R119/S119)</f>
        <v>#DIV/0!</v>
      </c>
      <c r="U119" s="21"/>
    </row>
    <row r="120" spans="2:21" ht="19.5" thickBot="1" x14ac:dyDescent="0.45">
      <c r="B120" s="5"/>
      <c r="C120" s="22"/>
      <c r="I120" s="5"/>
      <c r="J120" s="22"/>
      <c r="K120" s="4"/>
      <c r="L120" s="4"/>
      <c r="M120" s="4"/>
      <c r="P120" s="5"/>
      <c r="Q120" s="22"/>
      <c r="R120" s="4"/>
      <c r="S120" s="4"/>
      <c r="T120" s="4"/>
    </row>
    <row r="121" spans="2:21" x14ac:dyDescent="0.4">
      <c r="B121" s="104" t="s">
        <v>32</v>
      </c>
      <c r="C121" s="10" t="s">
        <v>24</v>
      </c>
      <c r="D121" s="11">
        <f>GETPIVOTDATA("Sum of AM FIELD",'Pivot Table'!$A$112,"DAY","Sun")</f>
        <v>0</v>
      </c>
      <c r="E121" s="11"/>
      <c r="F121" s="12" t="e">
        <f>SUM(D121/E121)</f>
        <v>#DIV/0!</v>
      </c>
      <c r="G121" s="13"/>
      <c r="I121" s="104" t="s">
        <v>32</v>
      </c>
      <c r="J121" s="10" t="s">
        <v>24</v>
      </c>
      <c r="K121" s="11">
        <f>GETPIVOTDATA("Sum of AM FIELD",'Pivot Table'!$A$124,"DAY","Sun")</f>
        <v>0</v>
      </c>
      <c r="L121" s="11"/>
      <c r="M121" s="12" t="e">
        <f>SUM(K121/L121)</f>
        <v>#DIV/0!</v>
      </c>
      <c r="N121" s="13"/>
      <c r="P121" s="104" t="s">
        <v>32</v>
      </c>
      <c r="Q121" s="10" t="s">
        <v>24</v>
      </c>
      <c r="R121" s="11">
        <f>GETPIVOTDATA("Sum of AM FIELD",'Pivot Table'!$A$136,"DAY","Sun")</f>
        <v>0</v>
      </c>
      <c r="S121" s="11"/>
      <c r="T121" s="12" t="e">
        <f>SUM(R121/S121)</f>
        <v>#DIV/0!</v>
      </c>
      <c r="U121" s="13"/>
    </row>
    <row r="122" spans="2:21" ht="19.5" thickBot="1" x14ac:dyDescent="0.45">
      <c r="B122" s="105"/>
      <c r="C122" s="86" t="s">
        <v>25</v>
      </c>
      <c r="D122" s="87">
        <f>GETPIVOTDATA("Sum of PM FIELD",'Pivot Table'!$A$112,"DAY","Sun")</f>
        <v>0</v>
      </c>
      <c r="E122" s="87"/>
      <c r="F122" s="89" t="e">
        <f>SUM(D122/E122)</f>
        <v>#DIV/0!</v>
      </c>
      <c r="G122" s="90"/>
      <c r="I122" s="105" t="s">
        <v>100</v>
      </c>
      <c r="J122" s="86" t="s">
        <v>25</v>
      </c>
      <c r="K122" s="87">
        <f>GETPIVOTDATA("Sum of PM FIELD",'Pivot Table'!$A$124,"DAY","Sun")</f>
        <v>0</v>
      </c>
      <c r="L122" s="87"/>
      <c r="M122" s="89" t="e">
        <f>SUM(K122/L122)</f>
        <v>#DIV/0!</v>
      </c>
      <c r="N122" s="90"/>
      <c r="P122" s="105" t="s">
        <v>100</v>
      </c>
      <c r="Q122" s="86" t="s">
        <v>25</v>
      </c>
      <c r="R122" s="87">
        <f>GETPIVOTDATA("Sum of PM Field",'Pivot Table'!$A$136,"DAY","Sun")</f>
        <v>0</v>
      </c>
      <c r="S122" s="87"/>
      <c r="T122" s="89" t="e">
        <f>SUM(R122/S122)</f>
        <v>#DIV/0!</v>
      </c>
      <c r="U122" s="90"/>
    </row>
    <row r="123" spans="2:21" ht="20.25" thickTop="1" thickBot="1" x14ac:dyDescent="0.45">
      <c r="B123" s="70" t="s">
        <v>26</v>
      </c>
      <c r="C123" s="18"/>
      <c r="D123" s="19">
        <f>SUM(D121:D122)</f>
        <v>0</v>
      </c>
      <c r="E123" s="19">
        <f>SUM(E121:E122)</f>
        <v>0</v>
      </c>
      <c r="F123" s="20" t="e">
        <f>SUM(D123/E123)</f>
        <v>#DIV/0!</v>
      </c>
      <c r="G123" s="21"/>
      <c r="I123" s="70" t="s">
        <v>26</v>
      </c>
      <c r="J123" s="18"/>
      <c r="K123" s="19">
        <f>SUM(K120:K122)</f>
        <v>0</v>
      </c>
      <c r="L123" s="19">
        <f>SUM(L120:L122)</f>
        <v>0</v>
      </c>
      <c r="M123" s="20" t="e">
        <f>SUM(K123/L123)</f>
        <v>#DIV/0!</v>
      </c>
      <c r="N123" s="21"/>
      <c r="P123" s="70" t="s">
        <v>26</v>
      </c>
      <c r="Q123" s="18"/>
      <c r="R123" s="19">
        <f>SUM(R120:R122)</f>
        <v>0</v>
      </c>
      <c r="S123" s="19">
        <f>SUM(S120:S122)</f>
        <v>0</v>
      </c>
      <c r="T123" s="20" t="e">
        <f>SUM(R123/S123)</f>
        <v>#DIV/0!</v>
      </c>
      <c r="U123" s="21"/>
    </row>
  </sheetData>
  <mergeCells count="84">
    <mergeCell ref="B121:B122"/>
    <mergeCell ref="I121:I122"/>
    <mergeCell ref="P121:P122"/>
    <mergeCell ref="I109:I110"/>
    <mergeCell ref="I113:I114"/>
    <mergeCell ref="I117:I118"/>
    <mergeCell ref="P117:P118"/>
    <mergeCell ref="P97:P98"/>
    <mergeCell ref="P101:P102"/>
    <mergeCell ref="P105:P106"/>
    <mergeCell ref="P109:P110"/>
    <mergeCell ref="P113:P114"/>
    <mergeCell ref="I105:I106"/>
    <mergeCell ref="B105:B106"/>
    <mergeCell ref="B109:B110"/>
    <mergeCell ref="B113:B114"/>
    <mergeCell ref="B117:B118"/>
    <mergeCell ref="B97:B98"/>
    <mergeCell ref="B101:B102"/>
    <mergeCell ref="I86:I87"/>
    <mergeCell ref="I90:I91"/>
    <mergeCell ref="I97:I98"/>
    <mergeCell ref="I101:I102"/>
    <mergeCell ref="B86:B87"/>
    <mergeCell ref="I59:I60"/>
    <mergeCell ref="I4:I5"/>
    <mergeCell ref="I8:I9"/>
    <mergeCell ref="I12:I13"/>
    <mergeCell ref="I16:I17"/>
    <mergeCell ref="I20:I21"/>
    <mergeCell ref="I24:I25"/>
    <mergeCell ref="I28:I29"/>
    <mergeCell ref="I35:I36"/>
    <mergeCell ref="I39:I40"/>
    <mergeCell ref="I43:I44"/>
    <mergeCell ref="I47:I48"/>
    <mergeCell ref="I51:I52"/>
    <mergeCell ref="I55:I56"/>
    <mergeCell ref="P28:P29"/>
    <mergeCell ref="P4:P5"/>
    <mergeCell ref="P8:P9"/>
    <mergeCell ref="P12:P13"/>
    <mergeCell ref="P16:P17"/>
    <mergeCell ref="P20:P21"/>
    <mergeCell ref="P24:P25"/>
    <mergeCell ref="P55:P56"/>
    <mergeCell ref="P59:P60"/>
    <mergeCell ref="P66:P67"/>
    <mergeCell ref="P70:P71"/>
    <mergeCell ref="P74:P75"/>
    <mergeCell ref="P35:P36"/>
    <mergeCell ref="P39:P40"/>
    <mergeCell ref="P43:P44"/>
    <mergeCell ref="P47:P48"/>
    <mergeCell ref="P51:P52"/>
    <mergeCell ref="P90:P91"/>
    <mergeCell ref="B66:B67"/>
    <mergeCell ref="B70:B71"/>
    <mergeCell ref="B74:B75"/>
    <mergeCell ref="B78:B79"/>
    <mergeCell ref="B82:B83"/>
    <mergeCell ref="B90:B91"/>
    <mergeCell ref="P86:P87"/>
    <mergeCell ref="P78:P79"/>
    <mergeCell ref="P82:P83"/>
    <mergeCell ref="I66:I67"/>
    <mergeCell ref="I70:I71"/>
    <mergeCell ref="I74:I75"/>
    <mergeCell ref="I78:I79"/>
    <mergeCell ref="I82:I83"/>
    <mergeCell ref="B28:B29"/>
    <mergeCell ref="B4:B5"/>
    <mergeCell ref="B8:B9"/>
    <mergeCell ref="B12:B13"/>
    <mergeCell ref="B16:B17"/>
    <mergeCell ref="B20:B21"/>
    <mergeCell ref="B24:B25"/>
    <mergeCell ref="B55:B56"/>
    <mergeCell ref="B59:B60"/>
    <mergeCell ref="B35:B36"/>
    <mergeCell ref="B39:B40"/>
    <mergeCell ref="B43:B44"/>
    <mergeCell ref="B47:B48"/>
    <mergeCell ref="B51:B52"/>
  </mergeCells>
  <pageMargins left="0.7" right="0.7" top="0.75" bottom="0.75" header="0.3" footer="0.3"/>
  <pageSetup paperSiz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5B38-B72D-43D1-B892-AE32FCB63AB8}">
  <dimension ref="B1:O54"/>
  <sheetViews>
    <sheetView showGridLines="0" zoomScale="80" zoomScaleNormal="80" workbookViewId="0">
      <selection activeCell="J8" sqref="J8:J9"/>
    </sheetView>
  </sheetViews>
  <sheetFormatPr defaultRowHeight="18.75" x14ac:dyDescent="0.25"/>
  <cols>
    <col min="1" max="1" width="9.140625" style="5"/>
    <col min="2" max="2" width="35.28515625" style="5" bestFit="1" customWidth="1"/>
    <col min="3" max="3" width="11.28515625" style="5" bestFit="1" customWidth="1"/>
    <col min="4" max="4" width="17.85546875" style="5" customWidth="1"/>
    <col min="5" max="5" width="16.5703125" style="5" bestFit="1" customWidth="1"/>
    <col min="6" max="6" width="18.140625" style="5" customWidth="1"/>
    <col min="7" max="7" width="10" style="5" bestFit="1" customWidth="1"/>
    <col min="8" max="9" width="9.140625" style="5"/>
    <col min="10" max="10" width="35.85546875" style="5" bestFit="1" customWidth="1"/>
    <col min="11" max="11" width="11.28515625" style="5" bestFit="1" customWidth="1"/>
    <col min="12" max="12" width="15.140625" style="5" customWidth="1"/>
    <col min="13" max="13" width="16.140625" style="5" customWidth="1"/>
    <col min="14" max="14" width="18.7109375" style="5" customWidth="1"/>
    <col min="15" max="15" width="10" style="5" bestFit="1" customWidth="1"/>
    <col min="16" max="16384" width="9.140625" style="5"/>
  </cols>
  <sheetData>
    <row r="1" spans="2:15" ht="19.5" thickBot="1" x14ac:dyDescent="0.3"/>
    <row r="2" spans="2:15" ht="53.25" thickBot="1" x14ac:dyDescent="0.3">
      <c r="B2" s="28" t="s">
        <v>96</v>
      </c>
      <c r="C2" s="29"/>
      <c r="D2" s="30" t="s">
        <v>18</v>
      </c>
      <c r="E2" s="30" t="s">
        <v>19</v>
      </c>
      <c r="F2" s="30" t="s">
        <v>81</v>
      </c>
      <c r="G2" s="29" t="s">
        <v>21</v>
      </c>
      <c r="J2" s="28" t="s">
        <v>97</v>
      </c>
      <c r="K2" s="29"/>
      <c r="L2" s="30" t="s">
        <v>18</v>
      </c>
      <c r="M2" s="30" t="s">
        <v>19</v>
      </c>
      <c r="N2" s="30" t="s">
        <v>81</v>
      </c>
      <c r="O2" s="29" t="s">
        <v>21</v>
      </c>
    </row>
    <row r="3" spans="2:15" ht="19.5" thickBot="1" x14ac:dyDescent="0.3">
      <c r="D3" s="48"/>
      <c r="E3" s="48"/>
      <c r="F3" s="48"/>
    </row>
    <row r="4" spans="2:15" x14ac:dyDescent="0.4">
      <c r="B4" s="104" t="s">
        <v>23</v>
      </c>
      <c r="C4" s="10" t="s">
        <v>24</v>
      </c>
      <c r="D4" s="11">
        <f>'Occupancy Report'!D4+'Occupancy Report'!K4+'Occupancy Report'!R4+'Occupancy Report'!D35+'Occupancy Report'!K35+'Occupancy Report'!R35+'Occupancy Report'!D66+'Occupancy Report'!K66+'Occupancy Report'!R66+'Occupancy Report'!D97+'Occupancy Report'!K97+'Occupancy Report'!R97</f>
        <v>445</v>
      </c>
      <c r="E4" s="11">
        <f>'Occupancy Report'!E4+'Occupancy Report'!L4+'Occupancy Report'!S4+'Occupancy Report'!E35+'Occupancy Report'!L35+'Occupancy Report'!S35+'Occupancy Report'!E66+'Occupancy Report'!L66+'Occupancy Report'!S66+'Occupancy Report'!E97+'Occupancy Report'!L97+'Occupancy Report'!S97</f>
        <v>556</v>
      </c>
      <c r="F4" s="12">
        <f>SUM(D4/E4)</f>
        <v>0.80035971223021585</v>
      </c>
      <c r="G4" s="13"/>
      <c r="J4" s="104" t="s">
        <v>8</v>
      </c>
      <c r="K4" s="10" t="s">
        <v>24</v>
      </c>
      <c r="L4" s="11">
        <f>GETPIVOTDATA("Sum of AM FIELD",'Pivot Table'!$A$4)</f>
        <v>2557</v>
      </c>
      <c r="M4" s="11">
        <f>'Occupancy Report'!E4+'Occupancy Report'!E8+'Occupancy Report'!E12+'Occupancy Report'!E16+'Occupancy Report'!E20+'Occupancy Report'!E24+'Occupancy Report'!E28</f>
        <v>3008</v>
      </c>
      <c r="N4" s="12">
        <f>SUM(L4/M4)</f>
        <v>0.85006648936170215</v>
      </c>
      <c r="O4" s="13"/>
    </row>
    <row r="5" spans="2:15" ht="19.5" thickBot="1" x14ac:dyDescent="0.45">
      <c r="B5" s="105"/>
      <c r="C5" s="86" t="s">
        <v>25</v>
      </c>
      <c r="D5" s="87">
        <f>'Occupancy Report'!D5+'Occupancy Report'!K5+'Occupancy Report'!R5+'Occupancy Report'!D36+'Occupancy Report'!K36+'Occupancy Report'!R36+'Occupancy Report'!D67+'Occupancy Report'!K67+'Occupancy Report'!R67+'Occupancy Report'!D98+'Occupancy Report'!K98+'Occupancy Report'!R98</f>
        <v>602</v>
      </c>
      <c r="E5" s="87">
        <f>'Occupancy Report'!E5+'Occupancy Report'!L5+'Occupancy Report'!S5+'Occupancy Report'!E36+'Occupancy Report'!L36+'Occupancy Report'!S36+'Occupancy Report'!E67+'Occupancy Report'!L67+'Occupancy Report'!S67+'Occupancy Report'!E98+'Occupancy Report'!L98+'Occupancy Report'!S98</f>
        <v>684</v>
      </c>
      <c r="F5" s="89">
        <f>SUM(D5/E5)</f>
        <v>0.88011695906432752</v>
      </c>
      <c r="G5" s="90"/>
      <c r="J5" s="105"/>
      <c r="K5" s="86" t="s">
        <v>25</v>
      </c>
      <c r="L5" s="87">
        <f>GETPIVOTDATA("Sum of PM FIELD",'Pivot Table'!$A$4)</f>
        <v>1728</v>
      </c>
      <c r="M5" s="87">
        <f>'Occupancy Report'!E5+'Occupancy Report'!E9+'Occupancy Report'!E13+'Occupancy Report'!E17+'Occupancy Report'!E21+'Occupancy Report'!E25+'Occupancy Report'!E29</f>
        <v>2572</v>
      </c>
      <c r="N5" s="89">
        <f>SUM(L5/M5)</f>
        <v>0.67185069984447898</v>
      </c>
      <c r="O5" s="90"/>
    </row>
    <row r="6" spans="2:15" ht="20.25" thickTop="1" thickBot="1" x14ac:dyDescent="0.45">
      <c r="B6" s="70" t="s">
        <v>26</v>
      </c>
      <c r="C6" s="18"/>
      <c r="D6" s="19">
        <f>SUM(D4:D5)</f>
        <v>1047</v>
      </c>
      <c r="E6" s="19">
        <f>SUM(E4:E5)</f>
        <v>1240</v>
      </c>
      <c r="F6" s="20">
        <f>SUM(D6/E6)</f>
        <v>0.84435483870967742</v>
      </c>
      <c r="G6" s="21"/>
      <c r="J6" s="70" t="s">
        <v>26</v>
      </c>
      <c r="K6" s="18"/>
      <c r="L6" s="19">
        <f>SUM(L4:L5)</f>
        <v>4285</v>
      </c>
      <c r="M6" s="19">
        <f>SUM(M4:M5)</f>
        <v>5580</v>
      </c>
      <c r="N6" s="20">
        <f>SUM(L6/M6)</f>
        <v>0.76792114695340496</v>
      </c>
      <c r="O6" s="21"/>
    </row>
    <row r="7" spans="2:15" ht="19.5" thickBot="1" x14ac:dyDescent="0.45">
      <c r="C7" s="22"/>
      <c r="D7" s="4"/>
      <c r="E7" s="4"/>
      <c r="F7" s="4"/>
      <c r="G7" s="2"/>
      <c r="K7" s="22"/>
      <c r="L7" s="4"/>
      <c r="M7" s="4"/>
      <c r="N7" s="4"/>
      <c r="O7" s="2"/>
    </row>
    <row r="8" spans="2:15" x14ac:dyDescent="0.4">
      <c r="B8" s="104" t="s">
        <v>27</v>
      </c>
      <c r="C8" s="10" t="s">
        <v>24</v>
      </c>
      <c r="D8" s="11">
        <f>'Occupancy Report'!D8+'Occupancy Report'!K8+'Occupancy Report'!R8+'Occupancy Report'!D39+'Occupancy Report'!K39+'Occupancy Report'!R39+'Occupancy Report'!D70+'Occupancy Report'!K70+'Occupancy Report'!R70+'Occupancy Report'!D101+'Occupancy Report'!K101+'Occupancy Report'!R101</f>
        <v>723</v>
      </c>
      <c r="E8" s="11">
        <f>'Occupancy Report'!E8+'Occupancy Report'!L8+'Occupancy Report'!S8+'Occupancy Report'!E39+'Occupancy Report'!L39+'Occupancy Report'!S39+'Occupancy Report'!E70+'Occupancy Report'!L70+'Occupancy Report'!S70+'Occupancy Report'!E101+'Occupancy Report'!L101+'Occupancy Report'!S101</f>
        <v>872</v>
      </c>
      <c r="F8" s="12">
        <f>SUM(D8/E8)</f>
        <v>0.82912844036697253</v>
      </c>
      <c r="G8" s="13"/>
      <c r="J8" s="104" t="s">
        <v>75</v>
      </c>
      <c r="K8" s="10" t="s">
        <v>24</v>
      </c>
      <c r="L8" s="11">
        <f>GETPIVOTDATA("Sum of AM FIELD",'Pivot Table'!$A$16)</f>
        <v>2293</v>
      </c>
      <c r="M8" s="11">
        <f>'Occupancy Report'!L4+'Occupancy Report'!L8+'Occupancy Report'!L12+'Occupancy Report'!L16+'Occupancy Report'!L20+'Occupancy Report'!L24+'Occupancy Report'!L28</f>
        <v>2548</v>
      </c>
      <c r="N8" s="12">
        <f>SUM(L8/M8)</f>
        <v>0.89992150706436425</v>
      </c>
      <c r="O8" s="13"/>
    </row>
    <row r="9" spans="2:15" ht="19.5" thickBot="1" x14ac:dyDescent="0.45">
      <c r="B9" s="105"/>
      <c r="C9" s="86" t="s">
        <v>25</v>
      </c>
      <c r="D9" s="87">
        <f>'Occupancy Report'!D9+'Occupancy Report'!K9+'Occupancy Report'!R9+'Occupancy Report'!D40+'Occupancy Report'!K40+'Occupancy Report'!R40+'Occupancy Report'!D71+'Occupancy Report'!K71+'Occupancy Report'!R71+'Occupancy Report'!D102+'Occupancy Report'!K102+'Occupancy Report'!R102</f>
        <v>113</v>
      </c>
      <c r="E9" s="87">
        <f>'Occupancy Report'!E9+'Occupancy Report'!L9+'Occupancy Report'!S9+'Occupancy Report'!E40+'Occupancy Report'!L40+'Occupancy Report'!S40+'Occupancy Report'!E71+'Occupancy Report'!L71+'Occupancy Report'!S71+'Occupancy Report'!E102+'Occupancy Report'!L102+'Occupancy Report'!S102</f>
        <v>616</v>
      </c>
      <c r="F9" s="89">
        <f>SUM(D9/E9)</f>
        <v>0.18344155844155843</v>
      </c>
      <c r="G9" s="90"/>
      <c r="J9" s="105"/>
      <c r="K9" s="86" t="s">
        <v>25</v>
      </c>
      <c r="L9" s="87">
        <f>GETPIVOTDATA("Sum of PM FIELD",'Pivot Table'!$A$16)</f>
        <v>1852</v>
      </c>
      <c r="M9" s="87">
        <f>'Occupancy Report'!L5+'Occupancy Report'!L9+'Occupancy Report'!L13+'Occupancy Report'!L17+'Occupancy Report'!L21+'Occupancy Report'!L25+'Occupancy Report'!L29</f>
        <v>2364</v>
      </c>
      <c r="N9" s="89">
        <f>SUM(L9/M9)</f>
        <v>0.78341793570219964</v>
      </c>
      <c r="O9" s="90"/>
    </row>
    <row r="10" spans="2:15" ht="20.25" thickTop="1" thickBot="1" x14ac:dyDescent="0.45">
      <c r="B10" s="70" t="s">
        <v>26</v>
      </c>
      <c r="C10" s="18"/>
      <c r="D10" s="19">
        <f>SUM(D8:D9)</f>
        <v>836</v>
      </c>
      <c r="E10" s="19">
        <f>SUM(E8:E9)</f>
        <v>1488</v>
      </c>
      <c r="F10" s="20">
        <f>SUM(D10/E10)</f>
        <v>0.56182795698924726</v>
      </c>
      <c r="G10" s="21"/>
      <c r="J10" s="70" t="s">
        <v>26</v>
      </c>
      <c r="K10" s="18"/>
      <c r="L10" s="19">
        <f>SUM(L8:L9)</f>
        <v>4145</v>
      </c>
      <c r="M10" s="19">
        <f>SUM(M8:M9)</f>
        <v>4912</v>
      </c>
      <c r="N10" s="20">
        <f>SUM(L10/M10)</f>
        <v>0.84385179153094458</v>
      </c>
      <c r="O10" s="21"/>
    </row>
    <row r="11" spans="2:15" ht="19.5" thickBot="1" x14ac:dyDescent="0.45">
      <c r="C11" s="22"/>
      <c r="D11" s="4"/>
      <c r="E11" s="4"/>
      <c r="F11" s="4"/>
      <c r="G11" s="2"/>
      <c r="K11" s="22"/>
      <c r="L11" s="4"/>
      <c r="M11" s="4"/>
      <c r="N11" s="4"/>
      <c r="O11" s="2"/>
    </row>
    <row r="12" spans="2:15" x14ac:dyDescent="0.4">
      <c r="B12" s="104" t="s">
        <v>28</v>
      </c>
      <c r="C12" s="10" t="s">
        <v>24</v>
      </c>
      <c r="D12" s="11">
        <f>'Occupancy Report'!D12+'Occupancy Report'!K12+'Occupancy Report'!R12+'Occupancy Report'!D43+'Occupancy Report'!K43+'Occupancy Report'!R43+'Occupancy Report'!D74+'Occupancy Report'!K74+'Occupancy Report'!R74+'Occupancy Report'!D105+'Occupancy Report'!K105+'Occupancy Report'!R105</f>
        <v>686</v>
      </c>
      <c r="E12" s="11">
        <f>'Occupancy Report'!E12+'Occupancy Report'!L12+'Occupancy Report'!S12+'Occupancy Report'!E43+'Occupancy Report'!L43+'Occupancy Report'!S43+'Occupancy Report'!E74+'Occupancy Report'!L74+'Occupancy Report'!S74+'Occupancy Report'!E105+'Occupancy Report'!L105+'Occupancy Report'!S105</f>
        <v>864</v>
      </c>
      <c r="F12" s="12">
        <f>SUM(D12/E12)</f>
        <v>0.79398148148148151</v>
      </c>
      <c r="G12" s="13"/>
      <c r="J12" s="104" t="s">
        <v>9</v>
      </c>
      <c r="K12" s="10" t="s">
        <v>24</v>
      </c>
      <c r="L12" s="11">
        <f>GETPIVOTDATA("Sum of AM FIELD",'Pivot Table'!$A$28)</f>
        <v>0</v>
      </c>
      <c r="M12" s="11">
        <f>'Occupancy Report'!S4+'Occupancy Report'!S8+'Occupancy Report'!S12+'Occupancy Report'!S16+'Occupancy Report'!S20+'Occupancy Report'!S24+'Occupancy Report'!S28</f>
        <v>0</v>
      </c>
      <c r="N12" s="12" t="e">
        <f>SUM(L12/M12)</f>
        <v>#DIV/0!</v>
      </c>
      <c r="O12" s="13"/>
    </row>
    <row r="13" spans="2:15" ht="19.5" thickBot="1" x14ac:dyDescent="0.45">
      <c r="B13" s="105"/>
      <c r="C13" s="86" t="s">
        <v>25</v>
      </c>
      <c r="D13" s="87">
        <f>'Occupancy Report'!D13+'Occupancy Report'!K13+'Occupancy Report'!R13+'Occupancy Report'!D44+'Occupancy Report'!K44+'Occupancy Report'!R44+'Occupancy Report'!D75+'Occupancy Report'!K75+'Occupancy Report'!R75+'Occupancy Report'!D106+'Occupancy Report'!K106+'Occupancy Report'!R106</f>
        <v>422</v>
      </c>
      <c r="E13" s="87">
        <f>'Occupancy Report'!E13+'Occupancy Report'!L13+'Occupancy Report'!S13+'Occupancy Report'!E44+'Occupancy Report'!L44+'Occupancy Report'!S44+'Occupancy Report'!E75+'Occupancy Report'!L75+'Occupancy Report'!S75+'Occupancy Report'!E106+'Occupancy Report'!L106+'Occupancy Report'!S106</f>
        <v>632</v>
      </c>
      <c r="F13" s="89">
        <f>SUM(D13/E13)</f>
        <v>0.66772151898734178</v>
      </c>
      <c r="G13" s="90"/>
      <c r="J13" s="105"/>
      <c r="K13" s="86" t="s">
        <v>25</v>
      </c>
      <c r="L13" s="87">
        <f>GETPIVOTDATA("Sum of PM FIELD",'Pivot Table'!$A$28)</f>
        <v>0</v>
      </c>
      <c r="M13" s="87">
        <f>'Occupancy Report'!S5+'Occupancy Report'!S9+'Occupancy Report'!S13+'Occupancy Report'!S17+'Occupancy Report'!S21+'Occupancy Report'!S25+'Occupancy Report'!S29</f>
        <v>0</v>
      </c>
      <c r="N13" s="89" t="e">
        <f>SUM(L13/M13)</f>
        <v>#DIV/0!</v>
      </c>
      <c r="O13" s="90"/>
    </row>
    <row r="14" spans="2:15" ht="20.25" thickTop="1" thickBot="1" x14ac:dyDescent="0.45">
      <c r="B14" s="70" t="s">
        <v>26</v>
      </c>
      <c r="C14" s="18"/>
      <c r="D14" s="19">
        <f>SUM(D12:D13)</f>
        <v>1108</v>
      </c>
      <c r="E14" s="19">
        <f>SUM(E12:E13)</f>
        <v>1496</v>
      </c>
      <c r="F14" s="20">
        <f>SUM(D14/E14)</f>
        <v>0.74064171122994649</v>
      </c>
      <c r="G14" s="21"/>
      <c r="J14" s="70" t="s">
        <v>26</v>
      </c>
      <c r="K14" s="18"/>
      <c r="L14" s="19">
        <f>SUM(L12:L13)</f>
        <v>0</v>
      </c>
      <c r="M14" s="19">
        <f>SUM(M12:M13)</f>
        <v>0</v>
      </c>
      <c r="N14" s="20" t="e">
        <f>SUM(L14/M14)</f>
        <v>#DIV/0!</v>
      </c>
      <c r="O14" s="21"/>
    </row>
    <row r="15" spans="2:15" ht="19.5" thickBot="1" x14ac:dyDescent="0.45">
      <c r="C15" s="22"/>
      <c r="D15" s="4"/>
      <c r="E15" s="4"/>
      <c r="F15" s="4"/>
      <c r="G15" s="2"/>
      <c r="K15" s="22"/>
      <c r="L15" s="4"/>
      <c r="M15" s="4"/>
      <c r="N15" s="4"/>
      <c r="O15" s="2"/>
    </row>
    <row r="16" spans="2:15" x14ac:dyDescent="0.4">
      <c r="B16" s="104" t="s">
        <v>29</v>
      </c>
      <c r="C16" s="10" t="s">
        <v>24</v>
      </c>
      <c r="D16" s="11">
        <f>'Occupancy Report'!D16+'Occupancy Report'!K16+'Occupancy Report'!R16+'Occupancy Report'!D47+'Occupancy Report'!K47+'Occupancy Report'!R47+'Occupancy Report'!D78+'Occupancy Report'!K78+'Occupancy Report'!R78+'Occupancy Report'!D109+'Occupancy Report'!K109+'Occupancy Report'!R109</f>
        <v>734</v>
      </c>
      <c r="E16" s="11">
        <f>'Occupancy Report'!E16+'Occupancy Report'!L16+'Occupancy Report'!S16+'Occupancy Report'!E47+'Occupancy Report'!L47+'Occupancy Report'!S47+'Occupancy Report'!E78+'Occupancy Report'!L78+'Occupancy Report'!S78+'Occupancy Report'!E109+'Occupancy Report'!L109+'Occupancy Report'!S109</f>
        <v>800</v>
      </c>
      <c r="F16" s="12">
        <f>SUM(D16/E16)</f>
        <v>0.91749999999999998</v>
      </c>
      <c r="G16" s="13"/>
      <c r="J16" s="104" t="s">
        <v>10</v>
      </c>
      <c r="K16" s="10" t="s">
        <v>24</v>
      </c>
      <c r="L16" s="11">
        <f>GETPIVOTDATA("Sum of AM FIELD",'Pivot Table'!$A$40)</f>
        <v>0</v>
      </c>
      <c r="M16" s="11">
        <f>'Occupancy Report'!E35+'Occupancy Report'!E39+'Occupancy Report'!E43+'Occupancy Report'!E47+'Occupancy Report'!E51+'Occupancy Report'!E55+'Occupancy Report'!E59</f>
        <v>0</v>
      </c>
      <c r="N16" s="12" t="e">
        <f>SUM(L16/M16)</f>
        <v>#DIV/0!</v>
      </c>
      <c r="O16" s="13"/>
    </row>
    <row r="17" spans="2:15" ht="19.5" thickBot="1" x14ac:dyDescent="0.45">
      <c r="B17" s="105"/>
      <c r="C17" s="86" t="s">
        <v>25</v>
      </c>
      <c r="D17" s="87">
        <f>'Occupancy Report'!D17+'Occupancy Report'!K17+'Occupancy Report'!R17+'Occupancy Report'!D48+'Occupancy Report'!K48+'Occupancy Report'!R48+'Occupancy Report'!D79+'Occupancy Report'!K79+'Occupancy Report'!R79+'Occupancy Report'!D110+'Occupancy Report'!K110+'Occupancy Report'!R110</f>
        <v>665</v>
      </c>
      <c r="E17" s="87">
        <f>'Occupancy Report'!E17+'Occupancy Report'!L17+'Occupancy Report'!S17+'Occupancy Report'!E48+'Occupancy Report'!L48+'Occupancy Report'!S48+'Occupancy Report'!E79+'Occupancy Report'!L79+'Occupancy Report'!S79+'Occupancy Report'!E110+'Occupancy Report'!L110+'Occupancy Report'!S110</f>
        <v>792</v>
      </c>
      <c r="F17" s="89">
        <f>SUM(D17/E17)</f>
        <v>0.83964646464646464</v>
      </c>
      <c r="G17" s="90"/>
      <c r="J17" s="105"/>
      <c r="K17" s="86" t="s">
        <v>25</v>
      </c>
      <c r="L17" s="87">
        <f>GETPIVOTDATA("Sum of PM FIELD",'Pivot Table'!$A$40)</f>
        <v>0</v>
      </c>
      <c r="M17" s="87">
        <f>'Occupancy Report'!E36+'Occupancy Report'!E40+'Occupancy Report'!E44+'Occupancy Report'!E48+'Occupancy Report'!E52+'Occupancy Report'!E56+'Occupancy Report'!E60</f>
        <v>0</v>
      </c>
      <c r="N17" s="89" t="e">
        <f>SUM(L17/M17)</f>
        <v>#DIV/0!</v>
      </c>
      <c r="O17" s="90"/>
    </row>
    <row r="18" spans="2:15" ht="20.25" thickTop="1" thickBot="1" x14ac:dyDescent="0.45">
      <c r="B18" s="70" t="s">
        <v>26</v>
      </c>
      <c r="C18" s="18"/>
      <c r="D18" s="19">
        <f>SUM(D16:D17)</f>
        <v>1399</v>
      </c>
      <c r="E18" s="19">
        <f>SUM(E16:E17)</f>
        <v>1592</v>
      </c>
      <c r="F18" s="20">
        <f>SUM(D18/E18)</f>
        <v>0.87876884422110557</v>
      </c>
      <c r="G18" s="21"/>
      <c r="J18" s="70" t="s">
        <v>26</v>
      </c>
      <c r="K18" s="18"/>
      <c r="L18" s="19">
        <f>SUM(L16:L17)</f>
        <v>0</v>
      </c>
      <c r="M18" s="19">
        <f>SUM(M16:M17)</f>
        <v>0</v>
      </c>
      <c r="N18" s="20" t="e">
        <f>SUM(L18/M18)</f>
        <v>#DIV/0!</v>
      </c>
      <c r="O18" s="21"/>
    </row>
    <row r="19" spans="2:15" ht="19.5" thickBot="1" x14ac:dyDescent="0.45">
      <c r="C19" s="22"/>
      <c r="D19" s="4"/>
      <c r="E19" s="4"/>
      <c r="F19" s="4"/>
      <c r="G19" s="2"/>
      <c r="K19" s="22"/>
      <c r="L19" s="4"/>
      <c r="M19" s="4"/>
      <c r="N19" s="4"/>
      <c r="O19" s="2"/>
    </row>
    <row r="20" spans="2:15" x14ac:dyDescent="0.4">
      <c r="B20" s="104" t="s">
        <v>30</v>
      </c>
      <c r="C20" s="10" t="s">
        <v>24</v>
      </c>
      <c r="D20" s="11">
        <f>'Occupancy Report'!D20+'Occupancy Report'!K20+'Occupancy Report'!R20+'Occupancy Report'!D51+'Occupancy Report'!K51+'Occupancy Report'!R51+'Occupancy Report'!D82+'Occupancy Report'!K82+'Occupancy Report'!R82+'Occupancy Report'!D113+'Occupancy Report'!K113+'Occupancy Report'!R113</f>
        <v>751</v>
      </c>
      <c r="E20" s="11">
        <f>'Occupancy Report'!E20+'Occupancy Report'!L20+'Occupancy Report'!S20+'Occupancy Report'!E51+'Occupancy Report'!L51+'Occupancy Report'!S51+'Occupancy Report'!E82+'Occupancy Report'!L82+'Occupancy Report'!S82+'Occupancy Report'!E113+'Occupancy Report'!L113+'Occupancy Report'!S113</f>
        <v>860</v>
      </c>
      <c r="F20" s="12">
        <f>SUM(D20/E20)</f>
        <v>0.87325581395348839</v>
      </c>
      <c r="G20" s="13"/>
      <c r="J20" s="104" t="s">
        <v>11</v>
      </c>
      <c r="K20" s="10" t="s">
        <v>24</v>
      </c>
      <c r="L20" s="11">
        <f>GETPIVOTDATA("Sum of AM FIELD",'Pivot Table'!$A$52)</f>
        <v>0</v>
      </c>
      <c r="M20" s="11">
        <f>'Occupancy Report'!L35+'Occupancy Report'!L39+'Occupancy Report'!L43+'Occupancy Report'!L47+'Occupancy Report'!L51+'Occupancy Report'!L55+'Occupancy Report'!L59</f>
        <v>0</v>
      </c>
      <c r="N20" s="12" t="e">
        <f>SUM(L20/M20)</f>
        <v>#DIV/0!</v>
      </c>
      <c r="O20" s="13"/>
    </row>
    <row r="21" spans="2:15" ht="19.5" thickBot="1" x14ac:dyDescent="0.45">
      <c r="B21" s="105"/>
      <c r="C21" s="86" t="s">
        <v>25</v>
      </c>
      <c r="D21" s="87">
        <f>'Occupancy Report'!D21+'Occupancy Report'!K21+'Occupancy Report'!R21+'Occupancy Report'!D52+'Occupancy Report'!K52+'Occupancy Report'!R52+'Occupancy Report'!D83+'Occupancy Report'!K83+'Occupancy Report'!R83+'Occupancy Report'!D114+'Occupancy Report'!K114+'Occupancy Report'!R114</f>
        <v>559</v>
      </c>
      <c r="E21" s="87">
        <f>'Occupancy Report'!E21+'Occupancy Report'!L21+'Occupancy Report'!S21+'Occupancy Report'!E52+'Occupancy Report'!L52+'Occupancy Report'!S52+'Occupancy Report'!E83+'Occupancy Report'!L83+'Occupancy Report'!S83+'Occupancy Report'!E114+'Occupancy Report'!L114+'Occupancy Report'!S114</f>
        <v>708</v>
      </c>
      <c r="F21" s="89">
        <f>SUM(D21/E21)</f>
        <v>0.78954802259887003</v>
      </c>
      <c r="G21" s="90"/>
      <c r="J21" s="105"/>
      <c r="K21" s="86" t="s">
        <v>25</v>
      </c>
      <c r="L21" s="87">
        <f>GETPIVOTDATA("Sum of PM FIELD",'Pivot Table'!$A$52)</f>
        <v>0</v>
      </c>
      <c r="M21" s="87">
        <f>'Occupancy Report'!L60+'Occupancy Report'!L56+'Occupancy Report'!L52+'Occupancy Report'!L48+'Occupancy Report'!L44+'Occupancy Report'!L40+'Occupancy Report'!L36</f>
        <v>0</v>
      </c>
      <c r="N21" s="89" t="e">
        <f>SUM(L21/M21)</f>
        <v>#DIV/0!</v>
      </c>
      <c r="O21" s="90"/>
    </row>
    <row r="22" spans="2:15" ht="20.25" thickTop="1" thickBot="1" x14ac:dyDescent="0.45">
      <c r="B22" s="70" t="s">
        <v>26</v>
      </c>
      <c r="C22" s="18"/>
      <c r="D22" s="19">
        <f>SUM(D20:D21)</f>
        <v>1310</v>
      </c>
      <c r="E22" s="19">
        <f>SUM(E20:E21)</f>
        <v>1568</v>
      </c>
      <c r="F22" s="20">
        <f>SUM(D22/E22)</f>
        <v>0.83545918367346939</v>
      </c>
      <c r="G22" s="21"/>
      <c r="J22" s="70" t="s">
        <v>26</v>
      </c>
      <c r="K22" s="18"/>
      <c r="L22" s="19">
        <f>SUM(L20:L21)</f>
        <v>0</v>
      </c>
      <c r="M22" s="19">
        <f>SUM(M20:M21)</f>
        <v>0</v>
      </c>
      <c r="N22" s="20" t="e">
        <f>SUM(L22/M22)</f>
        <v>#DIV/0!</v>
      </c>
      <c r="O22" s="21"/>
    </row>
    <row r="23" spans="2:15" ht="19.5" thickBot="1" x14ac:dyDescent="0.45">
      <c r="C23" s="22"/>
      <c r="D23" s="4"/>
      <c r="E23" s="4"/>
      <c r="F23" s="4"/>
      <c r="G23" s="2"/>
      <c r="K23" s="22"/>
      <c r="L23" s="4"/>
      <c r="M23" s="4"/>
      <c r="N23" s="4"/>
      <c r="O23" s="2"/>
    </row>
    <row r="24" spans="2:15" x14ac:dyDescent="0.4">
      <c r="B24" s="104" t="s">
        <v>31</v>
      </c>
      <c r="C24" s="10" t="s">
        <v>24</v>
      </c>
      <c r="D24" s="11">
        <f>'Occupancy Report'!D24+'Occupancy Report'!K24+'Occupancy Report'!R24+'Occupancy Report'!D55+'Occupancy Report'!K55+'Occupancy Report'!R55+'Occupancy Report'!D86+'Occupancy Report'!K86+'Occupancy Report'!R86+'Occupancy Report'!D117+'Occupancy Report'!K117+'Occupancy Report'!R117</f>
        <v>787</v>
      </c>
      <c r="E24" s="11">
        <f>'Occupancy Report'!E24+'Occupancy Report'!L24+'Occupancy Report'!S24+'Occupancy Report'!E55+'Occupancy Report'!L55+'Occupancy Report'!S55+'Occupancy Report'!E86+'Occupancy Report'!L86+'Occupancy Report'!S86+'Occupancy Report'!E117+'Occupancy Report'!L117+'Occupancy Report'!S117</f>
        <v>836</v>
      </c>
      <c r="F24" s="12">
        <f>SUM(D24/E24)</f>
        <v>0.94138755980861244</v>
      </c>
      <c r="G24" s="13"/>
      <c r="J24" s="104" t="s">
        <v>12</v>
      </c>
      <c r="K24" s="10" t="s">
        <v>24</v>
      </c>
      <c r="L24" s="11">
        <f>GETPIVOTDATA("Sum of AM FIELD",'Pivot Table'!$A$64)</f>
        <v>0</v>
      </c>
      <c r="M24" s="11">
        <f>'Occupancy Report'!S35+'Occupancy Report'!S39+'Occupancy Report'!S43+'Occupancy Report'!S47+'Occupancy Report'!S51+'Occupancy Report'!S55+'Occupancy Report'!S59</f>
        <v>0</v>
      </c>
      <c r="N24" s="12" t="e">
        <f>SUM(L24/M24)</f>
        <v>#DIV/0!</v>
      </c>
      <c r="O24" s="13"/>
    </row>
    <row r="25" spans="2:15" ht="19.5" thickBot="1" x14ac:dyDescent="0.45">
      <c r="B25" s="105"/>
      <c r="C25" s="86" t="s">
        <v>25</v>
      </c>
      <c r="D25" s="87">
        <f>'Occupancy Report'!D25+'Occupancy Report'!K25+'Occupancy Report'!R25+'Occupancy Report'!D56+'Occupancy Report'!K56+'Occupancy Report'!R56+'Occupancy Report'!D87+'Occupancy Report'!K87+'Occupancy Report'!R87+'Occupancy Report'!D118+'Occupancy Report'!K118+'Occupancy Report'!R118</f>
        <v>584</v>
      </c>
      <c r="E25" s="87">
        <f>'Occupancy Report'!E25+'Occupancy Report'!L25+'Occupancy Report'!S25+'Occupancy Report'!E56+'Occupancy Report'!L56+'Occupancy Report'!S56+'Occupancy Report'!E87+'Occupancy Report'!L87+'Occupancy Report'!S87+'Occupancy Report'!E118+'Occupancy Report'!L118+'Occupancy Report'!S118</f>
        <v>800</v>
      </c>
      <c r="F25" s="89">
        <f>SUM(D25/E25)</f>
        <v>0.73</v>
      </c>
      <c r="G25" s="90"/>
      <c r="J25" s="105"/>
      <c r="K25" s="86" t="s">
        <v>25</v>
      </c>
      <c r="L25" s="87">
        <f>GETPIVOTDATA("Sum of PM FIELD",'Pivot Table'!$A$64)</f>
        <v>0</v>
      </c>
      <c r="M25" s="87">
        <f>'Occupancy Report'!S36+'Occupancy Report'!S40+'Occupancy Report'!S44+'Occupancy Report'!S48+'Occupancy Report'!S52+'Occupancy Report'!S56+'Occupancy Report'!S60</f>
        <v>0</v>
      </c>
      <c r="N25" s="89" t="e">
        <f>SUM(L25/M25)</f>
        <v>#DIV/0!</v>
      </c>
      <c r="O25" s="90"/>
    </row>
    <row r="26" spans="2:15" ht="20.25" thickTop="1" thickBot="1" x14ac:dyDescent="0.45">
      <c r="B26" s="70" t="s">
        <v>26</v>
      </c>
      <c r="C26" s="18"/>
      <c r="D26" s="19">
        <f>SUM(D24:D25)</f>
        <v>1371</v>
      </c>
      <c r="E26" s="19">
        <f>SUM(E24:E25)</f>
        <v>1636</v>
      </c>
      <c r="F26" s="20">
        <f>SUM(D26/E26)</f>
        <v>0.83801955990220045</v>
      </c>
      <c r="G26" s="21"/>
      <c r="J26" s="70" t="s">
        <v>26</v>
      </c>
      <c r="K26" s="18"/>
      <c r="L26" s="19">
        <f>SUM(L24:L25)</f>
        <v>0</v>
      </c>
      <c r="M26" s="19">
        <f>SUM(M24:M25)</f>
        <v>0</v>
      </c>
      <c r="N26" s="20" t="e">
        <f>SUM(L26/M26)</f>
        <v>#DIV/0!</v>
      </c>
      <c r="O26" s="21"/>
    </row>
    <row r="27" spans="2:15" ht="19.5" thickBot="1" x14ac:dyDescent="0.45">
      <c r="C27" s="22"/>
      <c r="D27" s="4"/>
      <c r="E27" s="4"/>
      <c r="F27" s="4"/>
      <c r="G27" s="2"/>
      <c r="K27" s="22"/>
      <c r="L27" s="4"/>
      <c r="M27" s="4"/>
      <c r="N27" s="4"/>
      <c r="O27" s="2"/>
    </row>
    <row r="28" spans="2:15" x14ac:dyDescent="0.4">
      <c r="B28" s="104" t="s">
        <v>32</v>
      </c>
      <c r="C28" s="10" t="s">
        <v>24</v>
      </c>
      <c r="D28" s="11">
        <f>'Occupancy Report'!D28+'Occupancy Report'!K28+'Occupancy Report'!R28+'Occupancy Report'!D59+'Occupancy Report'!K59+'Occupancy Report'!R59+'Occupancy Report'!D90+'Occupancy Report'!K90+'Occupancy Report'!R90+'Occupancy Report'!D121+'Occupancy Report'!K121+'Occupancy Report'!R121</f>
        <v>724</v>
      </c>
      <c r="E28" s="11">
        <f>'Occupancy Report'!E28+'Occupancy Report'!L28+'Occupancy Report'!S28+'Occupancy Report'!E59+'Occupancy Report'!L59+'Occupancy Report'!S59+'Occupancy Report'!E90+'Occupancy Report'!L90+'Occupancy Report'!S90+'Occupancy Report'!E121+'Occupancy Report'!L121+'Occupancy Report'!S121</f>
        <v>768</v>
      </c>
      <c r="F28" s="12">
        <f>SUM(D28/E28)</f>
        <v>0.94270833333333337</v>
      </c>
      <c r="G28" s="13"/>
      <c r="J28" s="104" t="s">
        <v>13</v>
      </c>
      <c r="K28" s="10" t="s">
        <v>24</v>
      </c>
      <c r="L28" s="11">
        <f>GETPIVOTDATA("Sum of AM FIELD",'Pivot Table'!$A$76)</f>
        <v>0</v>
      </c>
      <c r="M28" s="11">
        <f>'Occupancy Report'!E66+'Occupancy Report'!E70+'Occupancy Report'!E74+'Occupancy Report'!E78+'Occupancy Report'!E82+'Occupancy Report'!E86+'Occupancy Report'!E90</f>
        <v>0</v>
      </c>
      <c r="N28" s="12" t="e">
        <f>SUM(L28/M28)</f>
        <v>#DIV/0!</v>
      </c>
      <c r="O28" s="13"/>
    </row>
    <row r="29" spans="2:15" ht="19.5" thickBot="1" x14ac:dyDescent="0.45">
      <c r="B29" s="105"/>
      <c r="C29" s="86" t="s">
        <v>25</v>
      </c>
      <c r="D29" s="87">
        <f>'Occupancy Report'!D29+'Occupancy Report'!K29+'Occupancy Report'!R29+'Occupancy Report'!D60+'Occupancy Report'!K60+'Occupancy Report'!R60+'Occupancy Report'!D91+'Occupancy Report'!K91+'Occupancy Report'!R91+'Occupancy Report'!D122+'Occupancy Report'!K122+'Occupancy Report'!R122</f>
        <v>635</v>
      </c>
      <c r="E29" s="87">
        <f>'Occupancy Report'!E29+'Occupancy Report'!L29+'Occupancy Report'!S29+'Occupancy Report'!E60+'Occupancy Report'!L60+'Occupancy Report'!S60+'Occupancy Report'!E91+'Occupancy Report'!L91+'Occupancy Report'!S91+'Occupancy Report'!E122+'Occupancy Report'!L122+'Occupancy Report'!S122</f>
        <v>704</v>
      </c>
      <c r="F29" s="89">
        <f>SUM(D29/E29)</f>
        <v>0.90198863636363635</v>
      </c>
      <c r="G29" s="90"/>
      <c r="J29" s="105"/>
      <c r="K29" s="86" t="s">
        <v>25</v>
      </c>
      <c r="L29" s="87">
        <f>GETPIVOTDATA("Sum of PM FIELD",'Pivot Table'!$A$76)</f>
        <v>0</v>
      </c>
      <c r="M29" s="87">
        <f>'Occupancy Report'!E67+'Occupancy Report'!E71+'Occupancy Report'!E75+'Occupancy Report'!E79+'Occupancy Report'!E83++'Occupancy Report'!E87+'Occupancy Report'!E91</f>
        <v>0</v>
      </c>
      <c r="N29" s="89" t="e">
        <f>SUM(L29/M29)</f>
        <v>#DIV/0!</v>
      </c>
      <c r="O29" s="90"/>
    </row>
    <row r="30" spans="2:15" ht="20.25" thickTop="1" thickBot="1" x14ac:dyDescent="0.45">
      <c r="B30" s="70" t="s">
        <v>26</v>
      </c>
      <c r="C30" s="18"/>
      <c r="D30" s="19">
        <f>SUM(D28:D29)</f>
        <v>1359</v>
      </c>
      <c r="E30" s="19">
        <f>SUM(E28:E29)</f>
        <v>1472</v>
      </c>
      <c r="F30" s="20">
        <f>SUM(D30/E30)</f>
        <v>0.92323369565217395</v>
      </c>
      <c r="G30" s="21"/>
      <c r="J30" s="70" t="s">
        <v>26</v>
      </c>
      <c r="K30" s="18"/>
      <c r="L30" s="19">
        <f>SUM(L28:L29)</f>
        <v>0</v>
      </c>
      <c r="M30" s="19">
        <f>SUM(M28:M29)</f>
        <v>0</v>
      </c>
      <c r="N30" s="20" t="e">
        <f>SUM(L30/M30)</f>
        <v>#DIV/0!</v>
      </c>
      <c r="O30" s="21"/>
    </row>
    <row r="31" spans="2:15" ht="19.5" thickBot="1" x14ac:dyDescent="0.3">
      <c r="B31" s="97"/>
      <c r="C31" s="97"/>
      <c r="D31" s="97"/>
      <c r="E31" s="97"/>
      <c r="F31" s="97"/>
      <c r="G31" s="97"/>
      <c r="N31" s="52"/>
    </row>
    <row r="32" spans="2:15" x14ac:dyDescent="0.4">
      <c r="B32" s="97"/>
      <c r="C32" s="97"/>
      <c r="D32" s="97"/>
      <c r="E32" s="97"/>
      <c r="F32" s="97"/>
      <c r="G32" s="97"/>
      <c r="J32" s="104" t="s">
        <v>14</v>
      </c>
      <c r="K32" s="10" t="s">
        <v>24</v>
      </c>
      <c r="L32" s="11">
        <f>GETPIVOTDATA("Sum of AM FIELD",'Pivot Table'!$A$88)</f>
        <v>0</v>
      </c>
      <c r="M32" s="11">
        <f>'Occupancy Report'!L66+'Occupancy Report'!L70+'Occupancy Report'!L74+'Occupancy Report'!L78+'Occupancy Report'!L82+'Occupancy Report'!L86+'Occupancy Report'!L90</f>
        <v>0</v>
      </c>
      <c r="N32" s="12" t="e">
        <f>SUM(L32/M32)</f>
        <v>#DIV/0!</v>
      </c>
      <c r="O32" s="13"/>
    </row>
    <row r="33" spans="10:15" ht="19.5" thickBot="1" x14ac:dyDescent="0.45">
      <c r="J33" s="105"/>
      <c r="K33" s="86" t="s">
        <v>25</v>
      </c>
      <c r="L33" s="87">
        <f>GETPIVOTDATA("Sum of PM FIELD",'Pivot Table'!$A$88)</f>
        <v>0</v>
      </c>
      <c r="M33" s="87">
        <f>'Occupancy Report'!L67+'Occupancy Report'!L71+'Occupancy Report'!L75+'Occupancy Report'!L79+'Occupancy Report'!L83+'Occupancy Report'!L87+'Occupancy Report'!L91</f>
        <v>0</v>
      </c>
      <c r="N33" s="89" t="e">
        <f>SUM(L33/M33)</f>
        <v>#DIV/0!</v>
      </c>
      <c r="O33" s="90"/>
    </row>
    <row r="34" spans="10:15" ht="20.25" thickTop="1" thickBot="1" x14ac:dyDescent="0.45">
      <c r="J34" s="70" t="s">
        <v>26</v>
      </c>
      <c r="K34" s="18"/>
      <c r="L34" s="19">
        <f>SUM(L32:L33)</f>
        <v>0</v>
      </c>
      <c r="M34" s="19">
        <f>SUM(M32:M33)</f>
        <v>0</v>
      </c>
      <c r="N34" s="20" t="e">
        <f>SUM(L34/M34)</f>
        <v>#DIV/0!</v>
      </c>
      <c r="O34" s="21"/>
    </row>
    <row r="35" spans="10:15" ht="19.5" thickBot="1" x14ac:dyDescent="0.45">
      <c r="K35" s="22"/>
      <c r="L35" s="4"/>
      <c r="M35" s="4"/>
      <c r="N35" s="4"/>
      <c r="O35" s="2"/>
    </row>
    <row r="36" spans="10:15" x14ac:dyDescent="0.4">
      <c r="J36" s="104" t="s">
        <v>15</v>
      </c>
      <c r="K36" s="10" t="s">
        <v>24</v>
      </c>
      <c r="L36" s="11">
        <f>GETPIVOTDATA("Sum of AM FIELD",'Pivot Table'!$A$100)</f>
        <v>0</v>
      </c>
      <c r="M36" s="11">
        <f>'Occupancy Report'!S66+'Occupancy Report'!S70+'Occupancy Report'!S74+'Occupancy Report'!S78+'Occupancy Report'!S82+'Occupancy Report'!S86+'Occupancy Report'!S90</f>
        <v>0</v>
      </c>
      <c r="N36" s="12" t="e">
        <f>SUM(L36/M36)</f>
        <v>#DIV/0!</v>
      </c>
      <c r="O36" s="13"/>
    </row>
    <row r="37" spans="10:15" ht="19.5" thickBot="1" x14ac:dyDescent="0.45">
      <c r="J37" s="105"/>
      <c r="K37" s="86" t="s">
        <v>25</v>
      </c>
      <c r="L37" s="87">
        <f>GETPIVOTDATA("Sum of PM FIELD",'Pivot Table'!$A$100)</f>
        <v>0</v>
      </c>
      <c r="M37" s="87">
        <f>'Occupancy Report'!S67+'Occupancy Report'!S71+'Occupancy Report'!S75+'Occupancy Report'!S79+'Occupancy Report'!S83+'Occupancy Report'!S87+'Occupancy Report'!S91</f>
        <v>0</v>
      </c>
      <c r="N37" s="89" t="e">
        <f>SUM(L37/M37)</f>
        <v>#DIV/0!</v>
      </c>
      <c r="O37" s="90"/>
    </row>
    <row r="38" spans="10:15" ht="20.25" thickTop="1" thickBot="1" x14ac:dyDescent="0.45">
      <c r="J38" s="70" t="s">
        <v>26</v>
      </c>
      <c r="K38" s="18"/>
      <c r="L38" s="19">
        <f>SUM(L36:L37)</f>
        <v>0</v>
      </c>
      <c r="M38" s="19">
        <f>SUM(M36:M37)</f>
        <v>0</v>
      </c>
      <c r="N38" s="20" t="e">
        <f>SUM(L38/M38)</f>
        <v>#DIV/0!</v>
      </c>
      <c r="O38" s="21"/>
    </row>
    <row r="39" spans="10:15" ht="19.5" thickBot="1" x14ac:dyDescent="0.45">
      <c r="K39" s="22"/>
      <c r="L39" s="4"/>
      <c r="M39" s="4"/>
      <c r="N39" s="4"/>
      <c r="O39" s="2"/>
    </row>
    <row r="40" spans="10:15" x14ac:dyDescent="0.4">
      <c r="J40" s="104" t="s">
        <v>16</v>
      </c>
      <c r="K40" s="10" t="s">
        <v>24</v>
      </c>
      <c r="L40" s="11">
        <f>GETPIVOTDATA("Sum of AM FIELD",'Pivot Table'!$A$112)</f>
        <v>0</v>
      </c>
      <c r="M40" s="11">
        <f>'Occupancy Report'!E97+'Occupancy Report'!E101+'Occupancy Report'!E105+'Occupancy Report'!E109+'Occupancy Report'!E113+'Occupancy Report'!E117+'Occupancy Report'!E121</f>
        <v>0</v>
      </c>
      <c r="N40" s="12" t="e">
        <f>SUM(L40/M40)</f>
        <v>#DIV/0!</v>
      </c>
      <c r="O40" s="13"/>
    </row>
    <row r="41" spans="10:15" ht="19.5" thickBot="1" x14ac:dyDescent="0.45">
      <c r="J41" s="105"/>
      <c r="K41" s="86" t="s">
        <v>25</v>
      </c>
      <c r="L41" s="87">
        <f>GETPIVOTDATA("Sum of PM FIELD",'Pivot Table'!$A$112)</f>
        <v>0</v>
      </c>
      <c r="M41" s="87">
        <f>'Occupancy Report'!E98+'Occupancy Report'!E102+'Occupancy Report'!E106+'Occupancy Report'!E110+'Occupancy Report'!E114+'Occupancy Report'!E118+'Occupancy Report'!E122</f>
        <v>0</v>
      </c>
      <c r="N41" s="89" t="e">
        <f>SUM(L41/M41)</f>
        <v>#DIV/0!</v>
      </c>
      <c r="O41" s="90"/>
    </row>
    <row r="42" spans="10:15" ht="20.25" thickTop="1" thickBot="1" x14ac:dyDescent="0.45">
      <c r="J42" s="70" t="s">
        <v>26</v>
      </c>
      <c r="K42" s="18"/>
      <c r="L42" s="19">
        <f>SUM(L40:L41)</f>
        <v>0</v>
      </c>
      <c r="M42" s="19">
        <f>SUM(M40:M41)</f>
        <v>0</v>
      </c>
      <c r="N42" s="20" t="e">
        <f>SUM(L42/M42)</f>
        <v>#DIV/0!</v>
      </c>
      <c r="O42" s="21"/>
    </row>
    <row r="43" spans="10:15" ht="19.5" thickBot="1" x14ac:dyDescent="0.3">
      <c r="N43" s="80"/>
    </row>
    <row r="44" spans="10:15" x14ac:dyDescent="0.4">
      <c r="J44" s="104" t="s">
        <v>60</v>
      </c>
      <c r="K44" s="10" t="s">
        <v>24</v>
      </c>
      <c r="L44" s="11">
        <f>GETPIVOTDATA("Sum of AM FIELD",'Pivot Table'!$A$124)</f>
        <v>0</v>
      </c>
      <c r="M44" s="11">
        <f>'Occupancy Report'!L97+'Occupancy Report'!L101+'Occupancy Report'!L105+'Occupancy Report'!L109+'Occupancy Report'!L113+'Occupancy Report'!L117+'Occupancy Report'!L121</f>
        <v>0</v>
      </c>
      <c r="N44" s="12" t="e">
        <f>SUM(L44/M44)</f>
        <v>#DIV/0!</v>
      </c>
      <c r="O44" s="13"/>
    </row>
    <row r="45" spans="10:15" ht="19.5" thickBot="1" x14ac:dyDescent="0.45">
      <c r="J45" s="105"/>
      <c r="K45" s="86" t="s">
        <v>25</v>
      </c>
      <c r="L45" s="87">
        <f>GETPIVOTDATA("Sum of PM FIELD",'Pivot Table'!$A$124)</f>
        <v>0</v>
      </c>
      <c r="M45" s="87">
        <f>'Occupancy Report'!L98+'Occupancy Report'!L102+'Occupancy Report'!L106+'Occupancy Report'!L110+'Occupancy Report'!L114+'Occupancy Report'!L118+'Occupancy Report'!L122</f>
        <v>0</v>
      </c>
      <c r="N45" s="89" t="e">
        <f>SUM(L45/M45)</f>
        <v>#DIV/0!</v>
      </c>
      <c r="O45" s="90"/>
    </row>
    <row r="46" spans="10:15" ht="20.25" thickTop="1" thickBot="1" x14ac:dyDescent="0.45">
      <c r="J46" s="70" t="s">
        <v>26</v>
      </c>
      <c r="K46" s="18"/>
      <c r="L46" s="19">
        <f>SUM(L44:L45)</f>
        <v>0</v>
      </c>
      <c r="M46" s="19">
        <f>SUM(M44:M45)</f>
        <v>0</v>
      </c>
      <c r="N46" s="20" t="e">
        <f>SUM(L46/M46)</f>
        <v>#DIV/0!</v>
      </c>
      <c r="O46" s="21"/>
    </row>
    <row r="47" spans="10:15" ht="19.5" thickBot="1" x14ac:dyDescent="0.3">
      <c r="N47" s="52"/>
    </row>
    <row r="48" spans="10:15" x14ac:dyDescent="0.4">
      <c r="J48" s="104" t="s">
        <v>17</v>
      </c>
      <c r="K48" s="10" t="s">
        <v>24</v>
      </c>
      <c r="L48" s="11">
        <f>GETPIVOTDATA("Sum of AM FIELD",'Pivot Table'!$A$136)</f>
        <v>0</v>
      </c>
      <c r="M48" s="11">
        <f>'Occupancy Report'!S97+'Occupancy Report'!S101+'Occupancy Report'!S105+'Occupancy Report'!S109+'Occupancy Report'!S113+'Occupancy Report'!S117+'Occupancy Report'!S121</f>
        <v>0</v>
      </c>
      <c r="N48" s="12" t="e">
        <f>SUM(L48/M48)</f>
        <v>#DIV/0!</v>
      </c>
      <c r="O48" s="13"/>
    </row>
    <row r="49" spans="10:15" ht="19.5" thickBot="1" x14ac:dyDescent="0.45">
      <c r="J49" s="105"/>
      <c r="K49" s="86" t="s">
        <v>25</v>
      </c>
      <c r="L49" s="87">
        <f>GETPIVOTDATA("Sum of PM FIELD",'Pivot Table'!$A$136)</f>
        <v>0</v>
      </c>
      <c r="M49" s="87">
        <f>'Occupancy Report'!S98+'Occupancy Report'!S102+'Occupancy Report'!S106+'Occupancy Report'!S110+'Occupancy Report'!S114+'Occupancy Report'!S118+'Occupancy Report'!S122</f>
        <v>0</v>
      </c>
      <c r="N49" s="89" t="e">
        <f>SUM(L49/M49)</f>
        <v>#DIV/0!</v>
      </c>
      <c r="O49" s="90"/>
    </row>
    <row r="50" spans="10:15" ht="20.25" thickTop="1" thickBot="1" x14ac:dyDescent="0.45">
      <c r="J50" s="70" t="s">
        <v>26</v>
      </c>
      <c r="K50" s="18"/>
      <c r="L50" s="19">
        <f>SUM(L48:L49)</f>
        <v>0</v>
      </c>
      <c r="M50" s="19">
        <f>SUM(M48:M49)</f>
        <v>0</v>
      </c>
      <c r="N50" s="20" t="e">
        <f>SUM(L50/M50)</f>
        <v>#DIV/0!</v>
      </c>
      <c r="O50" s="21"/>
    </row>
    <row r="51" spans="10:15" x14ac:dyDescent="0.25">
      <c r="N51" s="52"/>
    </row>
    <row r="52" spans="10:15" x14ac:dyDescent="0.25">
      <c r="K52" s="83"/>
      <c r="L52" s="48"/>
      <c r="M52" s="48"/>
      <c r="N52" s="50"/>
    </row>
    <row r="53" spans="10:15" x14ac:dyDescent="0.25">
      <c r="N53" s="52"/>
    </row>
    <row r="54" spans="10:15" x14ac:dyDescent="0.25">
      <c r="J54" s="35"/>
      <c r="K54" s="83"/>
      <c r="L54" s="84"/>
      <c r="M54" s="84"/>
      <c r="N54" s="85"/>
    </row>
  </sheetData>
  <mergeCells count="19">
    <mergeCell ref="J44:J45"/>
    <mergeCell ref="J48:J49"/>
    <mergeCell ref="J4:J5"/>
    <mergeCell ref="J8:J9"/>
    <mergeCell ref="J12:J13"/>
    <mergeCell ref="J16:J17"/>
    <mergeCell ref="J20:J21"/>
    <mergeCell ref="J24:J25"/>
    <mergeCell ref="J28:J29"/>
    <mergeCell ref="J32:J33"/>
    <mergeCell ref="J36:J37"/>
    <mergeCell ref="J40:J41"/>
    <mergeCell ref="B24:B25"/>
    <mergeCell ref="B28:B29"/>
    <mergeCell ref="B4:B5"/>
    <mergeCell ref="B12:B13"/>
    <mergeCell ref="B20:B21"/>
    <mergeCell ref="B8:B9"/>
    <mergeCell ref="B16:B17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CDA6-B66B-4AC5-BF4F-AA392EDE1B26}">
  <dimension ref="B1:AC35"/>
  <sheetViews>
    <sheetView showGridLines="0" zoomScale="70" zoomScaleNormal="70" workbookViewId="0">
      <selection activeCell="M23" sqref="M23"/>
    </sheetView>
  </sheetViews>
  <sheetFormatPr defaultColWidth="9.140625" defaultRowHeight="18.75" x14ac:dyDescent="0.4"/>
  <cols>
    <col min="1" max="1" width="3.28515625" style="2" customWidth="1"/>
    <col min="2" max="2" width="14.42578125" style="2" bestFit="1" customWidth="1"/>
    <col min="3" max="3" width="11.140625" style="2" bestFit="1" customWidth="1"/>
    <col min="4" max="4" width="15.42578125" style="4" bestFit="1" customWidth="1"/>
    <col min="5" max="5" width="16.28515625" style="4" customWidth="1"/>
    <col min="6" max="6" width="19.7109375" style="4" customWidth="1"/>
    <col min="7" max="7" width="10.7109375" style="2" bestFit="1" customWidth="1"/>
    <col min="8" max="8" width="9.140625" style="2"/>
    <col min="9" max="9" width="18.140625" style="2" bestFit="1" customWidth="1"/>
    <col min="10" max="10" width="11.140625" style="2" bestFit="1" customWidth="1"/>
    <col min="11" max="11" width="15.42578125" style="2" bestFit="1" customWidth="1"/>
    <col min="12" max="12" width="17.7109375" style="2" customWidth="1"/>
    <col min="13" max="13" width="18.85546875" style="2" bestFit="1" customWidth="1"/>
    <col min="14" max="14" width="10.7109375" style="2" bestFit="1" customWidth="1"/>
    <col min="15" max="15" width="14.140625" style="2" customWidth="1"/>
    <col min="16" max="16" width="17.7109375" style="2" bestFit="1" customWidth="1"/>
    <col min="17" max="17" width="11.140625" style="5" bestFit="1" customWidth="1"/>
    <col min="18" max="18" width="15.42578125" style="2" bestFit="1" customWidth="1"/>
    <col min="19" max="19" width="17.85546875" style="2" customWidth="1"/>
    <col min="20" max="20" width="19.5703125" style="2" customWidth="1"/>
    <col min="21" max="21" width="10.7109375" style="2" bestFit="1" customWidth="1"/>
    <col min="22" max="23" width="9.140625" style="2"/>
    <col min="24" max="24" width="18.140625" style="2" bestFit="1" customWidth="1"/>
    <col min="25" max="25" width="11.140625" style="2" bestFit="1" customWidth="1"/>
    <col min="26" max="26" width="15" style="2" customWidth="1"/>
    <col min="27" max="27" width="16" style="2" bestFit="1" customWidth="1"/>
    <col min="28" max="28" width="18.85546875" style="2" bestFit="1" customWidth="1"/>
    <col min="29" max="29" width="10.7109375" style="2" bestFit="1" customWidth="1"/>
    <col min="30" max="16384" width="9.140625" style="2"/>
  </cols>
  <sheetData>
    <row r="1" spans="2:29" ht="20.25" thickBot="1" x14ac:dyDescent="0.45">
      <c r="C1" s="3"/>
      <c r="J1" s="3"/>
    </row>
    <row r="2" spans="2:29" ht="81" customHeight="1" thickBot="1" x14ac:dyDescent="0.6">
      <c r="B2" s="1" t="s">
        <v>8</v>
      </c>
      <c r="C2" s="6"/>
      <c r="D2" s="7" t="s">
        <v>18</v>
      </c>
      <c r="E2" s="7" t="s">
        <v>19</v>
      </c>
      <c r="F2" s="7" t="s">
        <v>20</v>
      </c>
      <c r="G2" s="6" t="s">
        <v>21</v>
      </c>
      <c r="I2" s="1" t="s">
        <v>75</v>
      </c>
      <c r="J2" s="6"/>
      <c r="K2" s="7" t="s">
        <v>18</v>
      </c>
      <c r="L2" s="7" t="s">
        <v>19</v>
      </c>
      <c r="M2" s="7" t="s">
        <v>20</v>
      </c>
      <c r="N2" s="6" t="s">
        <v>21</v>
      </c>
      <c r="P2" s="1" t="s">
        <v>17</v>
      </c>
      <c r="Q2" s="6"/>
      <c r="R2" s="7" t="s">
        <v>18</v>
      </c>
      <c r="S2" s="7" t="s">
        <v>19</v>
      </c>
      <c r="T2" s="7" t="s">
        <v>20</v>
      </c>
      <c r="U2" s="6" t="s">
        <v>21</v>
      </c>
      <c r="X2" s="96" t="s">
        <v>97</v>
      </c>
      <c r="Y2" s="29"/>
      <c r="Z2" s="30" t="s">
        <v>18</v>
      </c>
      <c r="AA2" s="30" t="s">
        <v>19</v>
      </c>
      <c r="AB2" s="30" t="s">
        <v>81</v>
      </c>
      <c r="AC2" s="29" t="s">
        <v>21</v>
      </c>
    </row>
    <row r="3" spans="2:29" ht="19.5" thickBot="1" x14ac:dyDescent="0.45">
      <c r="K3" s="4"/>
      <c r="L3" s="4"/>
      <c r="M3" s="4"/>
      <c r="Q3" s="2"/>
      <c r="R3" s="4"/>
      <c r="S3" s="4"/>
      <c r="T3" s="4"/>
    </row>
    <row r="4" spans="2:29" ht="19.5" thickBot="1" x14ac:dyDescent="0.45">
      <c r="B4" s="91" t="s">
        <v>23</v>
      </c>
      <c r="C4" s="92" t="s">
        <v>100</v>
      </c>
      <c r="D4" s="93">
        <f>GETPIVOTDATA("Sum of AFTER 3PM",'Pivot Table'!$A$4,"DAY","Mon")</f>
        <v>77</v>
      </c>
      <c r="E4" s="93">
        <f>76+76+80+80</f>
        <v>312</v>
      </c>
      <c r="F4" s="94">
        <f>SUM(D4/E4)</f>
        <v>0.24679487179487181</v>
      </c>
      <c r="G4" s="95"/>
      <c r="I4" s="91" t="s">
        <v>23</v>
      </c>
      <c r="J4" s="92" t="s">
        <v>100</v>
      </c>
      <c r="K4" s="93">
        <f>GETPIVOTDATA("Sum of AFTER 3PM",'Pivot Table'!$A$16,"DAY","Mon")</f>
        <v>75</v>
      </c>
      <c r="L4" s="93">
        <f>80+56+80+80</f>
        <v>296</v>
      </c>
      <c r="M4" s="94">
        <f>SUM(K4/L4)</f>
        <v>0.2533783783783784</v>
      </c>
      <c r="N4" s="95"/>
      <c r="P4" s="91" t="s">
        <v>23</v>
      </c>
      <c r="Q4" s="92" t="s">
        <v>100</v>
      </c>
      <c r="R4" s="93">
        <f>GETPIVOTDATA("Sum of AFTER 3PM",'Pivot Table'!$A$136,"DAY","Mon")</f>
        <v>0</v>
      </c>
      <c r="S4" s="93"/>
      <c r="T4" s="94" t="e">
        <f>SUM(R4/S4)</f>
        <v>#DIV/0!</v>
      </c>
      <c r="U4" s="95"/>
      <c r="X4" s="91" t="s">
        <v>8</v>
      </c>
      <c r="Y4" s="92" t="s">
        <v>100</v>
      </c>
      <c r="Z4" s="93">
        <f>SUM(D4+D6+D8+D10+D12+D14+D16)</f>
        <v>757</v>
      </c>
      <c r="AA4" s="93">
        <f>SUM(E4+E6+E8+E10+E12+E14+E16)</f>
        <v>2536</v>
      </c>
      <c r="AB4" s="94">
        <f>SUM(Z4/AA4)</f>
        <v>0.29850157728706622</v>
      </c>
      <c r="AC4" s="95"/>
    </row>
    <row r="5" spans="2:29" ht="19.5" thickBot="1" x14ac:dyDescent="0.45">
      <c r="B5" s="5"/>
      <c r="C5" s="22"/>
      <c r="I5" s="5"/>
      <c r="J5" s="22"/>
      <c r="K5" s="4"/>
      <c r="L5" s="4"/>
      <c r="M5" s="4"/>
      <c r="P5" s="5"/>
      <c r="Q5" s="22"/>
      <c r="R5" s="4"/>
      <c r="S5" s="4"/>
      <c r="T5" s="4"/>
    </row>
    <row r="6" spans="2:29" ht="19.5" thickBot="1" x14ac:dyDescent="0.45">
      <c r="B6" s="91" t="s">
        <v>27</v>
      </c>
      <c r="C6" s="92" t="s">
        <v>100</v>
      </c>
      <c r="D6" s="93">
        <f>GETPIVOTDATA("Sum of AFTER 3PM",'Pivot Table'!$A$4,"DAY","Tue")</f>
        <v>105</v>
      </c>
      <c r="E6" s="93">
        <f>104+104+104+104</f>
        <v>416</v>
      </c>
      <c r="F6" s="94">
        <f>SUM(D6/E6)</f>
        <v>0.25240384615384615</v>
      </c>
      <c r="G6" s="95"/>
      <c r="I6" s="91" t="s">
        <v>27</v>
      </c>
      <c r="J6" s="92" t="s">
        <v>100</v>
      </c>
      <c r="K6" s="93">
        <f>GETPIVOTDATA("Sum of AFTER 3PM",'Pivot Table'!$A$16,"DAY","Tue")</f>
        <v>87</v>
      </c>
      <c r="L6" s="93">
        <f>104+104+104+104</f>
        <v>416</v>
      </c>
      <c r="M6" s="94">
        <f>SUM(K6/L6)</f>
        <v>0.20913461538461539</v>
      </c>
      <c r="N6" s="95"/>
      <c r="P6" s="91" t="s">
        <v>27</v>
      </c>
      <c r="Q6" s="92" t="s">
        <v>100</v>
      </c>
      <c r="R6" s="93">
        <f>GETPIVOTDATA("Sum of AFTER 3PM",'Pivot Table'!$A$136,"DAY","Tue")</f>
        <v>0</v>
      </c>
      <c r="S6" s="93"/>
      <c r="T6" s="94" t="e">
        <f>SUM(R6/S6)</f>
        <v>#DIV/0!</v>
      </c>
      <c r="U6" s="95"/>
      <c r="X6" s="91" t="s">
        <v>60</v>
      </c>
      <c r="Y6" s="92" t="s">
        <v>100</v>
      </c>
      <c r="Z6" s="93">
        <f>SUM(K4+K6+K8+K10+K12+K14+K16)</f>
        <v>735</v>
      </c>
      <c r="AA6" s="93">
        <f>SUM(L4+L6+L8+L10+L12+L14+L16)</f>
        <v>2156</v>
      </c>
      <c r="AB6" s="94">
        <f>SUM(Z6/AA6)</f>
        <v>0.34090909090909088</v>
      </c>
      <c r="AC6" s="95"/>
    </row>
    <row r="7" spans="2:29" ht="19.5" thickBot="1" x14ac:dyDescent="0.45">
      <c r="B7" s="5"/>
      <c r="C7" s="22"/>
      <c r="I7" s="5"/>
      <c r="J7" s="22"/>
      <c r="K7" s="4"/>
      <c r="L7" s="4"/>
      <c r="M7" s="4"/>
      <c r="P7" s="5"/>
      <c r="Q7" s="22"/>
      <c r="R7" s="4"/>
      <c r="S7" s="4"/>
      <c r="T7" s="4"/>
    </row>
    <row r="8" spans="2:29" ht="19.5" thickBot="1" x14ac:dyDescent="0.45">
      <c r="B8" s="91" t="s">
        <v>28</v>
      </c>
      <c r="C8" s="92" t="s">
        <v>100</v>
      </c>
      <c r="D8" s="93">
        <f>GETPIVOTDATA("Sum of AFTER 3PM",'Pivot Table'!$A$4,"DAY","Wed")</f>
        <v>93</v>
      </c>
      <c r="E8" s="93">
        <f>76+76+76+76</f>
        <v>304</v>
      </c>
      <c r="F8" s="94">
        <f>SUM(D8/E8)</f>
        <v>0.30592105263157893</v>
      </c>
      <c r="G8" s="95"/>
      <c r="I8" s="91" t="s">
        <v>28</v>
      </c>
      <c r="J8" s="92" t="s">
        <v>100</v>
      </c>
      <c r="K8" s="93">
        <f>GETPIVOTDATA("Sum of AFTER 3PM",'Pivot Table'!$A$16,"DAY","Wed")</f>
        <v>79</v>
      </c>
      <c r="L8" s="93">
        <f>76+76+76+76</f>
        <v>304</v>
      </c>
      <c r="M8" s="94">
        <f>SUM(K8/L8)</f>
        <v>0.25986842105263158</v>
      </c>
      <c r="N8" s="95"/>
      <c r="P8" s="91" t="s">
        <v>28</v>
      </c>
      <c r="Q8" s="92" t="s">
        <v>100</v>
      </c>
      <c r="R8" s="93">
        <f>GETPIVOTDATA("Sum of AFTER 3PM",'Pivot Table'!$A$136,"DAY","Wed")</f>
        <v>0</v>
      </c>
      <c r="S8" s="93"/>
      <c r="T8" s="94" t="e">
        <f>SUM(R8/S8)</f>
        <v>#DIV/0!</v>
      </c>
      <c r="U8" s="95"/>
      <c r="X8" s="91" t="s">
        <v>17</v>
      </c>
      <c r="Y8" s="92" t="s">
        <v>100</v>
      </c>
      <c r="Z8" s="93">
        <f>SUM(R4+R6+R8+R10+R12+R14+R16)</f>
        <v>0</v>
      </c>
      <c r="AA8" s="93">
        <f>SUM(S4+S6+S8+S10+S12+S14+S16)</f>
        <v>0</v>
      </c>
      <c r="AB8" s="94" t="e">
        <f>SUM(Z8/AA8)</f>
        <v>#DIV/0!</v>
      </c>
      <c r="AC8" s="95"/>
    </row>
    <row r="9" spans="2:29" ht="19.5" thickBot="1" x14ac:dyDescent="0.45">
      <c r="B9" s="5"/>
      <c r="C9" s="22"/>
      <c r="I9" s="5"/>
      <c r="J9" s="22"/>
      <c r="K9" s="4"/>
      <c r="L9" s="4"/>
      <c r="M9" s="4"/>
      <c r="P9" s="5"/>
      <c r="Q9" s="22"/>
      <c r="R9" s="4"/>
      <c r="S9" s="4"/>
      <c r="T9" s="4"/>
    </row>
    <row r="10" spans="2:29" ht="19.5" thickBot="1" x14ac:dyDescent="0.45">
      <c r="B10" s="91" t="s">
        <v>29</v>
      </c>
      <c r="C10" s="92" t="s">
        <v>100</v>
      </c>
      <c r="D10" s="93">
        <f>GETPIVOTDATA("Sum of AFTER 3PM",'Pivot Table'!$A$4,"DAY","Thu")</f>
        <v>113</v>
      </c>
      <c r="E10" s="93">
        <f>80+80+80+80+80</f>
        <v>400</v>
      </c>
      <c r="F10" s="94">
        <f>SUM(D10/E10)</f>
        <v>0.28249999999999997</v>
      </c>
      <c r="G10" s="95"/>
      <c r="I10" s="91" t="s">
        <v>29</v>
      </c>
      <c r="J10" s="92" t="s">
        <v>100</v>
      </c>
      <c r="K10" s="93">
        <f>GETPIVOTDATA("Sum of AFTER 3PM",'Pivot Table'!$A$16,"DAY","Thu")</f>
        <v>137</v>
      </c>
      <c r="L10" s="93">
        <f>80+80+80+80</f>
        <v>320</v>
      </c>
      <c r="M10" s="94">
        <f>SUM(K10/L10)</f>
        <v>0.42812499999999998</v>
      </c>
      <c r="N10" s="95"/>
      <c r="P10" s="91" t="s">
        <v>29</v>
      </c>
      <c r="Q10" s="92" t="s">
        <v>100</v>
      </c>
      <c r="R10" s="93">
        <f>GETPIVOTDATA("Sum of AFTER 3PM",'Pivot Table'!$A$136,"DAY","Thu")</f>
        <v>0</v>
      </c>
      <c r="S10" s="93"/>
      <c r="T10" s="94" t="e">
        <f>SUM(R10/S10)</f>
        <v>#DIV/0!</v>
      </c>
      <c r="U10" s="95"/>
    </row>
    <row r="11" spans="2:29" ht="19.5" thickBot="1" x14ac:dyDescent="0.45">
      <c r="B11" s="5"/>
      <c r="C11" s="22"/>
      <c r="I11" s="5"/>
      <c r="J11" s="22"/>
      <c r="K11" s="4"/>
      <c r="L11" s="4"/>
      <c r="M11" s="4"/>
      <c r="P11" s="5"/>
      <c r="Q11" s="22"/>
      <c r="R11" s="4"/>
      <c r="S11" s="4"/>
      <c r="T11" s="4"/>
    </row>
    <row r="12" spans="2:29" ht="19.5" thickBot="1" x14ac:dyDescent="0.45">
      <c r="B12" s="91" t="s">
        <v>30</v>
      </c>
      <c r="C12" s="92" t="s">
        <v>100</v>
      </c>
      <c r="D12" s="93">
        <f>GETPIVOTDATA("Sum of AFTER 3PM",'Pivot Table'!$A$4,"DAY","Fri")</f>
        <v>185</v>
      </c>
      <c r="E12" s="93">
        <f>76+76+80+76+76</f>
        <v>384</v>
      </c>
      <c r="F12" s="94">
        <f>SUM(D12/E12)</f>
        <v>0.48177083333333331</v>
      </c>
      <c r="G12" s="95"/>
      <c r="I12" s="91" t="s">
        <v>30</v>
      </c>
      <c r="J12" s="92" t="s">
        <v>100</v>
      </c>
      <c r="K12" s="93">
        <f>GETPIVOTDATA("Sum of AFTER 3PM",'Pivot Table'!$A$16,"DAY","Fri")</f>
        <v>212</v>
      </c>
      <c r="L12" s="93">
        <f>88+80+76+96</f>
        <v>340</v>
      </c>
      <c r="M12" s="94">
        <f>SUM(K12/L12)</f>
        <v>0.62352941176470589</v>
      </c>
      <c r="N12" s="95"/>
      <c r="P12" s="91" t="s">
        <v>30</v>
      </c>
      <c r="Q12" s="92" t="s">
        <v>100</v>
      </c>
      <c r="R12" s="93">
        <f>GETPIVOTDATA("Sum of AFTER 3PM",'Pivot Table'!$A$136,"DAY","Fri")</f>
        <v>0</v>
      </c>
      <c r="S12" s="93"/>
      <c r="T12" s="94" t="e">
        <f>SUM(R12/S12)</f>
        <v>#DIV/0!</v>
      </c>
      <c r="U12" s="95"/>
    </row>
    <row r="13" spans="2:29" ht="19.5" thickBot="1" x14ac:dyDescent="0.45">
      <c r="B13" s="5"/>
      <c r="C13" s="22"/>
      <c r="I13" s="5"/>
      <c r="J13" s="22"/>
      <c r="K13" s="4"/>
      <c r="L13" s="4"/>
      <c r="M13" s="4"/>
      <c r="P13" s="5"/>
      <c r="Q13" s="22"/>
      <c r="R13" s="4"/>
      <c r="S13" s="4"/>
      <c r="T13" s="4"/>
    </row>
    <row r="14" spans="2:29" ht="19.5" thickBot="1" x14ac:dyDescent="0.45">
      <c r="B14" s="91" t="s">
        <v>31</v>
      </c>
      <c r="C14" s="92" t="s">
        <v>100</v>
      </c>
      <c r="D14" s="93">
        <f>GETPIVOTDATA("Sum of AFTER 3PM",'Pivot Table'!$A$4,"DAY","Sat")</f>
        <v>23</v>
      </c>
      <c r="E14" s="93">
        <f>80+80+80+80+80</f>
        <v>400</v>
      </c>
      <c r="F14" s="94">
        <f>SUM(D14/E14)</f>
        <v>5.7500000000000002E-2</v>
      </c>
      <c r="G14" s="95"/>
      <c r="I14" s="91" t="s">
        <v>31</v>
      </c>
      <c r="J14" s="92" t="s">
        <v>100</v>
      </c>
      <c r="K14" s="93">
        <f>GETPIVOTDATA("Sum of AFTER 3PM",'Pivot Table'!$A$16,"DAY","Sat")</f>
        <v>7</v>
      </c>
      <c r="L14" s="93">
        <f>80+80</f>
        <v>160</v>
      </c>
      <c r="M14" s="94">
        <f>SUM(K14/L14)</f>
        <v>4.3749999999999997E-2</v>
      </c>
      <c r="N14" s="95"/>
      <c r="P14" s="91" t="s">
        <v>31</v>
      </c>
      <c r="Q14" s="92" t="s">
        <v>100</v>
      </c>
      <c r="R14" s="93">
        <f>GETPIVOTDATA("Sum of AFTER 3PM",'Pivot Table'!$A$136,"DAY","Sat")</f>
        <v>0</v>
      </c>
      <c r="S14" s="93"/>
      <c r="T14" s="94" t="e">
        <f>SUM(R14/S14)</f>
        <v>#DIV/0!</v>
      </c>
      <c r="U14" s="95"/>
    </row>
    <row r="15" spans="2:29" ht="19.5" thickBot="1" x14ac:dyDescent="0.45">
      <c r="B15" s="5"/>
      <c r="C15" s="22"/>
      <c r="I15" s="5"/>
      <c r="J15" s="22"/>
      <c r="K15" s="4"/>
      <c r="L15" s="4"/>
      <c r="M15" s="4"/>
      <c r="P15" s="5"/>
      <c r="Q15" s="22"/>
      <c r="R15" s="4"/>
      <c r="S15" s="4"/>
      <c r="T15" s="4"/>
    </row>
    <row r="16" spans="2:29" ht="19.5" thickBot="1" x14ac:dyDescent="0.45">
      <c r="B16" s="91" t="s">
        <v>32</v>
      </c>
      <c r="C16" s="92" t="s">
        <v>100</v>
      </c>
      <c r="D16" s="93">
        <f>GETPIVOTDATA("Sum of AFTER 3PM",'Pivot Table'!$A$4,"DAY","Sun")</f>
        <v>161</v>
      </c>
      <c r="E16" s="93">
        <f>80+80+80+80</f>
        <v>320</v>
      </c>
      <c r="F16" s="94">
        <f>SUM(D16/E16)</f>
        <v>0.50312500000000004</v>
      </c>
      <c r="G16" s="95"/>
      <c r="I16" s="91" t="s">
        <v>32</v>
      </c>
      <c r="J16" s="92" t="s">
        <v>100</v>
      </c>
      <c r="K16" s="93">
        <f>GETPIVOTDATA("Sum of AFTER 3PM",'Pivot Table'!$A$16,"DAY","Sun")</f>
        <v>138</v>
      </c>
      <c r="L16" s="93">
        <f>80+80+80+80</f>
        <v>320</v>
      </c>
      <c r="M16" s="94">
        <f>SUM(K16/L16)</f>
        <v>0.43125000000000002</v>
      </c>
      <c r="N16" s="95"/>
      <c r="P16" s="91" t="s">
        <v>32</v>
      </c>
      <c r="Q16" s="92" t="s">
        <v>100</v>
      </c>
      <c r="R16" s="93">
        <f>GETPIVOTDATA("Sum of AFTER 3PM",'Pivot Table'!$A$136,"DAY","Sun")</f>
        <v>0</v>
      </c>
      <c r="S16" s="93"/>
      <c r="T16" s="94" t="e">
        <f>SUM(R16/S16)</f>
        <v>#DIV/0!</v>
      </c>
      <c r="U16" s="95"/>
    </row>
    <row r="19" spans="2:7" ht="19.5" thickBot="1" x14ac:dyDescent="0.45"/>
    <row r="20" spans="2:7" ht="79.5" thickBot="1" x14ac:dyDescent="0.45">
      <c r="B20" s="96" t="s">
        <v>96</v>
      </c>
      <c r="C20" s="29"/>
      <c r="D20" s="30" t="s">
        <v>18</v>
      </c>
      <c r="E20" s="30" t="s">
        <v>19</v>
      </c>
      <c r="F20" s="30" t="s">
        <v>81</v>
      </c>
      <c r="G20" s="29" t="s">
        <v>21</v>
      </c>
    </row>
    <row r="22" spans="2:7" ht="19.5" thickBot="1" x14ac:dyDescent="0.45"/>
    <row r="23" spans="2:7" ht="19.5" thickBot="1" x14ac:dyDescent="0.45">
      <c r="B23" s="91" t="s">
        <v>23</v>
      </c>
      <c r="C23" s="92" t="s">
        <v>100</v>
      </c>
      <c r="D23" s="93">
        <f>SUM(D4+K4+R4)</f>
        <v>152</v>
      </c>
      <c r="E23" s="93">
        <f>SUM(E4+L4+S4)</f>
        <v>608</v>
      </c>
      <c r="F23" s="94">
        <f>SUM(D23/E23)</f>
        <v>0.25</v>
      </c>
      <c r="G23" s="95"/>
    </row>
    <row r="24" spans="2:7" ht="19.5" thickBot="1" x14ac:dyDescent="0.45">
      <c r="B24" s="5"/>
      <c r="C24" s="22"/>
    </row>
    <row r="25" spans="2:7" ht="19.5" thickBot="1" x14ac:dyDescent="0.45">
      <c r="B25" s="91" t="s">
        <v>27</v>
      </c>
      <c r="C25" s="92" t="s">
        <v>100</v>
      </c>
      <c r="D25" s="93">
        <f>SUM(D6+K6+R6)</f>
        <v>192</v>
      </c>
      <c r="E25" s="93">
        <f>SUM(E6+L6+S6)</f>
        <v>832</v>
      </c>
      <c r="F25" s="94">
        <f>SUM(D25/E25)</f>
        <v>0.23076923076923078</v>
      </c>
      <c r="G25" s="95"/>
    </row>
    <row r="26" spans="2:7" ht="19.5" thickBot="1" x14ac:dyDescent="0.45">
      <c r="B26" s="5"/>
      <c r="C26" s="22"/>
    </row>
    <row r="27" spans="2:7" ht="19.5" thickBot="1" x14ac:dyDescent="0.45">
      <c r="B27" s="91" t="s">
        <v>28</v>
      </c>
      <c r="C27" s="92" t="s">
        <v>100</v>
      </c>
      <c r="D27" s="93">
        <f>SUM(D8+K8+R8)</f>
        <v>172</v>
      </c>
      <c r="E27" s="93">
        <f>SUM(E8+L8+S8)</f>
        <v>608</v>
      </c>
      <c r="F27" s="94">
        <f>SUM(D27/E27)</f>
        <v>0.28289473684210525</v>
      </c>
      <c r="G27" s="95"/>
    </row>
    <row r="28" spans="2:7" ht="19.5" thickBot="1" x14ac:dyDescent="0.45">
      <c r="B28" s="5"/>
      <c r="C28" s="22"/>
    </row>
    <row r="29" spans="2:7" ht="19.5" thickBot="1" x14ac:dyDescent="0.45">
      <c r="B29" s="91" t="s">
        <v>29</v>
      </c>
      <c r="C29" s="92" t="s">
        <v>100</v>
      </c>
      <c r="D29" s="93">
        <f>SUM(D10+K10+R10)</f>
        <v>250</v>
      </c>
      <c r="E29" s="93">
        <f>SUM(E10+L10+S10)</f>
        <v>720</v>
      </c>
      <c r="F29" s="94">
        <f>SUM(D29/E29)</f>
        <v>0.34722222222222221</v>
      </c>
      <c r="G29" s="95"/>
    </row>
    <row r="30" spans="2:7" ht="19.5" thickBot="1" x14ac:dyDescent="0.45">
      <c r="B30" s="5"/>
      <c r="C30" s="22"/>
    </row>
    <row r="31" spans="2:7" ht="19.5" thickBot="1" x14ac:dyDescent="0.45">
      <c r="B31" s="91" t="s">
        <v>30</v>
      </c>
      <c r="C31" s="92" t="s">
        <v>100</v>
      </c>
      <c r="D31" s="93">
        <f>SUM(D12+K12+R12)</f>
        <v>397</v>
      </c>
      <c r="E31" s="93">
        <f>SUM(E12+L12+S12)</f>
        <v>724</v>
      </c>
      <c r="F31" s="94">
        <f>SUM(D31/E31)</f>
        <v>0.5483425414364641</v>
      </c>
      <c r="G31" s="95"/>
    </row>
    <row r="32" spans="2:7" ht="19.5" thickBot="1" x14ac:dyDescent="0.45">
      <c r="B32" s="5"/>
      <c r="C32" s="22"/>
    </row>
    <row r="33" spans="2:7" ht="19.5" thickBot="1" x14ac:dyDescent="0.45">
      <c r="B33" s="91" t="s">
        <v>31</v>
      </c>
      <c r="C33" s="92" t="s">
        <v>100</v>
      </c>
      <c r="D33" s="93">
        <f>SUM(D14+K14+R14)</f>
        <v>30</v>
      </c>
      <c r="E33" s="93">
        <f>SUM(E14+L14+S14)</f>
        <v>560</v>
      </c>
      <c r="F33" s="94">
        <f>SUM(D33/E33)</f>
        <v>5.3571428571428568E-2</v>
      </c>
      <c r="G33" s="95"/>
    </row>
    <row r="34" spans="2:7" ht="19.5" thickBot="1" x14ac:dyDescent="0.45">
      <c r="B34" s="5"/>
      <c r="C34" s="22"/>
    </row>
    <row r="35" spans="2:7" ht="19.5" thickBot="1" x14ac:dyDescent="0.45">
      <c r="B35" s="91" t="s">
        <v>32</v>
      </c>
      <c r="C35" s="92" t="s">
        <v>100</v>
      </c>
      <c r="D35" s="93">
        <f>SUM(D16+K16+R16)</f>
        <v>299</v>
      </c>
      <c r="E35" s="93">
        <f>SUM(E16+L16+S16)</f>
        <v>640</v>
      </c>
      <c r="F35" s="94">
        <f>SUM(D35/E35)</f>
        <v>0.46718749999999998</v>
      </c>
      <c r="G35" s="9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E92F-5421-439D-BC2B-62B0ECF3D46F}">
  <dimension ref="B2:U71"/>
  <sheetViews>
    <sheetView showGridLines="0" workbookViewId="0">
      <selection activeCell="N7" sqref="N7"/>
    </sheetView>
  </sheetViews>
  <sheetFormatPr defaultColWidth="9.140625" defaultRowHeight="18.75" x14ac:dyDescent="0.25"/>
  <cols>
    <col min="1" max="1" width="4.140625" style="5" customWidth="1"/>
    <col min="2" max="2" width="18.140625" style="5" customWidth="1"/>
    <col min="3" max="3" width="12.85546875" style="5" bestFit="1" customWidth="1"/>
    <col min="4" max="4" width="11" style="5" customWidth="1"/>
    <col min="5" max="5" width="18.140625" style="5" customWidth="1"/>
    <col min="6" max="7" width="9.140625" style="5"/>
    <col min="8" max="8" width="18.140625" style="5" customWidth="1"/>
    <col min="9" max="9" width="10.42578125" style="5" bestFit="1" customWidth="1"/>
    <col min="10" max="10" width="9.140625" style="5"/>
    <col min="11" max="11" width="18.140625" style="5" customWidth="1"/>
    <col min="12" max="12" width="9.5703125" style="5" bestFit="1" customWidth="1"/>
    <col min="13" max="13" width="9.140625" style="5"/>
    <col min="14" max="14" width="18.140625" style="5" customWidth="1"/>
    <col min="15" max="15" width="10.42578125" style="5" bestFit="1" customWidth="1"/>
    <col min="16" max="16" width="9.140625" style="5"/>
    <col min="17" max="17" width="18.140625" style="5" customWidth="1"/>
    <col min="18" max="19" width="9.140625" style="5"/>
    <col min="20" max="20" width="18.140625" style="5" customWidth="1"/>
    <col min="21" max="16384" width="9.140625" style="5"/>
  </cols>
  <sheetData>
    <row r="2" spans="2:21" s="31" customFormat="1" ht="22.5" x14ac:dyDescent="0.25">
      <c r="B2" s="31" t="s">
        <v>33</v>
      </c>
    </row>
    <row r="4" spans="2:21" s="31" customFormat="1" ht="22.5" x14ac:dyDescent="0.25">
      <c r="B4" s="31" t="s">
        <v>23</v>
      </c>
      <c r="E4" s="31" t="s">
        <v>27</v>
      </c>
      <c r="H4" s="31" t="s">
        <v>28</v>
      </c>
      <c r="K4" s="31" t="s">
        <v>29</v>
      </c>
      <c r="N4" s="31" t="s">
        <v>30</v>
      </c>
      <c r="Q4" s="31" t="s">
        <v>31</v>
      </c>
      <c r="T4" s="31" t="s">
        <v>32</v>
      </c>
    </row>
    <row r="6" spans="2:21" x14ac:dyDescent="0.25">
      <c r="B6" s="33" t="s">
        <v>1</v>
      </c>
      <c r="C6" s="33">
        <f>GETPIVOTDATA("Sum of AM FIELD",'Pivot Table'!$A$4,"DAY","Mon")+GETPIVOTDATA("Sum of AM FIELD",'Pivot Table'!$A$16,"DAY","Mon")+GETPIVOTDATA("Sum of AM FIELD",'Pivot Table'!$A$28,"DAY","Mon")+GETPIVOTDATA("Sum of AM FIELD",'Pivot Table'!$A$40,"DAY","Mon")+GETPIVOTDATA("Sum of AM FIELD",'Pivot Table'!$A$52,"DAY","Mon")+GETPIVOTDATA("Sum of AM FIELD",'Pivot Table'!$A$64,"DAY","Mon")+GETPIVOTDATA("Sum of AM FIELD",'Pivot Table'!$A$76,"DAY","Mon")+GETPIVOTDATA("Sum of AM FIELD",'Pivot Table'!$A$88,"DAY","Mon")+GETPIVOTDATA("Sum of AM FIELD",'Pivot Table'!$A$100,"DAY","Mon")+GETPIVOTDATA("Sum of AM FIELD",'Pivot Table'!$A$112,"DAY","Mon")+GETPIVOTDATA("Sum of AM FIELD",'Pivot Table'!$A$124,"DAY","Mon")+GETPIVOTDATA("Sum of AM FIELD",'Pivot Table'!$A$136,"DAY","Mon")</f>
        <v>445</v>
      </c>
      <c r="E6" s="33" t="s">
        <v>1</v>
      </c>
      <c r="F6" s="33">
        <f>GETPIVOTDATA("Sum of AM FIELD",'Pivot Table'!$A$4,"DAY","Tue")
+GETPIVOTDATA("Sum of AM FIELD",'Pivot Table'!$A$16,"DAY","Tue")
+GETPIVOTDATA("Sum of AM FIELD",'Pivot Table'!$A$28,"DAY","Tue")
+GETPIVOTDATA("Sum of AM FIELD",'Pivot Table'!$A$40,"DAY","Tue")
+GETPIVOTDATA("Sum of AM FIELD",'Pivot Table'!$A$52,"DAY","Tue")
+GETPIVOTDATA("Sum of AM FIELD",'Pivot Table'!$A$64,"DAY","Tue")
+GETPIVOTDATA("Sum of AM FIELD",'Pivot Table'!$A$76,"DAY","Tue")
+GETPIVOTDATA("Sum of AM FIELD",'Pivot Table'!$A$88,"DAY","Tue")
+GETPIVOTDATA("Sum of AM FIELD",'Pivot Table'!$A$100,"DAY","Tue")
+GETPIVOTDATA("Sum of AM FIELD",'Pivot Table'!$A$112,"DAY","Tue")
+GETPIVOTDATA("Sum of AM FIELD",'Pivot Table'!$A$124,"DAY","Tue")
+GETPIVOTDATA("Sum of AM FIELD",'Pivot Table'!$A$136,"DAY","Tue")</f>
        <v>723</v>
      </c>
      <c r="H6" s="33" t="s">
        <v>1</v>
      </c>
      <c r="I6" s="33">
        <f>GETPIVOTDATA("Sum of AM FIELD",'Pivot Table'!$A$4,"DAY","Wed")
+GETPIVOTDATA("Sum of AM FIELD",'Pivot Table'!$A$16,"DAY","Wed")
+GETPIVOTDATA("Sum of AM FIELD",'Pivot Table'!$A$28,"DAY","Wed")
+GETPIVOTDATA("Sum of AM FIELD",'Pivot Table'!$A$40,"DAY","Wed")
+GETPIVOTDATA("Sum of AM FIELD",'Pivot Table'!$A$52,"DAY","Wed")
+GETPIVOTDATA("Sum of AM FIELD",'Pivot Table'!$A$64,"DAY","Wed")
+GETPIVOTDATA("Sum of AM FIELD",'Pivot Table'!$A$76,"DAY","Wed")
+GETPIVOTDATA("Sum of AM FIELD",'Pivot Table'!$A$88,"DAY","Wed")
+GETPIVOTDATA("Sum of AM FIELD",'Pivot Table'!$A$100,"DAY","Wed")
+GETPIVOTDATA("Sum of AM FIELD",'Pivot Table'!$A$112,"DAY","Wed")
+GETPIVOTDATA("Sum of AM FIELD",'Pivot Table'!$A$124,"DAY","Wed")
+GETPIVOTDATA("Sum of AM FIELD",'Pivot Table'!$A$136,"DAY","Wed")</f>
        <v>686</v>
      </c>
      <c r="K6" s="33" t="s">
        <v>1</v>
      </c>
      <c r="L6" s="33">
        <f>GETPIVOTDATA("Sum of AM FIELD",'Pivot Table'!$A$4,"DAY","Thu")
+GETPIVOTDATA("Sum of AM FIELD",'Pivot Table'!$A$16,"DAY","Thu")
+GETPIVOTDATA("Sum of AM FIELD",'Pivot Table'!$A$28,"DAY","Thu")
+GETPIVOTDATA("Sum of AM FIELD",'Pivot Table'!$A$40,"DAY","Thu")
+GETPIVOTDATA("Sum of AM FIELD",'Pivot Table'!$A$52,"DAY","Thu")
+GETPIVOTDATA("Sum of AM FIELD",'Pivot Table'!$A$64,"DAY","Thu")
+GETPIVOTDATA("Sum of AM FIELD",'Pivot Table'!$A$76,"DAY","Thu")
+GETPIVOTDATA("Sum of AM FIELD",'Pivot Table'!$A$88,"DAY","Thu")
+GETPIVOTDATA("Sum of AM FIELD",'Pivot Table'!$A$100,"DAY","Thu")
+GETPIVOTDATA("Sum of AM FIELD",'Pivot Table'!$A$112,"DAY","Thu")
+GETPIVOTDATA("Sum of AM FIELD",'Pivot Table'!$A$124,"DAY","Thu")
+GETPIVOTDATA("Sum of AM FIELD",'Pivot Table'!$A$136,"DAY","Thu")</f>
        <v>734</v>
      </c>
      <c r="N6" s="33" t="s">
        <v>1</v>
      </c>
      <c r="O6" s="33">
        <f>GETPIVOTDATA("Sum of AM FIELD",'Pivot Table'!$A$4,"DAY","Fri")
+GETPIVOTDATA("Sum of AM FIELD",'Pivot Table'!$A$16,"DAY","Fri")
+GETPIVOTDATA("Sum of AM FIELD",'Pivot Table'!$A$28,"DAY","Fri")
+GETPIVOTDATA("Sum of AM FIELD",'Pivot Table'!$A$40,"DAY","Fri")
+GETPIVOTDATA("Sum of AM FIELD",'Pivot Table'!$A$52,"DAY","Fri")
+GETPIVOTDATA("Sum of AM FIELD",'Pivot Table'!$A$64,"DAY","Fri")
+GETPIVOTDATA("Sum of AM FIELD",'Pivot Table'!$A$76,"DAY","Fri")
+GETPIVOTDATA("Sum of AM FIELD",'Pivot Table'!$A$88,"DAY","Fri")
+GETPIVOTDATA("Sum of AM FIELD",'Pivot Table'!$A$100,"DAY","Fri")
+GETPIVOTDATA("Sum of AM FIELD",'Pivot Table'!$A$112,"DAY","Fri")
+GETPIVOTDATA("Sum of AM FIELD",'Pivot Table'!$A$124,"DAY","Fri")
+GETPIVOTDATA("Sum of AM FIELD",'Pivot Table'!$A$136,"DAY","Fri")</f>
        <v>751</v>
      </c>
      <c r="Q6" s="33" t="s">
        <v>1</v>
      </c>
      <c r="R6" s="33">
        <f>GETPIVOTDATA("Sum of AM FIELD",'Pivot Table'!$A$4,"DAY","Sat")
+GETPIVOTDATA("Sum of AM FIELD",'Pivot Table'!$A$16,"DAY","Sat")
+GETPIVOTDATA("Sum of AM FIELD",'Pivot Table'!$A$28,"DAY","Sat")
+GETPIVOTDATA("Sum of AM FIELD",'Pivot Table'!$A$40,"DAY","Sat")
+GETPIVOTDATA("Sum of AM FIELD",'Pivot Table'!$A$52,"DAY","Sat")
+GETPIVOTDATA("Sum of AM FIELD",'Pivot Table'!$A$64,"DAY","Sat")
+GETPIVOTDATA("Sum of AM FIELD",'Pivot Table'!$A$76,"DAY","Sat")
+GETPIVOTDATA("Sum of AM FIELD",'Pivot Table'!$A$88,"DAY","Sat")
+GETPIVOTDATA("Sum of AM FIELD",'Pivot Table'!$A$100,"DAY","Sat")
+GETPIVOTDATA("Sum of AM FIELD",'Pivot Table'!$A$112,"DAY","Sat")
+GETPIVOTDATA("Sum of AM FIELD",'Pivot Table'!$A$124,"DAY","Sat")
+GETPIVOTDATA("Sum of AM FIELD",'Pivot Table'!$A$136,"DAY","Sat")</f>
        <v>787</v>
      </c>
      <c r="T6" s="33" t="s">
        <v>1</v>
      </c>
      <c r="U6" s="33">
        <f>GETPIVOTDATA("Sum of AM FIELD",'Pivot Table'!$A$4,"DAY","Sun")
+GETPIVOTDATA("Sum of AM FIELD",'Pivot Table'!$A$16,"DAY","Sun")
+GETPIVOTDATA("Sum of AM FIELD",'Pivot Table'!$A$28,"DAY","Sun")
+GETPIVOTDATA("Sum of AM FIELD",'Pivot Table'!$A$40,"DAY","Sun")
+GETPIVOTDATA("Sum of AM FIELD",'Pivot Table'!$A$52,"DAY","Sun")
+GETPIVOTDATA("Sum of AM FIELD",'Pivot Table'!$A$64,"DAY","Sun")
+GETPIVOTDATA("Sum of AM FIELD",'Pivot Table'!$A$76,"DAY","Sun")
+GETPIVOTDATA("Sum of AM FIELD",'Pivot Table'!$A$88,"DAY","Sun")
+GETPIVOTDATA("Sum of AM FIELD",'Pivot Table'!$A$100,"DAY","Sun")
+GETPIVOTDATA("Sum of AM FIELD",'Pivot Table'!$A$112,"DAY","Sun")
+GETPIVOTDATA("Sum of AM FIELD",'Pivot Table'!$A$124,"DAY","Sun")
+GETPIVOTDATA("Sum of AM FIELD",'Pivot Table'!$A$136,"DAY","Sun")</f>
        <v>724</v>
      </c>
    </row>
    <row r="7" spans="2:21" x14ac:dyDescent="0.25">
      <c r="B7" s="33" t="s">
        <v>2</v>
      </c>
      <c r="C7" s="33">
        <f>GETPIVOTDATA("Sum of PM FIELD",'Pivot Table'!$A$4,"DAY","Mon")+GETPIVOTDATA("Sum of PM FIELD",'Pivot Table'!$A$16,"DAY","Mon")+GETPIVOTDATA("Sum of PM FIELD",'Pivot Table'!$A$28,"DAY","Mon")+GETPIVOTDATA("Sum of PM FIELD",'Pivot Table'!$A$40,"DAY","Mon")+GETPIVOTDATA("Sum of PM FIELD",'Pivot Table'!$A$52,"DAY","Mon")+GETPIVOTDATA("Sum of PM FIELD",'Pivot Table'!$A$64,"DAY","Mon")+GETPIVOTDATA("Sum of PM FIELD",'Pivot Table'!$A$76,"DAY","Mon")+GETPIVOTDATA("Sum of PM FIELD",'Pivot Table'!$A$88,"DAY","Mon")++GETPIVOTDATA("Sum of PM FIELD",'Pivot Table'!$A$112,"DAY","Mon")+GETPIVOTDATA("Sum of PM FIELD",'Pivot Table'!$A$100,"DAY","Mon")+GETPIVOTDATA("Sum of PM FIELD",'Pivot Table'!$A$124,"DAY","Mon")+GETPIVOTDATA("Sum of PM FIELD",'Pivot Table'!$A$136,"DAY","Mon")</f>
        <v>602</v>
      </c>
      <c r="E7" s="33" t="s">
        <v>2</v>
      </c>
      <c r="F7" s="33">
        <f>GETPIVOTDATA("Sum of PM FIELD",'Pivot Table'!$A$4,"DAY","Tue")
+GETPIVOTDATA("Sum of PM FIELD",'Pivot Table'!$A$16,"DAY","Tue")
+GETPIVOTDATA("Sum of PM FIELD",'Pivot Table'!$A$28,"DAY","Tue")
+GETPIVOTDATA("Sum of PM FIELD",'Pivot Table'!$A$40,"DAY","Tue")
+GETPIVOTDATA("Sum of PM FIELD",'Pivot Table'!$A$52,"DAY","Tue")
+GETPIVOTDATA("Sum of PM FIELD",'Pivot Table'!$A$64,"DAY","Tue")
+GETPIVOTDATA("Sum of PM FIELD",'Pivot Table'!$A$76,"DAY","Tue")
+GETPIVOTDATA("Sum of PM FIELD",'Pivot Table'!$A$88,"DAY","Tue")
+GETPIVOTDATA("Sum of PM FIELD",'Pivot Table'!$A$100,"DAY","Tue")
+GETPIVOTDATA("Sum of PM FIELD",'Pivot Table'!$A$112,"DAY","Tue")
+GETPIVOTDATA("Sum of PM FIELD",'Pivot Table'!$A$124,"DAY","Tue")
+GETPIVOTDATA("Sum of PM FIELD",'Pivot Table'!$A$136,"DAY","Tue")</f>
        <v>113</v>
      </c>
      <c r="H7" s="33" t="s">
        <v>2</v>
      </c>
      <c r="I7" s="33">
        <f>GETPIVOTDATA("Sum of PM FIELD",'Pivot Table'!$A$4,"DAY","Wed")
+GETPIVOTDATA("Sum of PM FIELD",'Pivot Table'!$A$16,"DAY","Wed")
+GETPIVOTDATA("Sum of PM FIELD",'Pivot Table'!$A$28,"DAY","Wed")
+GETPIVOTDATA("Sum of PM FIELD",'Pivot Table'!$A$40,"DAY","Wed")
+GETPIVOTDATA("Sum of PM FIELD",'Pivot Table'!$A$52,"DAY","Wed")
+GETPIVOTDATA("Sum of PM FIELD",'Pivot Table'!$A$64,"DAY","Wed")
+GETPIVOTDATA("Sum of PM FIELD",'Pivot Table'!$A$76,"DAY","Wed")
+GETPIVOTDATA("Sum of PM FIELD",'Pivot Table'!$A$88,"DAY","Wed")
+GETPIVOTDATA("Sum of PM FIELD",'Pivot Table'!$A$100,"DAY","Wed")
+GETPIVOTDATA("Sum of PM FIELD",'Pivot Table'!$A$112,"DAY","Wed")
+GETPIVOTDATA("Sum of PM FIELD",'Pivot Table'!$A$124,"DAY","Wed")
+GETPIVOTDATA("Sum of PM FIELD",'Pivot Table'!$A$136,"DAY","Wed")</f>
        <v>422</v>
      </c>
      <c r="K7" s="33" t="s">
        <v>2</v>
      </c>
      <c r="L7" s="33">
        <f>GETPIVOTDATA("Sum of PM FIELD",'Pivot Table'!$A$4,"DAY","Thu")
+GETPIVOTDATA("Sum of PM FIELD",'Pivot Table'!$A$16,"DAY","Thu")
+GETPIVOTDATA("Sum of PM FIELD",'Pivot Table'!$A$28,"DAY","Thu")
+GETPIVOTDATA("Sum of PM FIELD",'Pivot Table'!$A$40,"DAY","Thu")
+GETPIVOTDATA("Sum of PM FIELD",'Pivot Table'!$A$52,"DAY","Thu")
+GETPIVOTDATA("Sum of PM FIELD",'Pivot Table'!$A$64,"DAY","Thu")
+GETPIVOTDATA("Sum of PM FIELD",'Pivot Table'!$A$76,"DAY","Thu")
+GETPIVOTDATA("Sum of PM FIELD",'Pivot Table'!$A$88,"DAY","Thu")
+GETPIVOTDATA("Sum of PM FIELD",'Pivot Table'!$A$100,"DAY","Thu")
+GETPIVOTDATA("Sum of PM FIELD",'Pivot Table'!$A$112,"DAY","Thu")
+GETPIVOTDATA("Sum of PM FIELD",'Pivot Table'!$A$124,"DAY","Thu")
+GETPIVOTDATA("Sum of PM FIELD",'Pivot Table'!$A$136,"DAY","Thu")</f>
        <v>665</v>
      </c>
      <c r="N7" s="33" t="s">
        <v>2</v>
      </c>
      <c r="O7" s="33">
        <f>GETPIVOTDATA("Sum of PM FIELD",'Pivot Table'!$A$4,"DAY","Fri")
+GETPIVOTDATA("Sum of PM FIELD",'Pivot Table'!$A$16,"DAY","Fri")
+GETPIVOTDATA("Sum of PM FIELD",'Pivot Table'!$A$28,"DAY","Fri")
+GETPIVOTDATA("Sum of PM FIELD",'Pivot Table'!$A$40,"DAY","Fri")
+GETPIVOTDATA("Sum of PM FIELD",'Pivot Table'!$A$52,"DAY","Fri")
+GETPIVOTDATA("Sum of PM FIELD",'Pivot Table'!$A$64,"DAY","Fri")
+GETPIVOTDATA("Sum of PM FIELD",'Pivot Table'!$A$76,"DAY","Fri")
+GETPIVOTDATA("Sum of PM FIELD",'Pivot Table'!$A$88,"DAY","Fri")
+GETPIVOTDATA("Sum of PM FIELD",'Pivot Table'!$A$100,"DAY","Fri")
+GETPIVOTDATA("Sum of PM FIELD",'Pivot Table'!$A$112,"DAY","Fri")
+GETPIVOTDATA("Sum of PM FIELD",'Pivot Table'!$A$124,"DAY","Fri")
+GETPIVOTDATA("Sum of PM FIELD",'Pivot Table'!$A$136,"DAY","Fri")</f>
        <v>559</v>
      </c>
      <c r="Q7" s="33" t="s">
        <v>2</v>
      </c>
      <c r="R7" s="33">
        <f>GETPIVOTDATA("Sum of PM FIELD",'Pivot Table'!$A$4,"DAY","Sat")
+GETPIVOTDATA("Sum of PM FIELD",'Pivot Table'!$A$16,"DAY","Sat")
+GETPIVOTDATA("Sum of PM FIELD",'Pivot Table'!$A$28,"DAY","Sat")
+GETPIVOTDATA("Sum of PM FIELD",'Pivot Table'!$A$40,"DAY","Sat")
+GETPIVOTDATA("Sum of PM FIELD",'Pivot Table'!$A$52,"DAY","Sat")
+GETPIVOTDATA("Sum of PM FIELD",'Pivot Table'!$A$64,"DAY","Sat")
+GETPIVOTDATA("Sum of PM FIELD",'Pivot Table'!$A$76,"DAY","Sat")
+GETPIVOTDATA("Sum of PM FIELD",'Pivot Table'!$A$88,"DAY","Sat")
+GETPIVOTDATA("Sum of PM FIELD",'Pivot Table'!$A$100,"DAY","Sat")
+GETPIVOTDATA("Sum of PM FIELD",'Pivot Table'!$A$112,"DAY","Sat")
+GETPIVOTDATA("Sum of PM FIELD",'Pivot Table'!$A$124,"DAY","Sat")
+GETPIVOTDATA("Sum of PM FIELD",'Pivot Table'!$A$136,"DAY","Sat")</f>
        <v>584</v>
      </c>
      <c r="T7" s="33" t="s">
        <v>2</v>
      </c>
      <c r="U7" s="33">
        <f>GETPIVOTDATA("Sum of PM FIELD",'Pivot Table'!$A$4,"DAY","Sun")
+GETPIVOTDATA("Sum of PM FIELD",'Pivot Table'!$A$16,"DAY","Sun")
+GETPIVOTDATA("Sum of PM FIELD",'Pivot Table'!$A$28,"DAY","Sun")
+GETPIVOTDATA("Sum of PM FIELD",'Pivot Table'!$A$40,"DAY","Sun")
+GETPIVOTDATA("Sum of PM FIELD",'Pivot Table'!$A$52,"DAY","Sun")
+GETPIVOTDATA("Sum of PM FIELD",'Pivot Table'!$A$64,"DAY","Sun")
+GETPIVOTDATA("Sum of PM FIELD",'Pivot Table'!$A$76,"DAY","Sun")
+GETPIVOTDATA("Sum of PM FIELD",'Pivot Table'!$A$88,"DAY","Sun")
+GETPIVOTDATA("Sum of PM FIELD",'Pivot Table'!$A$100,"DAY","Sun")
+GETPIVOTDATA("Sum of PM FIELD",'Pivot Table'!$A$112,"DAY","Sun")
+GETPIVOTDATA("Sum of PM FIELD",'Pivot Table'!$A$124,"DAY","Sun")
+GETPIVOTDATA("Sum of PM FIELD",'Pivot Table'!$A$136,"DAY","Sun")</f>
        <v>635</v>
      </c>
    </row>
    <row r="8" spans="2:21" x14ac:dyDescent="0.25">
      <c r="B8" s="33" t="s">
        <v>99</v>
      </c>
      <c r="C8" s="33">
        <f>GETPIVOTDATA("Sum of AFTER 3PM",'Pivot Table'!$A$112,"DAY","Mon")+GETPIVOTDATA("Sum of AFTER 3PM",'Pivot Table'!$A$124,"DAY","Mon")+GETPIVOTDATA("Sum of AFTER 3PM",'Pivot Table'!$A$136,"DAY","Mon")</f>
        <v>0</v>
      </c>
      <c r="E8" s="33" t="s">
        <v>99</v>
      </c>
      <c r="F8" s="33">
        <f>GETPIVOTDATA("Sum of AFTER 3PM",'Pivot Table'!$A$112,"DAY","Tue")+GETPIVOTDATA("Sum of AFTER 3PM",'Pivot Table'!$A$124,"DAY","Tue")+GETPIVOTDATA("Sum of AFTER 3PM",'Pivot Table'!$A$136,"DAY","Tue")</f>
        <v>0</v>
      </c>
      <c r="H8" s="33" t="s">
        <v>99</v>
      </c>
      <c r="I8" s="33">
        <f>GETPIVOTDATA("Sum of AFTER 3PM",'Pivot Table'!$A$112,"DAY","Wed")+GETPIVOTDATA("Sum of AFTER 3PM",'Pivot Table'!$A$124,"DAY","Wed")+GETPIVOTDATA("Sum of AFTER 3PM",'Pivot Table'!$A$136,"DAY","Wed")</f>
        <v>0</v>
      </c>
      <c r="K8" s="33" t="s">
        <v>99</v>
      </c>
      <c r="L8" s="33">
        <f>GETPIVOTDATA("Sum of AFTER 3PM",'Pivot Table'!$A$112,"DAY","Thu")+GETPIVOTDATA("Sum of AFTER 3PM",'Pivot Table'!$A$124,"DAY","Thu")+GETPIVOTDATA("Sum of AFTER 3PM",'Pivot Table'!$A$136,"DAY","Thu")</f>
        <v>0</v>
      </c>
      <c r="N8" s="33" t="s">
        <v>99</v>
      </c>
      <c r="O8" s="33">
        <f>GETPIVOTDATA("Sum of AFTER 3PM",'Pivot Table'!$A$112,"DAY","Fri")+GETPIVOTDATA("Sum of AFTER 3PM",'Pivot Table'!$A$124,"DAY","Fri")+GETPIVOTDATA("Sum of AFTER 3PM",'Pivot Table'!$A$136,"DAY","Fri")</f>
        <v>0</v>
      </c>
      <c r="Q8" s="33" t="s">
        <v>99</v>
      </c>
      <c r="R8" s="33">
        <f>GETPIVOTDATA("Sum of AFTER 3PM",'Pivot Table'!$A$112,"DAY","Sat")+GETPIVOTDATA("Sum of AFTER 3PM",'Pivot Table'!$A$124,"DAY","Sat")+GETPIVOTDATA("Sum of AFTER 3PM",'Pivot Table'!$A$136,"DAY","Sat")</f>
        <v>0</v>
      </c>
      <c r="T8" s="33" t="s">
        <v>99</v>
      </c>
      <c r="U8" s="33">
        <f>GETPIVOTDATA("Sum of AFTER 3PM",'Pivot Table'!$A$112,"DAY","Sun")+GETPIVOTDATA("Sum of AFTER 3PM",'Pivot Table'!$A$124,"DAY","Sun")+GETPIVOTDATA("Sum of AFTER 3PM",'Pivot Table'!$A$136,"DAY","Sun")</f>
        <v>0</v>
      </c>
    </row>
    <row r="9" spans="2:21" x14ac:dyDescent="0.25">
      <c r="B9" s="33" t="s">
        <v>3</v>
      </c>
      <c r="C9" s="33">
        <f>GETPIVOTDATA("Sum of TOTAL FIELD",'Pivot Table'!$A$4,"DAY","Mon")
+GETPIVOTDATA("Sum of TOTAL FIELD",'Pivot Table'!$A$16,"DAY","Mon")
+GETPIVOTDATA("Sum of TOTAL FIELD",'Pivot Table'!$A$28,"DAY","Mon")
+GETPIVOTDATA("Sum of TOTAL FIELD",'Pivot Table'!$A$40,"DAY","Mon")
+GETPIVOTDATA("Sum of TOTAL FIELD",'Pivot Table'!$A$52,"DAY","Mon")
+GETPIVOTDATA("Sum of TOTAL FIELD",'Pivot Table'!$A$64,"DAY","Mon")
+GETPIVOTDATA("Sum of TOTAL FIELD",'Pivot Table'!$A$76,"DAY","Mon")
+GETPIVOTDATA("Sum of TOTAL FIELD",'Pivot Table'!$A$88,"DAY","Mon")
+GETPIVOTDATA("Sum of TOTAL FIELD",'Pivot Table'!$A$100,"DAY","Mon")
+GETPIVOTDATA("Sum of TOTAL FIELD",'Pivot Table'!$A$112,"DAY","Mon")
+GETPIVOTDATA("Sum of TOTAL FIELD",'Pivot Table'!$A$124,"DAY","Mon")
+GETPIVOTDATA("Sum of TOTAL FIELD",'Pivot Table'!$A$136,"DAY","Mon")</f>
        <v>1199</v>
      </c>
      <c r="E9" s="33" t="s">
        <v>3</v>
      </c>
      <c r="F9" s="33">
        <f>GETPIVOTDATA("Sum of TOTAL FIELD",'Pivot Table'!$A$4,"DAY","Tue")
+GETPIVOTDATA("Sum of TOTAL FIELD",'Pivot Table'!$A$16,"DAY","Tue")
+GETPIVOTDATA("Sum of TOTAL FIELD",'Pivot Table'!$A$28,"DAY","Tue")
+GETPIVOTDATA("Sum of TOTAL FIELD",'Pivot Table'!$A$40,"DAY","Tue")
+GETPIVOTDATA("Sum of TOTAL FIELD",'Pivot Table'!$A$52,"DAY","Tue")
+GETPIVOTDATA("Sum of TOTAL FIELD",'Pivot Table'!$A$64,"DAY","Tue")
+GETPIVOTDATA("Sum of TOTAL FIELD",'Pivot Table'!$A$76,"DAY","Tue")
+GETPIVOTDATA("Sum of TOTAL FIELD",'Pivot Table'!$A$88,"DAY","Tue")
+GETPIVOTDATA("Sum of TOTAL FIELD",'Pivot Table'!$A$100,"DAY","Tue")
+GETPIVOTDATA("Sum of TOTAL FIELD",'Pivot Table'!$A$112,"DAY","Tue")
+GETPIVOTDATA("Sum of TOTAL FIELD",'Pivot Table'!$A$124,"DAY","Tue")
+GETPIVOTDATA("Sum of TOTAL FIELD",'Pivot Table'!$A$136,"DAY","Tue")</f>
        <v>1028</v>
      </c>
      <c r="H9" s="33" t="s">
        <v>3</v>
      </c>
      <c r="I9" s="33">
        <f>GETPIVOTDATA("Sum of TOTAL FIELD",'Pivot Table'!$A$4,"DAY","Wed")
+GETPIVOTDATA("Sum of TOTAL FIELD",'Pivot Table'!$A$16,"DAY","Wed")
+GETPIVOTDATA("Sum of TOTAL FIELD",'Pivot Table'!$A$28,"DAY","Wed")
+GETPIVOTDATA("Sum of TOTAL FIELD",'Pivot Table'!$A$40,"DAY","Wed")
+GETPIVOTDATA("Sum of TOTAL FIELD",'Pivot Table'!$A$52,"DAY","Wed")
+GETPIVOTDATA("Sum of TOTAL FIELD",'Pivot Table'!$A$64,"DAY","Wed")
+GETPIVOTDATA("Sum of TOTAL FIELD",'Pivot Table'!$A$76,"DAY","Wed")
+GETPIVOTDATA("Sum of TOTAL FIELD",'Pivot Table'!$A$88,"DAY","Wed")
+GETPIVOTDATA("Sum of TOTAL FIELD",'Pivot Table'!$A$100,"DAY","Wed")
+GETPIVOTDATA("Sum of TOTAL FIELD",'Pivot Table'!$A$112,"DAY","Wed")
+GETPIVOTDATA("Sum of TOTAL FIELD",'Pivot Table'!$A$124,"DAY","Wed")
+GETPIVOTDATA("Sum of TOTAL FIELD",'Pivot Table'!$A$136,"DAY","Wed")</f>
        <v>1280</v>
      </c>
      <c r="K9" s="33" t="s">
        <v>3</v>
      </c>
      <c r="L9" s="33">
        <f>GETPIVOTDATA("Sum of TOTAL FIELD",'Pivot Table'!$A$4,"DAY","Thu")
+GETPIVOTDATA("Sum of TOTAL FIELD",'Pivot Table'!$A$16,"DAY","Thu")
+GETPIVOTDATA("Sum of TOTAL FIELD",'Pivot Table'!$A$28,"DAY","Thu")
+GETPIVOTDATA("Sum of TOTAL FIELD",'Pivot Table'!$A$40,"DAY","Thu")
+GETPIVOTDATA("Sum of TOTAL FIELD",'Pivot Table'!$A$52,"DAY","Thu")
+GETPIVOTDATA("Sum of TOTAL FIELD",'Pivot Table'!$A$64,"DAY","Thu")
+GETPIVOTDATA("Sum of TOTAL FIELD",'Pivot Table'!$A$76,"DAY","Thu")
+GETPIVOTDATA("Sum of TOTAL FIELD",'Pivot Table'!$A$88,"DAY","Thu")
+GETPIVOTDATA("Sum of TOTAL FIELD",'Pivot Table'!$A$100,"DAY","Thu")
+GETPIVOTDATA("Sum of TOTAL FIELD",'Pivot Table'!$A$112,"DAY","Thu")
+GETPIVOTDATA("Sum of TOTAL FIELD",'Pivot Table'!$A$124,"DAY","Thu")
+GETPIVOTDATA("Sum of TOTAL FIELD",'Pivot Table'!$A$136,"DAY","Thu")</f>
        <v>1649</v>
      </c>
      <c r="N9" s="33" t="s">
        <v>3</v>
      </c>
      <c r="O9" s="33">
        <f>GETPIVOTDATA("Sum of TOTAL FIELD",'Pivot Table'!$A$4,"DAY","Fri")
+GETPIVOTDATA("Sum of TOTAL FIELD",'Pivot Table'!$A$16,"DAY","Fri")
+GETPIVOTDATA("Sum of TOTAL FIELD",'Pivot Table'!$A$28,"DAY","Fri")
+GETPIVOTDATA("Sum of TOTAL FIELD",'Pivot Table'!$A$40,"DAY","Fri")
+GETPIVOTDATA("Sum of TOTAL FIELD",'Pivot Table'!$A$52,"DAY","Fri")
+GETPIVOTDATA("Sum of TOTAL FIELD",'Pivot Table'!$A$64,"DAY","Fri")
+GETPIVOTDATA("Sum of TOTAL FIELD",'Pivot Table'!$A$76,"DAY","Fri")
+GETPIVOTDATA("Sum of TOTAL FIELD",'Pivot Table'!$A$88,"DAY","Fri")
+GETPIVOTDATA("Sum of TOTAL FIELD",'Pivot Table'!$A$100,"DAY","Fri")
+GETPIVOTDATA("Sum of TOTAL FIELD",'Pivot Table'!$A$112,"DAY","Fri")
+GETPIVOTDATA("Sum of TOTAL FIELD",'Pivot Table'!$A$124,"DAY","Fri")
+GETPIVOTDATA("Sum of TOTAL FIELD",'Pivot Table'!$A$136,"DAY","Fri")</f>
        <v>1707</v>
      </c>
      <c r="Q9" s="33" t="s">
        <v>3</v>
      </c>
      <c r="R9" s="33">
        <f>GETPIVOTDATA("Sum of TOTAL FIELD",'Pivot Table'!$A$4,"DAY","Sat")
+GETPIVOTDATA("Sum of TOTAL FIELD",'Pivot Table'!$A$16,"DAY","Sat")
+GETPIVOTDATA("Sum of TOTAL FIELD",'Pivot Table'!$A$28,"DAY","Sat")
+GETPIVOTDATA("Sum of TOTAL FIELD",'Pivot Table'!$A$40,"DAY","Sat")
+GETPIVOTDATA("Sum of TOTAL FIELD",'Pivot Table'!$A$52,"DAY","Sat")
+GETPIVOTDATA("Sum of TOTAL FIELD",'Pivot Table'!$A$64,"DAY","Sat")
+GETPIVOTDATA("Sum of TOTAL FIELD",'Pivot Table'!$A$76,"DAY","Sat")
+GETPIVOTDATA("Sum of TOTAL FIELD",'Pivot Table'!$A$88,"DAY","Sat")
+GETPIVOTDATA("Sum of TOTAL FIELD",'Pivot Table'!$A$100,"DAY","Sat")
+GETPIVOTDATA("Sum of TOTAL FIELD",'Pivot Table'!$A$112,"DAY","Sat")
+GETPIVOTDATA("Sum of TOTAL FIELD",'Pivot Table'!$A$124,"DAY","Sat")
+GETPIVOTDATA("Sum of TOTAL FIELD",'Pivot Table'!$A$136,"DAY","Sat")</f>
        <v>1401</v>
      </c>
      <c r="T9" s="33" t="s">
        <v>3</v>
      </c>
      <c r="U9" s="33">
        <f>GETPIVOTDATA("Sum of TOTAL FIELD",'Pivot Table'!$A$4,"DAY","Sun")
+GETPIVOTDATA("Sum of TOTAL FIELD",'Pivot Table'!$A$16,"DAY","Sun")
+GETPIVOTDATA("Sum of TOTAL FIELD",'Pivot Table'!$A$28,"DAY","Sun")
+GETPIVOTDATA("Sum of TOTAL FIELD",'Pivot Table'!$A$40,"DAY","Sun")
+GETPIVOTDATA("Sum of TOTAL FIELD",'Pivot Table'!$A$52,"DAY","Sun")
+GETPIVOTDATA("Sum of TOTAL FIELD",'Pivot Table'!$A$64,"DAY","Sun")
+GETPIVOTDATA("Sum of TOTAL FIELD",'Pivot Table'!$A$76,"DAY","Sun")
+GETPIVOTDATA("Sum of TOTAL FIELD",'Pivot Table'!$A$88,"DAY","Sun")
+GETPIVOTDATA("Sum of TOTAL FIELD",'Pivot Table'!$A$100,"DAY","Sun")
+GETPIVOTDATA("Sum of TOTAL FIELD",'Pivot Table'!$A$112,"DAY","Sun")
+GETPIVOTDATA("Sum of TOTAL FIELD",'Pivot Table'!$A$124,"DAY","Sun")
+GETPIVOTDATA("Sum of TOTAL FIELD",'Pivot Table'!$A$136,"DAY","Sun")</f>
        <v>1658</v>
      </c>
    </row>
    <row r="10" spans="2:21" x14ac:dyDescent="0.25">
      <c r="B10" s="33" t="s">
        <v>76</v>
      </c>
      <c r="C10" s="33">
        <f>GETPIVOTDATA("Sum of No. GUESTS",'Pivot Table'!$A$4,"DAY","Mon")+GETPIVOTDATA("Sum of No. GUESTS",'Pivot Table'!$A$16,"DAY","Mon")+GETPIVOTDATA("Sum of No. GUESTS",'Pivot Table'!$A$28,"DAY","Mon")+GETPIVOTDATA("Sum of No. GUESTS",'Pivot Table'!$A$40,"DAY","Mon")+GETPIVOTDATA("Sum of No. GUESTS",'Pivot Table'!$A$52,"DAY","Mon")+GETPIVOTDATA("Sum of No. GUESTS",'Pivot Table'!$A$64,"DAY","Mon")+GETPIVOTDATA("Sum of No. GUESTS",'Pivot Table'!$A$76,"DAY","Mon")+GETPIVOTDATA("Sum of No. GUESTS",'Pivot Table'!$A$88,"DAY","Mon")+GETPIVOTDATA("Sum of No. GUESTS",'Pivot Table'!$A$100,"DAY","Mon")+GETPIVOTDATA("Sum of No. GUESTS",'Pivot Table'!$A$112,"DAY","Mon")+GETPIVOTDATA("Sum of No. GUESTS",'Pivot Table'!$A$124,"DAY","Mon")+GETPIVOTDATA("Sum of No. GUESTS",'Pivot Table'!$A$136,"DAY","Mon")</f>
        <v>346</v>
      </c>
      <c r="E10" s="33" t="s">
        <v>76</v>
      </c>
      <c r="F10" s="33">
        <f>GETPIVOTDATA("Sum of No. GUESTS",'Pivot Table'!$A$4,"DAY","Tue")
+GETPIVOTDATA("Sum of No. GUESTS",'Pivot Table'!$A$16,"DAY","Tue")
+GETPIVOTDATA("Sum of No. GUESTS",'Pivot Table'!$A$28,"DAY","Tue")
+GETPIVOTDATA("Sum of No. GUESTS",'Pivot Table'!$A$40,"DAY","Tue")
+GETPIVOTDATA("Sum of No. GUESTS",'Pivot Table'!$A$52,"DAY","Tue")
+GETPIVOTDATA("Sum of No. GUESTS",'Pivot Table'!$A$64,"DAY","Tue")
+GETPIVOTDATA("Sum of No. GUESTS",'Pivot Table'!$A$76,"DAY","Tue")
+GETPIVOTDATA("Sum of No. GUESTS",'Pivot Table'!$A$88,"DAY","Tue")
+GETPIVOTDATA("Sum of No. GUESTS",'Pivot Table'!$A$100,"DAY","Tue")
+GETPIVOTDATA("Sum of No. GUESTS",'Pivot Table'!$A$112,"DAY","Tue")
+GETPIVOTDATA("Sum of No. GUESTS",'Pivot Table'!$A$124,"DAY","Tue")
+GETPIVOTDATA("Sum of No. GUESTS",'Pivot Table'!$A$136,"DAY","Tue")</f>
        <v>79</v>
      </c>
      <c r="H10" s="33" t="s">
        <v>76</v>
      </c>
      <c r="I10" s="33">
        <f>GETPIVOTDATA("Sum of No. GUESTS",'Pivot Table'!$A$4,"DAY","Wed")
+GETPIVOTDATA("Sum of No. GUESTS",'Pivot Table'!$A$16,"DAY","Wed")
+GETPIVOTDATA("Sum of No. GUESTS",'Pivot Table'!$A$28,"DAY","Wed")
+GETPIVOTDATA("Sum of No. GUESTS",'Pivot Table'!$A$40,"DAY","Wed")
+GETPIVOTDATA("Sum of No. GUESTS",'Pivot Table'!$A$52,"DAY","Wed")
+GETPIVOTDATA("Sum of No. GUESTS",'Pivot Table'!$A$64,"DAY","Wed")
+GETPIVOTDATA("Sum of No. GUESTS",'Pivot Table'!$A$76,"DAY","Wed")
+GETPIVOTDATA("Sum of No. GUESTS",'Pivot Table'!$A$88,"DAY","Wed")
+GETPIVOTDATA("Sum of No. GUESTS",'Pivot Table'!$A$100,"DAY","Wed")
+GETPIVOTDATA("Sum of No. GUESTS",'Pivot Table'!$A$112,"DAY","Wed")
+GETPIVOTDATA("Sum of No. GUESTS",'Pivot Table'!$A$124,"DAY","Wed")
+GETPIVOTDATA("Sum of No. GUESTS",'Pivot Table'!$A$136,"DAY","Wed")</f>
        <v>655</v>
      </c>
      <c r="K10" s="33" t="s">
        <v>76</v>
      </c>
      <c r="L10" s="33">
        <f>GETPIVOTDATA("Sum of No. GUESTS",'Pivot Table'!$A$4,"DAY","Thu")
+GETPIVOTDATA("Sum of No. GUESTS",'Pivot Table'!$A$16,"DAY","Thu")
+GETPIVOTDATA("Sum of No. GUESTS",'Pivot Table'!$A$28,"DAY","Thu")
+GETPIVOTDATA("Sum of No. GUESTS",'Pivot Table'!$A$40,"DAY","Thu")
+GETPIVOTDATA("Sum of No. GUESTS",'Pivot Table'!$A$52,"DAY","Thu")
+GETPIVOTDATA("Sum of No. GUESTS",'Pivot Table'!$A$64,"DAY","Thu")
+GETPIVOTDATA("Sum of No. GUESTS",'Pivot Table'!$A$76,"DAY","Thu")
+GETPIVOTDATA("Sum of No. GUESTS",'Pivot Table'!$A$88,"DAY","Thu")
+GETPIVOTDATA("Sum of No. GUESTS",'Pivot Table'!$A$100,"DAY","Thu")
+GETPIVOTDATA("Sum of No. GUESTS",'Pivot Table'!$A$112,"DAY","Thu")
+GETPIVOTDATA("Sum of No. GUESTS",'Pivot Table'!$A$124,"DAY","Thu")
+GETPIVOTDATA("Sum of No. GUESTS",'Pivot Table'!$A$136,"DAY","Thu")</f>
        <v>144</v>
      </c>
      <c r="N10" s="33" t="s">
        <v>76</v>
      </c>
      <c r="O10" s="33">
        <f>GETPIVOTDATA("Sum of No. GUESTS",'Pivot Table'!$A$4,"DAY","Fri")
+GETPIVOTDATA("Sum of No. GUESTS",'Pivot Table'!$A$16,"DAY","Fri")
+GETPIVOTDATA("Sum of No. GUESTS",'Pivot Table'!$A$28,"DAY","Fri")
+GETPIVOTDATA("Sum of No. GUESTS",'Pivot Table'!$A$40,"DAY","Fri")
+GETPIVOTDATA("Sum of No. GUESTS",'Pivot Table'!$A$52,"DAY","Fri")
+GETPIVOTDATA("Sum of No. GUESTS",'Pivot Table'!$A$64,"DAY","Fri")
+GETPIVOTDATA("Sum of No. GUESTS",'Pivot Table'!$A$76,"DAY","Fri")
+GETPIVOTDATA("Sum of No. GUESTS",'Pivot Table'!$A$88,"DAY","Fri")
+GETPIVOTDATA("Sum of No. GUESTS",'Pivot Table'!$A$100,"DAY","Fri")
+GETPIVOTDATA("Sum of No. GUESTS",'Pivot Table'!$A$112,"DAY","Fri")
+GETPIVOTDATA("Sum of No. GUESTS",'Pivot Table'!$A$124,"DAY","Fri")
+GETPIVOTDATA("Sum of No. GUESTS",'Pivot Table'!$A$136,"DAY","Fri")</f>
        <v>510</v>
      </c>
      <c r="Q10" s="33" t="s">
        <v>76</v>
      </c>
      <c r="R10" s="33">
        <f>GETPIVOTDATA("Sum of No. GUESTS",'Pivot Table'!$A$4,"DAY","Sat")
+GETPIVOTDATA("Sum of No. GUESTS",'Pivot Table'!$A$16,"DAY","Sat")
+GETPIVOTDATA("Sum of No. GUESTS",'Pivot Table'!$A$28,"DAY","Sat")
+GETPIVOTDATA("Sum of No. GUESTS",'Pivot Table'!$A$40,"DAY","Sat")
+GETPIVOTDATA("Sum of No. GUESTS",'Pivot Table'!$A$52,"DAY","Sat")
+GETPIVOTDATA("Sum of No. GUESTS",'Pivot Table'!$A$64,"DAY","Sat")
+GETPIVOTDATA("Sum of No. GUESTS",'Pivot Table'!$A$76,"DAY","Sat")
+GETPIVOTDATA("Sum of No. GUESTS",'Pivot Table'!$A$88,"DAY","Sat")
+GETPIVOTDATA("Sum of No. GUESTS",'Pivot Table'!$A$100,"DAY","Sat")
+GETPIVOTDATA("Sum of No. GUESTS",'Pivot Table'!$A$112,"DAY","Sat")
+GETPIVOTDATA("Sum of No. GUESTS",'Pivot Table'!$A$124,"DAY","Sat")
+GETPIVOTDATA("Sum of No. GUESTS",'Pivot Table'!$A$136,"DAY","Sat")</f>
        <v>7</v>
      </c>
      <c r="T10" s="33" t="s">
        <v>76</v>
      </c>
      <c r="U10" s="33">
        <f>GETPIVOTDATA("Sum of No. GUESTS",'Pivot Table'!$A$4,"DAY","Sun")
+GETPIVOTDATA("Sum of No. GUESTS",'Pivot Table'!$A$16,"DAY","Sun")
+GETPIVOTDATA("Sum of No. GUESTS",'Pivot Table'!$A$28,"DAY","Sun")
+GETPIVOTDATA("Sum of No. GUESTS",'Pivot Table'!$A$40,"DAY","Sun")
+GETPIVOTDATA("Sum of No. GUESTS",'Pivot Table'!$A$52,"DAY","Sun")
+GETPIVOTDATA("Sum of No. GUESTS",'Pivot Table'!$A$64,"DAY","Sun")
+GETPIVOTDATA("Sum of No. GUESTS",'Pivot Table'!$A$76,"DAY","Sun")
+GETPIVOTDATA("Sum of No. GUESTS",'Pivot Table'!$A$88,"DAY","Sun")
+GETPIVOTDATA("Sum of No. GUESTS",'Pivot Table'!$A$100,"DAY","Sun")
+GETPIVOTDATA("Sum of No. GUESTS",'Pivot Table'!$A$112,"DAY","Sun")
+GETPIVOTDATA("Sum of No. GUESTS",'Pivot Table'!$A$124,"DAY","Sun")
+GETPIVOTDATA("Sum of No. GUESTS",'Pivot Table'!$A$136,"DAY","Sun")</f>
        <v>322</v>
      </c>
    </row>
    <row r="11" spans="2:21" s="42" customFormat="1" ht="33" customHeight="1" x14ac:dyDescent="0.25">
      <c r="B11" s="41" t="s">
        <v>68</v>
      </c>
      <c r="C11" s="44">
        <f>SUM(C10/C9)</f>
        <v>0.28857381150959133</v>
      </c>
      <c r="E11" s="41" t="s">
        <v>68</v>
      </c>
      <c r="F11" s="44">
        <f>SUM(F10/F9)</f>
        <v>7.6848249027237359E-2</v>
      </c>
      <c r="H11" s="41" t="s">
        <v>68</v>
      </c>
      <c r="I11" s="44">
        <f>SUM(I10/I9)</f>
        <v>0.51171875</v>
      </c>
      <c r="K11" s="41" t="s">
        <v>68</v>
      </c>
      <c r="L11" s="44">
        <f>SUM(L10/L9)</f>
        <v>8.7325651910248631E-2</v>
      </c>
      <c r="N11" s="41" t="s">
        <v>68</v>
      </c>
      <c r="O11" s="44">
        <f>SUM(O10/O9)</f>
        <v>0.29876977152899825</v>
      </c>
      <c r="Q11" s="41" t="s">
        <v>68</v>
      </c>
      <c r="R11" s="44">
        <f>SUM(R10/R9)</f>
        <v>4.9964311206281229E-3</v>
      </c>
      <c r="T11" s="41" t="s">
        <v>68</v>
      </c>
      <c r="U11" s="44">
        <f>SUM(U10/U9)</f>
        <v>0.19420989143546441</v>
      </c>
    </row>
    <row r="12" spans="2:21" x14ac:dyDescent="0.25">
      <c r="B12" s="32" t="s">
        <v>4</v>
      </c>
      <c r="C12" s="33">
        <f>GETPIVOTDATA("Sum of MEMBER",'Pivot Table'!$A$4,"DAY","Mon")+GETPIVOTDATA("Sum of MEMBER",'Pivot Table'!$A$16,"DAY","Mon")+GETPIVOTDATA("Sum of MEMBER",'Pivot Table'!$A$28,"DAY","Mon")+GETPIVOTDATA("Sum of MEMBER",'Pivot Table'!$A$40,"DAY","Mon")+GETPIVOTDATA("Sum of MEMBER",'Pivot Table'!$A$52,"DAY","Mon")+GETPIVOTDATA("Sum of MEMBER",'Pivot Table'!$A$64,"DAY","Mon")+GETPIVOTDATA("Sum of MEMBER",'Pivot Table'!$A$76,"DAY","Mon")+GETPIVOTDATA("Sum of MEMBER",'Pivot Table'!$A$88,"DAY","Mon")+GETPIVOTDATA("Sum of MEMBER",'Pivot Table'!$A$100,"DAY","Mon")+GETPIVOTDATA("Sum of MEMBER",'Pivot Table'!$A$112,"DAY","Mon")+GETPIVOTDATA("Sum of MEMBER",'Pivot Table'!$A$124,"DAY","Mon")+GETPIVOTDATA("Sum of MEMBER",'Pivot Table'!$A$136,"DAY","Mon")</f>
        <v>847</v>
      </c>
      <c r="E12" s="32" t="s">
        <v>4</v>
      </c>
      <c r="F12" s="33">
        <f>GETPIVOTDATA("Sum of MEMBER",'Pivot Table'!$A$4,"DAY","Tue")
+GETPIVOTDATA("Sum of MEMBER",'Pivot Table'!$A$16,"DAY","Tue")
+GETPIVOTDATA("Sum of MEMBER",'Pivot Table'!$A$28,"DAY","Tue")
+GETPIVOTDATA("Sum of MEMBER",'Pivot Table'!$A$40,"DAY","Tue")
+GETPIVOTDATA("Sum of MEMBER",'Pivot Table'!$A$52,"DAY","Tue")
+GETPIVOTDATA("Sum of MEMBER",'Pivot Table'!$A$64,"DAY","Tue")
+GETPIVOTDATA("Sum of MEMBER",'Pivot Table'!$A$76,"DAY","Tue")
+GETPIVOTDATA("Sum of MEMBER",'Pivot Table'!$A$88,"DAY","Tue")
+GETPIVOTDATA("Sum of MEMBER",'Pivot Table'!$A$100,"DAY","Tue")
+GETPIVOTDATA("Sum of MEMBER",'Pivot Table'!$A$112,"DAY","Tue")
+GETPIVOTDATA("Sum of MEMBER",'Pivot Table'!$A$124,"DAY","Tue")
+GETPIVOTDATA("Sum of MEMBER",'Pivot Table'!$A$136,"DAY","Tue")</f>
        <v>948</v>
      </c>
      <c r="H12" s="32" t="s">
        <v>4</v>
      </c>
      <c r="I12" s="33">
        <f>GETPIVOTDATA("Sum of MEMBER",'Pivot Table'!$A$4,"DAY","Wed")
+GETPIVOTDATA("Sum of MEMBER",'Pivot Table'!$A$16,"DAY","Wed")
+GETPIVOTDATA("Sum of MEMBER",'Pivot Table'!$A$28,"DAY","Wed")
+GETPIVOTDATA("Sum of MEMBER",'Pivot Table'!$A$40,"DAY","Wed")
+GETPIVOTDATA("Sum of MEMBER",'Pivot Table'!$A$52,"DAY","Wed")
+GETPIVOTDATA("Sum of MEMBER",'Pivot Table'!$A$64,"DAY","Wed")
+GETPIVOTDATA("Sum of MEMBER",'Pivot Table'!$A$76,"DAY","Wed")
+GETPIVOTDATA("Sum of MEMBER",'Pivot Table'!$A$88,"DAY","Wed")
+GETPIVOTDATA("Sum of MEMBER",'Pivot Table'!$A$100,"DAY","Wed")
+GETPIVOTDATA("Sum of MEMBER",'Pivot Table'!$A$112,"DAY","Wed")
+GETPIVOTDATA("Sum of MEMBER",'Pivot Table'!$A$124,"DAY","Wed")
+GETPIVOTDATA("Sum of MEMBER",'Pivot Table'!$A$136,"DAY","Wed")</f>
        <v>618</v>
      </c>
      <c r="K12" s="32" t="s">
        <v>4</v>
      </c>
      <c r="L12" s="33">
        <f>GETPIVOTDATA("Sum of MEMBER",'Pivot Table'!$A$4,"DAY","Thu")
+GETPIVOTDATA("Sum of MEMBER",'Pivot Table'!$A$16,"DAY","Thu")
+GETPIVOTDATA("Sum of MEMBER",'Pivot Table'!$A$28,"DAY","Thu")
+GETPIVOTDATA("Sum of MEMBER",'Pivot Table'!$A$40,"DAY","Thu")
+GETPIVOTDATA("Sum of MEMBER",'Pivot Table'!$A$52,"DAY","Thu")
+GETPIVOTDATA("Sum of MEMBER",'Pivot Table'!$A$64,"DAY","Thu")
+GETPIVOTDATA("Sum of MEMBER",'Pivot Table'!$A$76,"DAY","Thu")
+GETPIVOTDATA("Sum of MEMBER",'Pivot Table'!$A$88,"DAY","Thu")
+GETPIVOTDATA("Sum of MEMBER",'Pivot Table'!$A$100,"DAY","Thu")
+GETPIVOTDATA("Sum of MEMBER",'Pivot Table'!$A$112,"DAY","Thu")
+GETPIVOTDATA("Sum of MEMBER",'Pivot Table'!$A$124,"DAY","Thu")
+GETPIVOTDATA("Sum of MEMBER",'Pivot Table'!$A$136,"DAY","Thu")</f>
        <v>1504</v>
      </c>
      <c r="N12" s="32" t="s">
        <v>4</v>
      </c>
      <c r="O12" s="33">
        <f>GETPIVOTDATA("Sum of MEMBER",'Pivot Table'!$A$4,"DAY","Fri")
+GETPIVOTDATA("Sum of MEMBER",'Pivot Table'!$A$16,"DAY","Fri")
+GETPIVOTDATA("Sum of MEMBER",'Pivot Table'!$A$28,"DAY","Fri")
+GETPIVOTDATA("Sum of MEMBER",'Pivot Table'!$A$40,"DAY","Fri")
+GETPIVOTDATA("Sum of MEMBER",'Pivot Table'!$A$52,"DAY","Fri")
+GETPIVOTDATA("Sum of MEMBER",'Pivot Table'!$A$64,"DAY","Fri")
+GETPIVOTDATA("Sum of MEMBER",'Pivot Table'!$A$76,"DAY","Fri")
+GETPIVOTDATA("Sum of MEMBER",'Pivot Table'!$A$88,"DAY","Fri")
+GETPIVOTDATA("Sum of MEMBER",'Pivot Table'!$A$100,"DAY","Fri")
+GETPIVOTDATA("Sum of MEMBER",'Pivot Table'!$A$112,"DAY","Fri")
+GETPIVOTDATA("Sum of MEMBER",'Pivot Table'!$A$124,"DAY","Fri")
+GETPIVOTDATA("Sum of MEMBER",'Pivot Table'!$A$136,"DAY","Fri")</f>
        <v>1186</v>
      </c>
      <c r="Q12" s="32" t="s">
        <v>4</v>
      </c>
      <c r="R12" s="33">
        <f>GETPIVOTDATA("Sum of MEMBER",'Pivot Table'!$A$4,"DAY","Sat")
+GETPIVOTDATA("Sum of MEMBER",'Pivot Table'!$A$16,"DAY","Sat")
+GETPIVOTDATA("Sum of MEMBER",'Pivot Table'!$A$28,"DAY","Sat")
+GETPIVOTDATA("Sum of MEMBER",'Pivot Table'!$A$40,"DAY","Sat")
+GETPIVOTDATA("Sum of MEMBER",'Pivot Table'!$A$52,"DAY","Sat")
+GETPIVOTDATA("Sum of MEMBER",'Pivot Table'!$A$64,"DAY","Sat")
+GETPIVOTDATA("Sum of MEMBER",'Pivot Table'!$A$76,"DAY","Sat")
+GETPIVOTDATA("Sum of MEMBER",'Pivot Table'!$A$88,"DAY","Sat")
+GETPIVOTDATA("Sum of MEMBER",'Pivot Table'!$A$100,"DAY","Sat")
+GETPIVOTDATA("Sum of MEMBER",'Pivot Table'!$A$112,"DAY","Sat")
+GETPIVOTDATA("Sum of MEMBER",'Pivot Table'!$A$124,"DAY","Sat")
+GETPIVOTDATA("Sum of MEMBER",'Pivot Table'!$A$136,"DAY","Sat")</f>
        <v>1394</v>
      </c>
      <c r="T12" s="32" t="s">
        <v>4</v>
      </c>
      <c r="U12" s="33">
        <f>GETPIVOTDATA("Sum of MEMBER",'Pivot Table'!$A$4,"DAY","Sun")
+GETPIVOTDATA("Sum of MEMBER",'Pivot Table'!$A$16,"DAY","Sun")
+GETPIVOTDATA("Sum of MEMBER",'Pivot Table'!$A$28,"DAY","Sun")
+GETPIVOTDATA("Sum of MEMBER",'Pivot Table'!$A$40,"DAY","Sun")
+GETPIVOTDATA("Sum of MEMBER",'Pivot Table'!$A$52,"DAY","Sun")
+GETPIVOTDATA("Sum of MEMBER",'Pivot Table'!$A$64,"DAY","Sun")
+GETPIVOTDATA("Sum of MEMBER",'Pivot Table'!$A$76,"DAY","Sun")
+GETPIVOTDATA("Sum of MEMBER",'Pivot Table'!$A$88,"DAY","Sun")
+GETPIVOTDATA("Sum of MEMBER",'Pivot Table'!$A$100,"DAY","Sun")
+GETPIVOTDATA("Sum of MEMBER",'Pivot Table'!$A$112,"DAY","Sun")
+GETPIVOTDATA("Sum of MEMBER",'Pivot Table'!$A$124,"DAY","Sun")
+GETPIVOTDATA("Sum of MEMBER",'Pivot Table'!$A$136,"DAY","Sun")</f>
        <v>1327</v>
      </c>
    </row>
    <row r="13" spans="2:21" x14ac:dyDescent="0.25">
      <c r="B13" s="33" t="s">
        <v>77</v>
      </c>
      <c r="C13" s="33">
        <f>GETPIVOTDATA("Sum of MANAGER INTRO",'Pivot Table'!$A$4,"DAY","Mon")+GETPIVOTDATA("Sum of MANAGER INTRO",'Pivot Table'!$A$16,"DAY","Mon")+GETPIVOTDATA("Sum of MANAGER INTRO",'Pivot Table'!$A$28,"DAY","Mon")+GETPIVOTDATA("Sum of MANAGER INTRO",'Pivot Table'!$A$40,"DAY","Mon")+GETPIVOTDATA("Sum of MANAGER INTRO",'Pivot Table'!$A$52,"DAY","Mon")+GETPIVOTDATA("Sum of MANAGER INTRO",'Pivot Table'!$A$64,"DAY","Mon")+GETPIVOTDATA("Sum of MANAGER INTRO",'Pivot Table'!$A$76,"DAY","Mon")+GETPIVOTDATA("Sum of MANAGER INTRO",'Pivot Table'!$A$88,"DAY","Mon")+GETPIVOTDATA("Sum of MANAGER INTRO",'Pivot Table'!$A$100,"DAY","Mon")+GETPIVOTDATA("Sum of MANAGER INTRO",'Pivot Table'!$A$112,"DAY","Mon")+GETPIVOTDATA("Sum of MANAGER INTRO",'Pivot Table'!$A$124,"DAY","Mon")+GETPIVOTDATA("Sum of MANAGER INTRO",'Pivot Table'!$A$136,"DAY","Mon")</f>
        <v>27</v>
      </c>
      <c r="E13" s="33" t="s">
        <v>77</v>
      </c>
      <c r="F13" s="33">
        <f>GETPIVOTDATA("Sum of MANAGER INTRO",'Pivot Table'!$A$4,"DAY","Tue")
+GETPIVOTDATA("Sum of MANAGER INTRO",'Pivot Table'!$A$16,"DAY","Tue")
+GETPIVOTDATA("Sum of MANAGER INTRO",'Pivot Table'!$A$28,"DAY","Tue")
+GETPIVOTDATA("Sum of MANAGER INTRO",'Pivot Table'!$A$40,"DAY","Tue")
+GETPIVOTDATA("Sum of MANAGER INTRO",'Pivot Table'!$A$52,"DAY","Tue")
+GETPIVOTDATA("Sum of MANAGER INTRO",'Pivot Table'!$A$64,"DAY","Tue")
+GETPIVOTDATA("Sum of MANAGER INTRO",'Pivot Table'!$A$76,"DAY","Tue")
+GETPIVOTDATA("Sum of MANAGER INTRO",'Pivot Table'!$A$88,"DAY","Tue")
+GETPIVOTDATA("Sum of MANAGER INTRO",'Pivot Table'!$A$100,"DAY","Tue")
+GETPIVOTDATA("Sum of MANAGER INTRO",'Pivot Table'!$A$112,"DAY","Tue")
+GETPIVOTDATA("Sum of MANAGER INTRO",'Pivot Table'!$A$124,"DAY","Tue")
+GETPIVOTDATA("Sum of MANAGER INTRO",'Pivot Table'!$A$136,"DAY","Tue")</f>
        <v>20</v>
      </c>
      <c r="H13" s="33" t="s">
        <v>77</v>
      </c>
      <c r="I13" s="33">
        <f>GETPIVOTDATA("Sum of MANAGER INTRO",'Pivot Table'!$A$4,"DAY","Wed")
+GETPIVOTDATA("Sum of MANAGER INTRO",'Pivot Table'!$A$16,"DAY","Wed")
+GETPIVOTDATA("Sum of MANAGER INTRO",'Pivot Table'!$A$28,"DAY","Wed")
+GETPIVOTDATA("Sum of MANAGER INTRO",'Pivot Table'!$A$40,"DAY","Wed")
+GETPIVOTDATA("Sum of MANAGER INTRO",'Pivot Table'!$A$52,"DAY","Wed")
+GETPIVOTDATA("Sum of MANAGER INTRO",'Pivot Table'!$A$64,"DAY","Wed")
+GETPIVOTDATA("Sum of MANAGER INTRO",'Pivot Table'!$A$76,"DAY","Wed")
+GETPIVOTDATA("Sum of MANAGER INTRO",'Pivot Table'!$A$88,"DAY","Wed")
+GETPIVOTDATA("Sum of MANAGER INTRO",'Pivot Table'!$A$100,"DAY","Wed")
+GETPIVOTDATA("Sum of MANAGER INTRO",'Pivot Table'!$A$112,"DAY","Wed")
+GETPIVOTDATA("Sum of MANAGER INTRO",'Pivot Table'!$A$124,"DAY","Wed")
+GETPIVOTDATA("Sum of MANAGER INTRO",'Pivot Table'!$A$136,"DAY","Wed")</f>
        <v>8</v>
      </c>
      <c r="K13" s="33" t="s">
        <v>77</v>
      </c>
      <c r="L13" s="33">
        <f>GETPIVOTDATA("Sum of MANAGER INTRO",'Pivot Table'!$A$4,"DAY","Thu")
+GETPIVOTDATA("Sum of MANAGER INTRO",'Pivot Table'!$A$16,"DAY","Thu")
+GETPIVOTDATA("Sum of MANAGER INTRO",'Pivot Table'!$A$28,"DAY","Thu")
+GETPIVOTDATA("Sum of MANAGER INTRO",'Pivot Table'!$A$40,"DAY","Thu")
+GETPIVOTDATA("Sum of MANAGER INTRO",'Pivot Table'!$A$52,"DAY","Thu")
+GETPIVOTDATA("Sum of MANAGER INTRO",'Pivot Table'!$A$64,"DAY","Thu")
+GETPIVOTDATA("Sum of MANAGER INTRO",'Pivot Table'!$A$76,"DAY","Thu")
+GETPIVOTDATA("Sum of MANAGER INTRO",'Pivot Table'!$A$88,"DAY","Thu")
+GETPIVOTDATA("Sum of MANAGER INTRO",'Pivot Table'!$A$100,"DAY","Thu")
+GETPIVOTDATA("Sum of MANAGER INTRO",'Pivot Table'!$A$112,"DAY","Thu")
+GETPIVOTDATA("Sum of MANAGER INTRO",'Pivot Table'!$A$124,"DAY","Thu")
+GETPIVOTDATA("Sum of MANAGER INTRO",'Pivot Table'!$A$136,"DAY","Thu")</f>
        <v>11</v>
      </c>
      <c r="N13" s="33" t="s">
        <v>77</v>
      </c>
      <c r="O13" s="33">
        <f>GETPIVOTDATA("Sum of MANAGER INTRO",'Pivot Table'!$A$4,"DAY","Fri")
+GETPIVOTDATA("Sum of MANAGER INTRO",'Pivot Table'!$A$16,"DAY","Fri")
+GETPIVOTDATA("Sum of MANAGER INTRO",'Pivot Table'!$A$28,"DAY","Fri")
+GETPIVOTDATA("Sum of MANAGER INTRO",'Pivot Table'!$A$40,"DAY","Fri")
+GETPIVOTDATA("Sum of MANAGER INTRO",'Pivot Table'!$A$52,"DAY","Fri")
+GETPIVOTDATA("Sum of MANAGER INTRO",'Pivot Table'!$A$64,"DAY","Fri")
+GETPIVOTDATA("Sum of MANAGER INTRO",'Pivot Table'!$A$76,"DAY","Fri")
+GETPIVOTDATA("Sum of MANAGER INTRO",'Pivot Table'!$A$88,"DAY","Fri")
+GETPIVOTDATA("Sum of MANAGER INTRO",'Pivot Table'!$A$100,"DAY","Fri")
+GETPIVOTDATA("Sum of MANAGER INTRO",'Pivot Table'!$A$112,"DAY","Fri")
+GETPIVOTDATA("Sum of MANAGER INTRO",'Pivot Table'!$A$124,"DAY","Fri")
+GETPIVOTDATA("Sum of MANAGER INTRO",'Pivot Table'!$A$136,"DAY","Fri")</f>
        <v>16</v>
      </c>
      <c r="Q13" s="33" t="s">
        <v>77</v>
      </c>
      <c r="R13" s="33">
        <f>GETPIVOTDATA("Sum of MANAGER INTRO",'Pivot Table'!$A$4,"DAY","Sat")
+GETPIVOTDATA("Sum of MANAGER INTRO",'Pivot Table'!$A$16,"DAY","Sat")
+GETPIVOTDATA("Sum of MANAGER INTRO",'Pivot Table'!$A$28,"DAY","Sat")
+GETPIVOTDATA("Sum of MANAGER INTRO",'Pivot Table'!$A$40,"DAY","Sat")
+GETPIVOTDATA("Sum of MANAGER INTRO",'Pivot Table'!$A$52,"DAY","Sat")
+GETPIVOTDATA("Sum of MANAGER INTRO",'Pivot Table'!$A$64,"DAY","Sat")
+GETPIVOTDATA("Sum of MANAGER INTRO",'Pivot Table'!$A$76,"DAY","Sat")
+GETPIVOTDATA("Sum of MANAGER INTRO",'Pivot Table'!$A$88,"DAY","Sat")
+GETPIVOTDATA("Sum of MANAGER INTRO",'Pivot Table'!$A$100,"DAY","Sat")
+GETPIVOTDATA("Sum of MANAGER INTRO",'Pivot Table'!$A$112,"DAY","Sat")
+GETPIVOTDATA("Sum of MANAGER INTRO",'Pivot Table'!$A$124,"DAY","Sat")
+GETPIVOTDATA("Sum of MANAGER INTRO",'Pivot Table'!$A$136,"DAY","Sat")</f>
        <v>1</v>
      </c>
      <c r="T13" s="33" t="s">
        <v>77</v>
      </c>
      <c r="U13" s="33">
        <f>GETPIVOTDATA("Sum of MANAGER INTRO",'Pivot Table'!$A$4,"DAY","Sun")
+GETPIVOTDATA("Sum of MANAGER INTRO",'Pivot Table'!$A$16,"DAY","Sun")
+GETPIVOTDATA("Sum of MANAGER INTRO",'Pivot Table'!$A$28,"DAY","Sun")
+GETPIVOTDATA("Sum of MANAGER INTRO",'Pivot Table'!$A$40,"DAY","Sun")
+GETPIVOTDATA("Sum of MANAGER INTRO",'Pivot Table'!$A$52,"DAY","Sun")
+GETPIVOTDATA("Sum of MANAGER INTRO",'Pivot Table'!$A$64,"DAY","Sun")
+GETPIVOTDATA("Sum of MANAGER INTRO",'Pivot Table'!$A$76,"DAY","Sun")
+GETPIVOTDATA("Sum of MANAGER INTRO",'Pivot Table'!$A$88,"DAY","Sun")
+GETPIVOTDATA("Sum of MANAGER INTRO",'Pivot Table'!$A$100,"DAY","Sun")
+GETPIVOTDATA("Sum of MANAGER INTRO",'Pivot Table'!$A$112,"DAY","Sun")
+GETPIVOTDATA("Sum of MANAGER INTRO",'Pivot Table'!$A$124,"DAY","Sun")
+GETPIVOTDATA("Sum of MANAGER INTRO",'Pivot Table'!$A$136,"DAY","Sun")</f>
        <v>17</v>
      </c>
    </row>
    <row r="14" spans="2:21" x14ac:dyDescent="0.25">
      <c r="B14" s="33" t="s">
        <v>69</v>
      </c>
      <c r="C14" s="33">
        <f>GETPIVOTDATA("Sum of INTERSTATE",'Pivot Table'!$A$4,"DAY","Mon")+GETPIVOTDATA("Sum of INTERSTATE",'Pivot Table'!$A$16,"DAY","Mon")+GETPIVOTDATA("Sum of INTERSTATE",'Pivot Table'!$A$28,"DAY","Mon")+GETPIVOTDATA("Sum of INTERSTATE",'Pivot Table'!$A$40,"DAY","Mon")+GETPIVOTDATA("Sum of INTERSTATE",'Pivot Table'!$A$52,"DAY","Mon")+GETPIVOTDATA("Sum of INTERSTATE",'Pivot Table'!$A$64,"DAY","Mon")+GETPIVOTDATA("Sum of INTERSTATE",'Pivot Table'!$A$76,"DAY","Mon")+GETPIVOTDATA("Sum of INTERSTATE",'Pivot Table'!$A$88,"DAY","Mon")+GETPIVOTDATA("Sum of INTERSTATE",'Pivot Table'!$A$100,"DAY","Mon")+GETPIVOTDATA("Sum of INTERSTATE",'Pivot Table'!$A$112,"DAY","Mon")+GETPIVOTDATA("Sum of INTERSTATE",'Pivot Table'!$A$124,"DAY","Mon")+GETPIVOTDATA("Sum of INTERSTATE",'Pivot Table'!$A$136,"DAY","Mon")</f>
        <v>10</v>
      </c>
      <c r="E14" s="33" t="s">
        <v>69</v>
      </c>
      <c r="F14" s="33">
        <f>GETPIVOTDATA("Sum of INTERSTATE",'Pivot Table'!$A$4,"DAY","Tue")
+GETPIVOTDATA("Sum of INTERSTATE",'Pivot Table'!$A$16,"DAY","Tue")
+GETPIVOTDATA("Sum of INTERSTATE",'Pivot Table'!$A$28,"DAY","Tue")
+GETPIVOTDATA("Sum of INTERSTATE",'Pivot Table'!$A$40,"DAY","Tue")
+GETPIVOTDATA("Sum of INTERSTATE",'Pivot Table'!$A$52,"DAY","Tue")
+GETPIVOTDATA("Sum of INTERSTATE",'Pivot Table'!$A$64,"DAY","Tue")
+GETPIVOTDATA("Sum of INTERSTATE",'Pivot Table'!$A$76,"DAY","Tue")
+GETPIVOTDATA("Sum of INTERSTATE",'Pivot Table'!$A$88,"DAY","Tue")
+GETPIVOTDATA("Sum of INTERSTATE",'Pivot Table'!$A$100,"DAY","Tue")
+GETPIVOTDATA("Sum of INTERSTATE",'Pivot Table'!$A$112,"DAY","Tue")
+GETPIVOTDATA("Sum of INTERSTATE",'Pivot Table'!$A$124,"DAY","Tue")
+GETPIVOTDATA("Sum of INTERSTATE",'Pivot Table'!$A$136,"DAY","Tue")</f>
        <v>0</v>
      </c>
      <c r="H14" s="33" t="s">
        <v>69</v>
      </c>
      <c r="I14" s="33">
        <f>GETPIVOTDATA("Sum of INTERSTATE",'Pivot Table'!$A$4,"DAY","Wed")
+GETPIVOTDATA("Sum of INTERSTATE",'Pivot Table'!$A$16,"DAY","Wed")
+GETPIVOTDATA("Sum of INTERSTATE",'Pivot Table'!$A$28,"DAY","Wed")
+GETPIVOTDATA("Sum of INTERSTATE",'Pivot Table'!$A$40,"DAY","Wed")
+GETPIVOTDATA("Sum of INTERSTATE",'Pivot Table'!$A$52,"DAY","Wed")
+GETPIVOTDATA("Sum of INTERSTATE",'Pivot Table'!$A$64,"DAY","Wed")
+GETPIVOTDATA("Sum of INTERSTATE",'Pivot Table'!$A$76,"DAY","Wed")
+GETPIVOTDATA("Sum of INTERSTATE",'Pivot Table'!$A$88,"DAY","Wed")
+GETPIVOTDATA("Sum of INTERSTATE",'Pivot Table'!$A$100,"DAY","Wed")
+GETPIVOTDATA("Sum of INTERSTATE",'Pivot Table'!$A$112,"DAY","Wed")
+GETPIVOTDATA("Sum of INTERSTATE",'Pivot Table'!$A$124,"DAY","Wed")
+GETPIVOTDATA("Sum of INTERSTATE",'Pivot Table'!$A$136,"DAY","Wed")</f>
        <v>18</v>
      </c>
      <c r="K14" s="33" t="s">
        <v>69</v>
      </c>
      <c r="L14" s="33">
        <f>GETPIVOTDATA("Sum of INTERSTATE",'Pivot Table'!$A$4,"DAY","Thu")
+GETPIVOTDATA("Sum of INTERSTATE",'Pivot Table'!$A$16,"DAY","Thu")
+GETPIVOTDATA("Sum of INTERSTATE",'Pivot Table'!$A$28,"DAY","Thu")
+GETPIVOTDATA("Sum of INTERSTATE",'Pivot Table'!$A$40,"DAY","Thu")
+GETPIVOTDATA("Sum of INTERSTATE",'Pivot Table'!$A$52,"DAY","Thu")
+GETPIVOTDATA("Sum of INTERSTATE",'Pivot Table'!$A$64,"DAY","Thu")
+GETPIVOTDATA("Sum of INTERSTATE",'Pivot Table'!$A$76,"DAY","Thu")
+GETPIVOTDATA("Sum of INTERSTATE",'Pivot Table'!$A$88,"DAY","Thu")
+GETPIVOTDATA("Sum of INTERSTATE",'Pivot Table'!$A$100,"DAY","Thu")
+GETPIVOTDATA("Sum of INTERSTATE",'Pivot Table'!$A$112,"DAY","Thu")
+GETPIVOTDATA("Sum of INTERSTATE",'Pivot Table'!$A$124,"DAY","Thu")
+GETPIVOTDATA("Sum of INTERSTATE",'Pivot Table'!$A$136,"DAY","Thu")</f>
        <v>0</v>
      </c>
      <c r="N14" s="33" t="s">
        <v>69</v>
      </c>
      <c r="O14" s="33">
        <f>GETPIVOTDATA("Sum of INTERSTATE",'Pivot Table'!$A$4,"DAY","Fri")
+GETPIVOTDATA("Sum of INTERSTATE",'Pivot Table'!$A$16,"DAY","Fri")
+GETPIVOTDATA("Sum of INTERSTATE",'Pivot Table'!$A$28,"DAY","Fri")
+GETPIVOTDATA("Sum of INTERSTATE",'Pivot Table'!$A$40,"DAY","Fri")
+GETPIVOTDATA("Sum of INTERSTATE",'Pivot Table'!$A$52,"DAY","Fri")
+GETPIVOTDATA("Sum of INTERSTATE",'Pivot Table'!$A$64,"DAY","Fri")
+GETPIVOTDATA("Sum of INTERSTATE",'Pivot Table'!$A$76,"DAY","Fri")
+GETPIVOTDATA("Sum of INTERSTATE",'Pivot Table'!$A$88,"DAY","Fri")
+GETPIVOTDATA("Sum of INTERSTATE",'Pivot Table'!$A$100,"DAY","Fri")
+GETPIVOTDATA("Sum of INTERSTATE",'Pivot Table'!$A$112,"DAY","Fri")
+GETPIVOTDATA("Sum of INTERSTATE",'Pivot Table'!$A$124,"DAY","Fri")
+GETPIVOTDATA("Sum of INTERSTATE",'Pivot Table'!$A$136,"DAY","Fri")</f>
        <v>6</v>
      </c>
      <c r="Q14" s="33" t="s">
        <v>69</v>
      </c>
      <c r="R14" s="33">
        <f>GETPIVOTDATA("Sum of INTERSTATE",'Pivot Table'!$A$4,"DAY","Sat")
+GETPIVOTDATA("Sum of INTERSTATE",'Pivot Table'!$A$16,"DAY","Sat")
+GETPIVOTDATA("Sum of INTERSTATE",'Pivot Table'!$A$28,"DAY","Sat")
+GETPIVOTDATA("Sum of INTERSTATE",'Pivot Table'!$A$40,"DAY","Sat")
+GETPIVOTDATA("Sum of INTERSTATE",'Pivot Table'!$A$52,"DAY","Sat")
+GETPIVOTDATA("Sum of INTERSTATE",'Pivot Table'!$A$64,"DAY","Sat")
+GETPIVOTDATA("Sum of INTERSTATE",'Pivot Table'!$A$76,"DAY","Sat")
+GETPIVOTDATA("Sum of INTERSTATE",'Pivot Table'!$A$88,"DAY","Sat")
+GETPIVOTDATA("Sum of INTERSTATE",'Pivot Table'!$A$100,"DAY","Sat")
+GETPIVOTDATA("Sum of INTERSTATE",'Pivot Table'!$A$112,"DAY","Sat")
+GETPIVOTDATA("Sum of INTERSTATE",'Pivot Table'!$A$124,"DAY","Sat")
+GETPIVOTDATA("Sum of INTERSTATE",'Pivot Table'!$A$136,"DAY","Sat")</f>
        <v>0</v>
      </c>
      <c r="T14" s="33" t="s">
        <v>69</v>
      </c>
      <c r="U14" s="33">
        <f>GETPIVOTDATA("Sum of INTERSTATE",'Pivot Table'!$A$4,"DAY","Sun")
+GETPIVOTDATA("Sum of INTERSTATE",'Pivot Table'!$A$16,"DAY","Sun")
+GETPIVOTDATA("Sum of INTERSTATE",'Pivot Table'!$A$28,"DAY","Sun")
+GETPIVOTDATA("Sum of INTERSTATE",'Pivot Table'!$A$40,"DAY","Sun")
+GETPIVOTDATA("Sum of INTERSTATE",'Pivot Table'!$A$52,"DAY","Sun")
+GETPIVOTDATA("Sum of INTERSTATE",'Pivot Table'!$A$64,"DAY","Sun")
+GETPIVOTDATA("Sum of INTERSTATE",'Pivot Table'!$A$76,"DAY","Sun")
+GETPIVOTDATA("Sum of INTERSTATE",'Pivot Table'!$A$88,"DAY","Sun")
+GETPIVOTDATA("Sum of INTERSTATE",'Pivot Table'!$A$100,"DAY","Sun")
+GETPIVOTDATA("Sum of INTERSTATE",'Pivot Table'!$A$112,"DAY","Sun")
+GETPIVOTDATA("Sum of INTERSTATE",'Pivot Table'!$A$124,"DAY","Sun")
+GETPIVOTDATA("Sum of INTERSTATE",'Pivot Table'!$A$136,"DAY","Sun")</f>
        <v>0</v>
      </c>
    </row>
    <row r="15" spans="2:21" x14ac:dyDescent="0.25">
      <c r="B15" s="33" t="s">
        <v>70</v>
      </c>
      <c r="C15" s="33">
        <f>GETPIVOTDATA("Sum of INTERNATIONAL",'Pivot Table'!$A$4,"DAY","Mon")+GETPIVOTDATA("Sum of INTERNATIONAL",'Pivot Table'!$A$16,"DAY","Mon")+GETPIVOTDATA("Sum of INTERNATIONAL",'Pivot Table'!$A$28,"DAY","Mon")+GETPIVOTDATA("Sum of INTERNATIONAL",'Pivot Table'!$A$40,"DAY","Mon")+GETPIVOTDATA("Sum of INTERNATIONAL",'Pivot Table'!$A$52,"DAY","Mon")+GETPIVOTDATA("Sum of INTERNATIONAL",'Pivot Table'!$A$64,"DAY","Mon")+GETPIVOTDATA("Sum of INTERNATIONAL",'Pivot Table'!$A$76,"DAY","Mon")+GETPIVOTDATA("Sum of INTERNATIONAL",'Pivot Table'!$A$88,"DAY","Mon")+GETPIVOTDATA("Sum of INTERNATIONAL",'Pivot Table'!$A$100,"DAY","Mon")+GETPIVOTDATA("Sum of INTERNATIONAL",'Pivot Table'!$A$112,"DAY","Mon")+GETPIVOTDATA("Sum of INTERNATIONAL",'Pivot Table'!$A$124,"DAY","Mon")+GETPIVOTDATA("Sum of INTERNATIONAL",'Pivot Table'!$A$136,"DAY","Mon")</f>
        <v>54</v>
      </c>
      <c r="E15" s="33" t="s">
        <v>70</v>
      </c>
      <c r="F15" s="33">
        <f>GETPIVOTDATA("Sum of INTERNATIONAL",'Pivot Table'!$A$4,"DAY","Tue")
+GETPIVOTDATA("Sum of INTERNATIONAL",'Pivot Table'!$A$16,"DAY","Tue")
+GETPIVOTDATA("Sum of INTERNATIONAL",'Pivot Table'!$A$28,"DAY","Tue")
+GETPIVOTDATA("Sum of INTERNATIONAL",'Pivot Table'!$A$40,"DAY","Tue")
+GETPIVOTDATA("Sum of INTERNATIONAL",'Pivot Table'!$A$52,"DAY","Tue")
+GETPIVOTDATA("Sum of INTERNATIONAL",'Pivot Table'!$A$64,"DAY","Tue")
+GETPIVOTDATA("Sum of INTERNATIONAL",'Pivot Table'!$A$76,"DAY","Tue")
+GETPIVOTDATA("Sum of INTERNATIONAL",'Pivot Table'!$A$88,"DAY","Tue")
+GETPIVOTDATA("Sum of INTERNATIONAL",'Pivot Table'!$A$100,"DAY","Tue")
+GETPIVOTDATA("Sum of INTERNATIONAL",'Pivot Table'!$A$112,"DAY","Tue")
+GETPIVOTDATA("Sum of INTERNATIONAL",'Pivot Table'!$A$124,"DAY","Tue")
+GETPIVOTDATA("Sum of INTERNATIONAL",'Pivot Table'!$A$136,"DAY","Tue")</f>
        <v>8</v>
      </c>
      <c r="H15" s="33" t="s">
        <v>70</v>
      </c>
      <c r="I15" s="33">
        <f>GETPIVOTDATA("Sum of INTERNATIONAL",'Pivot Table'!$A$4,"DAY","Wed")
+GETPIVOTDATA("Sum of INTERNATIONAL",'Pivot Table'!$A$16,"DAY","Wed")
+GETPIVOTDATA("Sum of INTERNATIONAL",'Pivot Table'!$A$28,"DAY","Wed")
+GETPIVOTDATA("Sum of INTERNATIONAL",'Pivot Table'!$A$40,"DAY","Wed")
+GETPIVOTDATA("Sum of INTERNATIONAL",'Pivot Table'!$A$52,"DAY","Wed")
+GETPIVOTDATA("Sum of INTERNATIONAL",'Pivot Table'!$A$64,"DAY","Wed")
+GETPIVOTDATA("Sum of INTERNATIONAL",'Pivot Table'!$A$76,"DAY","Wed")
+GETPIVOTDATA("Sum of INTERNATIONAL",'Pivot Table'!$A$88,"DAY","Wed")
+GETPIVOTDATA("Sum of INTERNATIONAL",'Pivot Table'!$A$100,"DAY","Wed")
+GETPIVOTDATA("Sum of INTERNATIONAL",'Pivot Table'!$A$112,"DAY","Wed")
+GETPIVOTDATA("Sum of INTERNATIONAL",'Pivot Table'!$A$124,"DAY","Wed")
+GETPIVOTDATA("Sum of INTERNATIONAL",'Pivot Table'!$A$136,"DAY","Wed")</f>
        <v>82</v>
      </c>
      <c r="K15" s="33" t="s">
        <v>70</v>
      </c>
      <c r="L15" s="33">
        <f>GETPIVOTDATA("Sum of INTERNATIONAL",'Pivot Table'!$A$4,"DAY","Thu")
+GETPIVOTDATA("Sum of INTERNATIONAL",'Pivot Table'!$A$16,"DAY","Thu")
+GETPIVOTDATA("Sum of INTERNATIONAL",'Pivot Table'!$A$28,"DAY","Thu")
+GETPIVOTDATA("Sum of INTERNATIONAL",'Pivot Table'!$A$40,"DAY","Thu")
+GETPIVOTDATA("Sum of INTERNATIONAL",'Pivot Table'!$A$52,"DAY","Thu")
+GETPIVOTDATA("Sum of INTERNATIONAL",'Pivot Table'!$A$64,"DAY","Thu")
+GETPIVOTDATA("Sum of INTERNATIONAL",'Pivot Table'!$A$76,"DAY","Thu")
+GETPIVOTDATA("Sum of INTERNATIONAL",'Pivot Table'!$A$88,"DAY","Thu")
+GETPIVOTDATA("Sum of INTERNATIONAL",'Pivot Table'!$A$100,"DAY","Thu")
+GETPIVOTDATA("Sum of INTERNATIONAL",'Pivot Table'!$A$112,"DAY","Thu")
+GETPIVOTDATA("Sum of INTERNATIONAL",'Pivot Table'!$A$124,"DAY","Thu")
+GETPIVOTDATA("Sum of INTERNATIONAL",'Pivot Table'!$A$136,"DAY","Thu")</f>
        <v>3</v>
      </c>
      <c r="N15" s="33" t="s">
        <v>70</v>
      </c>
      <c r="O15" s="33">
        <f>GETPIVOTDATA("Sum of INTERNATIONAL",'Pivot Table'!$A$4,"DAY","Fri")
+GETPIVOTDATA("Sum of INTERNATIONAL",'Pivot Table'!$A$16,"DAY","Fri")
+GETPIVOTDATA("Sum of INTERNATIONAL",'Pivot Table'!$A$28,"DAY","Fri")
+GETPIVOTDATA("Sum of INTERNATIONAL",'Pivot Table'!$A$40,"DAY","Fri")
+GETPIVOTDATA("Sum of INTERNATIONAL",'Pivot Table'!$A$52,"DAY","Fri")
+GETPIVOTDATA("Sum of INTERNATIONAL",'Pivot Table'!$A$64,"DAY","Fri")
+GETPIVOTDATA("Sum of INTERNATIONAL",'Pivot Table'!$A$76,"DAY","Fri")
+GETPIVOTDATA("Sum of INTERNATIONAL",'Pivot Table'!$A$88,"DAY","Fri")
+GETPIVOTDATA("Sum of INTERNATIONAL",'Pivot Table'!$A$100,"DAY","Fri")
+GETPIVOTDATA("Sum of INTERNATIONAL",'Pivot Table'!$A$112,"DAY","Fri")
+GETPIVOTDATA("Sum of INTERNATIONAL",'Pivot Table'!$A$124,"DAY","Fri")
+GETPIVOTDATA("Sum of INTERNATIONAL",'Pivot Table'!$A$136,"DAY","Fri")</f>
        <v>20</v>
      </c>
      <c r="Q15" s="33" t="s">
        <v>70</v>
      </c>
      <c r="R15" s="33">
        <f>GETPIVOTDATA("Sum of INTERNATIONAL",'Pivot Table'!$A$4,"DAY","Sat")
+GETPIVOTDATA("Sum of INTERNATIONAL",'Pivot Table'!$A$16,"DAY","Sat")
+GETPIVOTDATA("Sum of INTERNATIONAL",'Pivot Table'!$A$28,"DAY","Sat")
+GETPIVOTDATA("Sum of INTERNATIONAL",'Pivot Table'!$A$40,"DAY","Sat")
+GETPIVOTDATA("Sum of INTERNATIONAL",'Pivot Table'!$A$52,"DAY","Sat")
+GETPIVOTDATA("Sum of INTERNATIONAL",'Pivot Table'!$A$64,"DAY","Sat")
+GETPIVOTDATA("Sum of INTERNATIONAL",'Pivot Table'!$A$76,"DAY","Sat")
+GETPIVOTDATA("Sum of INTERNATIONAL",'Pivot Table'!$A$88,"DAY","Sat")
+GETPIVOTDATA("Sum of INTERNATIONAL",'Pivot Table'!$A$100,"DAY","Sat")
+GETPIVOTDATA("Sum of INTERNATIONAL",'Pivot Table'!$A$112,"DAY","Sat")
+GETPIVOTDATA("Sum of INTERNATIONAL",'Pivot Table'!$A$124,"DAY","Sat")
+GETPIVOTDATA("Sum of INTERNATIONAL",'Pivot Table'!$A$136,"DAY","Sat")</f>
        <v>0</v>
      </c>
      <c r="T15" s="33" t="s">
        <v>70</v>
      </c>
      <c r="U15" s="33">
        <f>GETPIVOTDATA("Sum of INTERNATIONAL",'Pivot Table'!$A$4,"DAY","Sun")
+GETPIVOTDATA("Sum of INTERNATIONAL",'Pivot Table'!$A$16,"DAY","Sun")
+GETPIVOTDATA("Sum of INTERNATIONAL",'Pivot Table'!$A$28,"DAY","Sun")
+GETPIVOTDATA("Sum of INTERNATIONAL",'Pivot Table'!$A$40,"DAY","Sun")
+GETPIVOTDATA("Sum of INTERNATIONAL",'Pivot Table'!$A$52,"DAY","Sun")
+GETPIVOTDATA("Sum of INTERNATIONAL",'Pivot Table'!$A$64,"DAY","Sun")
+GETPIVOTDATA("Sum of INTERNATIONAL",'Pivot Table'!$A$76,"DAY","Sun")
+GETPIVOTDATA("Sum of INTERNATIONAL",'Pivot Table'!$A$88,"DAY","Sun")
+GETPIVOTDATA("Sum of INTERNATIONAL",'Pivot Table'!$A$100,"DAY","Sun")
+GETPIVOTDATA("Sum of INTERNATIONAL",'Pivot Table'!$A$112,"DAY","Sun")
+GETPIVOTDATA("Sum of INTERNATIONAL",'Pivot Table'!$A$124,"DAY","Sun")
+GETPIVOTDATA("Sum of INTERNATIONAL",'Pivot Table'!$A$136,"DAY","Sun")</f>
        <v>1</v>
      </c>
    </row>
    <row r="16" spans="2:21" x14ac:dyDescent="0.25">
      <c r="B16" s="33" t="s">
        <v>71</v>
      </c>
      <c r="C16" s="33">
        <f>GETPIVOTDATA("Sum of INDUSTRY GUEST",'Pivot Table'!$A$4,"DAY","Mon")+GETPIVOTDATA("Sum of INDUSTRY GUEST",'Pivot Table'!$A$16,"DAY","Mon")+GETPIVOTDATA("Sum of INDUSTRY GUEST",'Pivot Table'!$A$28,"DAY","Mon")+GETPIVOTDATA("Sum of INDUSTRY GUEST",'Pivot Table'!$A$40,"DAY","Mon")+GETPIVOTDATA("Sum of INDUSTRY GUEST",'Pivot Table'!$A$52,"DAY","Mon")+GETPIVOTDATA("Sum of INDUSTRY GUEST",'Pivot Table'!$A$64,"DAY","Mon")+GETPIVOTDATA("Sum of INDUSTRY GUEST",'Pivot Table'!$A$76,"DAY","Mon")+GETPIVOTDATA("Sum of INDUSTRY GUEST",'Pivot Table'!$A$88,"DAY","Mon")+GETPIVOTDATA("Sum of INDUSTRY GUEST",'Pivot Table'!$A$100,"DAY","Mon")+GETPIVOTDATA("Sum of INDUSTRY GUEST",'Pivot Table'!$A$112,"DAY","Mon")+GETPIVOTDATA("Sum of INDUSTRY GUEST",'Pivot Table'!$A$124,"DAY","Mon")+GETPIVOTDATA("Sum of INDUSTRY GUEST",'Pivot Table'!$A$136,"DAY","Mon")</f>
        <v>7</v>
      </c>
      <c r="E16" s="33" t="s">
        <v>71</v>
      </c>
      <c r="F16" s="33">
        <f>GETPIVOTDATA("Sum of INDUSTRY GUEST",'Pivot Table'!$A$4,"DAY","Tue")
+GETPIVOTDATA("Sum of INDUSTRY GUEST",'Pivot Table'!$A$16,"DAY","Tue")
+GETPIVOTDATA("Sum of INDUSTRY GUEST",'Pivot Table'!$A$28,"DAY","Tue")
+GETPIVOTDATA("Sum of INDUSTRY GUEST",'Pivot Table'!$A$40,"DAY","Tue")
+GETPIVOTDATA("Sum of INDUSTRY GUEST",'Pivot Table'!$A$52,"DAY","Tue")
+GETPIVOTDATA("Sum of INDUSTRY GUEST",'Pivot Table'!$A$64,"DAY","Tue")
+GETPIVOTDATA("Sum of INDUSTRY GUEST",'Pivot Table'!$A$76,"DAY","Tue")
+GETPIVOTDATA("Sum of INDUSTRY GUEST",'Pivot Table'!$A$88,"DAY","Tue")
+GETPIVOTDATA("Sum of INDUSTRY GUEST",'Pivot Table'!$A$100,"DAY","Tue")
+GETPIVOTDATA("Sum of INDUSTRY GUEST",'Pivot Table'!$A$112,"DAY","Tue")
+GETPIVOTDATA("Sum of INDUSTRY GUEST",'Pivot Table'!$A$124,"DAY","Tue")
+GETPIVOTDATA("Sum of INDUSTRY GUEST",'Pivot Table'!$A$136,"DAY","Tue")</f>
        <v>3</v>
      </c>
      <c r="H16" s="33" t="s">
        <v>71</v>
      </c>
      <c r="I16" s="33">
        <f>GETPIVOTDATA("Sum of INDUSTRY GUEST",'Pivot Table'!$A$4,"DAY","Wed")
+GETPIVOTDATA("Sum of INDUSTRY GUEST",'Pivot Table'!$A$16,"DAY","Wed")
+GETPIVOTDATA("Sum of INDUSTRY GUEST",'Pivot Table'!$A$28,"DAY","Wed")
+GETPIVOTDATA("Sum of INDUSTRY GUEST",'Pivot Table'!$A$40,"DAY","Wed")
+GETPIVOTDATA("Sum of INDUSTRY GUEST",'Pivot Table'!$A$52,"DAY","Wed")
+GETPIVOTDATA("Sum of INDUSTRY GUEST",'Pivot Table'!$A$64,"DAY","Wed")
+GETPIVOTDATA("Sum of INDUSTRY GUEST",'Pivot Table'!$A$76,"DAY","Wed")
+GETPIVOTDATA("Sum of INDUSTRY GUEST",'Pivot Table'!$A$88,"DAY","Wed")
+GETPIVOTDATA("Sum of INDUSTRY GUEST",'Pivot Table'!$A$100,"DAY","Wed")
+GETPIVOTDATA("Sum of INDUSTRY GUEST",'Pivot Table'!$A$112,"DAY","Wed")
+GETPIVOTDATA("Sum of INDUSTRY GUEST",'Pivot Table'!$A$124,"DAY","Wed")
+GETPIVOTDATA("Sum of INDUSTRY GUEST",'Pivot Table'!$A$136,"DAY","Wed")</f>
        <v>5</v>
      </c>
      <c r="K16" s="33" t="s">
        <v>71</v>
      </c>
      <c r="L16" s="33">
        <f>GETPIVOTDATA("Sum of INDUSTRY GUEST",'Pivot Table'!$A$4,"DAY","Thu")
+GETPIVOTDATA("Sum of INDUSTRY GUEST",'Pivot Table'!$A$16,"DAY","Thu")
+GETPIVOTDATA("Sum of INDUSTRY GUEST",'Pivot Table'!$A$28,"DAY","Thu")
+GETPIVOTDATA("Sum of INDUSTRY GUEST",'Pivot Table'!$A$40,"DAY","Thu")
+GETPIVOTDATA("Sum of INDUSTRY GUEST",'Pivot Table'!$A$52,"DAY","Thu")
+GETPIVOTDATA("Sum of INDUSTRY GUEST",'Pivot Table'!$A$64,"DAY","Thu")
+GETPIVOTDATA("Sum of INDUSTRY GUEST",'Pivot Table'!$A$76,"DAY","Thu")
+GETPIVOTDATA("Sum of INDUSTRY GUEST",'Pivot Table'!$A$88,"DAY","Thu")
+GETPIVOTDATA("Sum of INDUSTRY GUEST",'Pivot Table'!$A$100,"DAY","Thu")
+GETPIVOTDATA("Sum of INDUSTRY GUEST",'Pivot Table'!$A$112,"DAY","Thu")
+GETPIVOTDATA("Sum of INDUSTRY GUEST",'Pivot Table'!$A$124,"DAY","Thu")
+GETPIVOTDATA("Sum of INDUSTRY GUEST",'Pivot Table'!$A$136,"DAY","Thu")</f>
        <v>0</v>
      </c>
      <c r="N16" s="33" t="s">
        <v>71</v>
      </c>
      <c r="O16" s="33">
        <f>GETPIVOTDATA("Sum of INDUSTRY GUEST",'Pivot Table'!$A$4,"DAY","Fri")
+GETPIVOTDATA("Sum of INDUSTRY GUEST",'Pivot Table'!$A$16,"DAY","Fri")
+GETPIVOTDATA("Sum of INDUSTRY GUEST",'Pivot Table'!$A$28,"DAY","Fri")
+GETPIVOTDATA("Sum of INDUSTRY GUEST",'Pivot Table'!$A$40,"DAY","Fri")
+GETPIVOTDATA("Sum of INDUSTRY GUEST",'Pivot Table'!$A$52,"DAY","Fri")
+GETPIVOTDATA("Sum of INDUSTRY GUEST",'Pivot Table'!$A$64,"DAY","Fri")
+GETPIVOTDATA("Sum of INDUSTRY GUEST",'Pivot Table'!$A$76,"DAY","Fri")
+GETPIVOTDATA("Sum of INDUSTRY GUEST",'Pivot Table'!$A$88,"DAY","Fri")
+GETPIVOTDATA("Sum of INDUSTRY GUEST",'Pivot Table'!$A$100,"DAY","Fri")
+GETPIVOTDATA("Sum of INDUSTRY GUEST",'Pivot Table'!$A$112,"DAY","Fri")
+GETPIVOTDATA("Sum of INDUSTRY GUEST",'Pivot Table'!$A$124,"DAY","Fri")
+GETPIVOTDATA("Sum of INDUSTRY GUEST",'Pivot Table'!$A$136,"DAY","Fri")</f>
        <v>3</v>
      </c>
      <c r="Q16" s="33" t="s">
        <v>71</v>
      </c>
      <c r="R16" s="33">
        <f>GETPIVOTDATA("Sum of INDUSTRY GUEST",'Pivot Table'!$A$4,"DAY","Sat")
+GETPIVOTDATA("Sum of INDUSTRY GUEST",'Pivot Table'!$A$16,"DAY","Sat")
+GETPIVOTDATA("Sum of INDUSTRY GUEST",'Pivot Table'!$A$28,"DAY","Sat")
+GETPIVOTDATA("Sum of INDUSTRY GUEST",'Pivot Table'!$A$40,"DAY","Sat")
+GETPIVOTDATA("Sum of INDUSTRY GUEST",'Pivot Table'!$A$52,"DAY","Sat")
+GETPIVOTDATA("Sum of INDUSTRY GUEST",'Pivot Table'!$A$64,"DAY","Sat")
+GETPIVOTDATA("Sum of INDUSTRY GUEST",'Pivot Table'!$A$76,"DAY","Sat")
+GETPIVOTDATA("Sum of INDUSTRY GUEST",'Pivot Table'!$A$88,"DAY","Sat")
+GETPIVOTDATA("Sum of INDUSTRY GUEST",'Pivot Table'!$A$100,"DAY","Sat")
+GETPIVOTDATA("Sum of INDUSTRY GUEST",'Pivot Table'!$A$112,"DAY","Sat")
+GETPIVOTDATA("Sum of INDUSTRY GUEST",'Pivot Table'!$A$124,"DAY","Sat")
+GETPIVOTDATA("Sum of INDUSTRY GUEST",'Pivot Table'!$A$136,"DAY","Sat")</f>
        <v>0</v>
      </c>
      <c r="T16" s="33" t="s">
        <v>71</v>
      </c>
      <c r="U16" s="33">
        <f>GETPIVOTDATA("Sum of INDUSTRY GUEST",'Pivot Table'!$A$4,"DAY","Sun")
+GETPIVOTDATA("Sum of INDUSTRY GUEST",'Pivot Table'!$A$16,"DAY","Sun")
+GETPIVOTDATA("Sum of INDUSTRY GUEST",'Pivot Table'!$A$28,"DAY","Sun")
+GETPIVOTDATA("Sum of INDUSTRY GUEST",'Pivot Table'!$A$40,"DAY","Sun")
+GETPIVOTDATA("Sum of INDUSTRY GUEST",'Pivot Table'!$A$52,"DAY","Sun")
+GETPIVOTDATA("Sum of INDUSTRY GUEST",'Pivot Table'!$A$64,"DAY","Sun")
+GETPIVOTDATA("Sum of INDUSTRY GUEST",'Pivot Table'!$A$76,"DAY","Sun")
+GETPIVOTDATA("Sum of INDUSTRY GUEST",'Pivot Table'!$A$88,"DAY","Sun")
+GETPIVOTDATA("Sum of INDUSTRY GUEST",'Pivot Table'!$A$100,"DAY","Sun")
+GETPIVOTDATA("Sum of INDUSTRY GUEST",'Pivot Table'!$A$112,"DAY","Sun")
+GETPIVOTDATA("Sum of INDUSTRY GUEST",'Pivot Table'!$A$124,"DAY","Sun")
+GETPIVOTDATA("Sum of INDUSTRY GUEST",'Pivot Table'!$A$136,"DAY","Sun")</f>
        <v>1</v>
      </c>
    </row>
    <row r="17" spans="2:21" x14ac:dyDescent="0.25">
      <c r="B17" s="33" t="s">
        <v>5</v>
      </c>
      <c r="C17" s="33">
        <f>GETPIVOTDATA("Sum of MEMB GUEST MICLUB",'Pivot Table'!$A$4,"DAY","Mon")+GETPIVOTDATA("Sum of MEMB GUEST MICLUB",'Pivot Table'!$A$16,"DAY","Mon")+GETPIVOTDATA("Sum of MEMB GUEST MICLUB",'Pivot Table'!$A$28,"DAY","Mon")+GETPIVOTDATA("Sum of MEMB GUEST MICLUB",'Pivot Table'!$A$40,"DAY","Mon")+GETPIVOTDATA("Sum of MEMB GUEST MICLUB",'Pivot Table'!$A$52,"DAY","Mon")+GETPIVOTDATA("Sum of MEMB GUEST MICLUB",'Pivot Table'!$A$64,"DAY","Mon")+GETPIVOTDATA("Sum of MEMB GUEST MICLUB",'Pivot Table'!$A$76,"DAY","Mon")+GETPIVOTDATA("Sum of MEMB GUEST MICLUB",'Pivot Table'!$A$88,"DAY","Mon")+GETPIVOTDATA("Sum of MEMB GUEST MICLUB",'Pivot Table'!$A$100,"DAY","Mon")+GETPIVOTDATA("Sum of MEMB GUEST MICLUB",'Pivot Table'!$A$112,"DAY","Mon")+GETPIVOTDATA("Sum of MEMB GUEST MICLUB",'Pivot Table'!$A$124,"DAY","Mon")+GETPIVOTDATA("Sum of MEMB GUEST MICLUB",'Pivot Table'!$A$136,"DAY","Mon")</f>
        <v>160</v>
      </c>
      <c r="E17" s="33" t="s">
        <v>5</v>
      </c>
      <c r="F17" s="33">
        <f>GETPIVOTDATA("Sum of MEMB GUEST MICLUB",'Pivot Table'!$A$4,"DAY","Tue")
+GETPIVOTDATA("Sum of MEMB GUEST MICLUB",'Pivot Table'!$A$16,"DAY","Tue")
+GETPIVOTDATA("Sum of MEMB GUEST MICLUB",'Pivot Table'!$A$28,"DAY","Tue")
+GETPIVOTDATA("Sum of MEMB GUEST MICLUB",'Pivot Table'!$A$40,"DAY","Tue")
+GETPIVOTDATA("Sum of MEMB GUEST MICLUB",'Pivot Table'!$A$52,"DAY","Tue")
+GETPIVOTDATA("Sum of MEMB GUEST MICLUB",'Pivot Table'!$A$64,"DAY","Tue")
+GETPIVOTDATA("Sum of MEMB GUEST MICLUB",'Pivot Table'!$A$76,"DAY","Tue")
+GETPIVOTDATA("Sum of MEMB GUEST MICLUB",'Pivot Table'!$A$88,"DAY","Tue")
+GETPIVOTDATA("Sum of MEMB GUEST MICLUB",'Pivot Table'!$A$100,"DAY","Tue")
+GETPIVOTDATA("Sum of MEMB GUEST MICLUB",'Pivot Table'!$A$112,"DAY","Tue")
+GETPIVOTDATA("Sum of MEMB GUEST MICLUB",'Pivot Table'!$A$124,"DAY","Tue")
+GETPIVOTDATA("Sum of MEMB GUEST MICLUB",'Pivot Table'!$A$136,"DAY","Tue")</f>
        <v>33</v>
      </c>
      <c r="H17" s="33" t="s">
        <v>5</v>
      </c>
      <c r="I17" s="33">
        <f>GETPIVOTDATA("Sum of MEMB GUEST MICLUB",'Pivot Table'!$A$4,"DAY","Wed")
+GETPIVOTDATA("Sum of MEMB GUEST MICLUB",'Pivot Table'!$A$16,"DAY","Wed")
+GETPIVOTDATA("Sum of MEMB GUEST MICLUB",'Pivot Table'!$A$28,"DAY","Wed")
+GETPIVOTDATA("Sum of MEMB GUEST MICLUB",'Pivot Table'!$A$40,"DAY","Wed")
+GETPIVOTDATA("Sum of MEMB GUEST MICLUB",'Pivot Table'!$A$52,"DAY","Wed")
+GETPIVOTDATA("Sum of MEMB GUEST MICLUB",'Pivot Table'!$A$64,"DAY","Wed")
+GETPIVOTDATA("Sum of MEMB GUEST MICLUB",'Pivot Table'!$A$76,"DAY","Wed")
+GETPIVOTDATA("Sum of MEMB GUEST MICLUB",'Pivot Table'!$A$88,"DAY","Wed")
+GETPIVOTDATA("Sum of MEMB GUEST MICLUB",'Pivot Table'!$A$100,"DAY","Wed")
+GETPIVOTDATA("Sum of MEMB GUEST MICLUB",'Pivot Table'!$A$112,"DAY","Wed")
+GETPIVOTDATA("Sum of MEMB GUEST MICLUB",'Pivot Table'!$A$124,"DAY","Wed")
+GETPIVOTDATA("Sum of MEMB GUEST MICLUB",'Pivot Table'!$A$136,"DAY","Wed")</f>
        <v>149</v>
      </c>
      <c r="K17" s="33" t="s">
        <v>5</v>
      </c>
      <c r="L17" s="33">
        <f>GETPIVOTDATA("Sum of MEMB GUEST MICLUB",'Pivot Table'!$A$4,"DAY","Thu")
+GETPIVOTDATA("Sum of MEMB GUEST MICLUB",'Pivot Table'!$A$16,"DAY","Thu")
+GETPIVOTDATA("Sum of MEMB GUEST MICLUB",'Pivot Table'!$A$28,"DAY","Thu")
+GETPIVOTDATA("Sum of MEMB GUEST MICLUB",'Pivot Table'!$A$40,"DAY","Thu")
+GETPIVOTDATA("Sum of MEMB GUEST MICLUB",'Pivot Table'!$A$52,"DAY","Thu")
+GETPIVOTDATA("Sum of MEMB GUEST MICLUB",'Pivot Table'!$A$64,"DAY","Thu")
+GETPIVOTDATA("Sum of MEMB GUEST MICLUB",'Pivot Table'!$A$76,"DAY","Thu")
+GETPIVOTDATA("Sum of MEMB GUEST MICLUB",'Pivot Table'!$A$88,"DAY","Thu")
+GETPIVOTDATA("Sum of MEMB GUEST MICLUB",'Pivot Table'!$A$100,"DAY","Thu")
+GETPIVOTDATA("Sum of MEMB GUEST MICLUB",'Pivot Table'!$A$112,"DAY","Thu")
+GETPIVOTDATA("Sum of MEMB GUEST MICLUB",'Pivot Table'!$A$124,"DAY","Thu")
+GETPIVOTDATA("Sum of MEMB GUEST MICLUB",'Pivot Table'!$A$136,"DAY","Thu")</f>
        <v>93</v>
      </c>
      <c r="N17" s="33" t="s">
        <v>5</v>
      </c>
      <c r="O17" s="33">
        <f>GETPIVOTDATA("Sum of MEMB GUEST MICLUB",'Pivot Table'!$A$4,"DAY","Fri")
+GETPIVOTDATA("Sum of MEMB GUEST MICLUB",'Pivot Table'!$A$16,"DAY","Fri")
+GETPIVOTDATA("Sum of MEMB GUEST MICLUB",'Pivot Table'!$A$28,"DAY","Fri")
+GETPIVOTDATA("Sum of MEMB GUEST MICLUB",'Pivot Table'!$A$40,"DAY","Fri")
+GETPIVOTDATA("Sum of MEMB GUEST MICLUB",'Pivot Table'!$A$52,"DAY","Fri")
+GETPIVOTDATA("Sum of MEMB GUEST MICLUB",'Pivot Table'!$A$64,"DAY","Fri")
+GETPIVOTDATA("Sum of MEMB GUEST MICLUB",'Pivot Table'!$A$76,"DAY","Fri")
+GETPIVOTDATA("Sum of MEMB GUEST MICLUB",'Pivot Table'!$A$88,"DAY","Fri")
+GETPIVOTDATA("Sum of MEMB GUEST MICLUB",'Pivot Table'!$A$100,"DAY","Fri")
+GETPIVOTDATA("Sum of MEMB GUEST MICLUB",'Pivot Table'!$A$112,"DAY","Fri")
+GETPIVOTDATA("Sum of MEMB GUEST MICLUB",'Pivot Table'!$A$124,"DAY","Fri")
+GETPIVOTDATA("Sum of MEMB GUEST MICLUB",'Pivot Table'!$A$136,"DAY","Fri")</f>
        <v>349</v>
      </c>
      <c r="Q17" s="33" t="s">
        <v>5</v>
      </c>
      <c r="R17" s="33">
        <f>GETPIVOTDATA("Sum of MEMB GUEST MICLUB",'Pivot Table'!$A$4,"DAY","Sat")
+GETPIVOTDATA("Sum of MEMB GUEST MICLUB",'Pivot Table'!$A$16,"DAY","Sat")
+GETPIVOTDATA("Sum of MEMB GUEST MICLUB",'Pivot Table'!$A$28,"DAY","Sat")
+GETPIVOTDATA("Sum of MEMB GUEST MICLUB",'Pivot Table'!$A$40,"DAY","Sat")
+GETPIVOTDATA("Sum of MEMB GUEST MICLUB",'Pivot Table'!$A$52,"DAY","Sat")
+GETPIVOTDATA("Sum of MEMB GUEST MICLUB",'Pivot Table'!$A$64,"DAY","Sat")
+GETPIVOTDATA("Sum of MEMB GUEST MICLUB",'Pivot Table'!$A$76,"DAY","Sat")
+GETPIVOTDATA("Sum of MEMB GUEST MICLUB",'Pivot Table'!$A$88,"DAY","Sat")
+GETPIVOTDATA("Sum of MEMB GUEST MICLUB",'Pivot Table'!$A$100,"DAY","Sat")
+GETPIVOTDATA("Sum of MEMB GUEST MICLUB",'Pivot Table'!$A$112,"DAY","Sat")
+GETPIVOTDATA("Sum of MEMB GUEST MICLUB",'Pivot Table'!$A$124,"DAY","Sat")
+GETPIVOTDATA("Sum of MEMB GUEST MICLUB",'Pivot Table'!$A$136,"DAY","Sat")</f>
        <v>0</v>
      </c>
      <c r="T17" s="33" t="s">
        <v>5</v>
      </c>
      <c r="U17" s="33">
        <f>GETPIVOTDATA("Sum of MEMB GUEST MICLUB",'Pivot Table'!$A$4,"DAY","Sun")
+GETPIVOTDATA("Sum of MEMB GUEST MICLUB",'Pivot Table'!$A$16,"DAY","Sun")
+GETPIVOTDATA("Sum of MEMB GUEST MICLUB",'Pivot Table'!$A$28,"DAY","Sun")
+GETPIVOTDATA("Sum of MEMB GUEST MICLUB",'Pivot Table'!$A$40,"DAY","Sun")
+GETPIVOTDATA("Sum of MEMB GUEST MICLUB",'Pivot Table'!$A$52,"DAY","Sun")
+GETPIVOTDATA("Sum of MEMB GUEST MICLUB",'Pivot Table'!$A$64,"DAY","Sun")
+GETPIVOTDATA("Sum of MEMB GUEST MICLUB",'Pivot Table'!$A$76,"DAY","Sun")
+GETPIVOTDATA("Sum of MEMB GUEST MICLUB",'Pivot Table'!$A$88,"DAY","Sun")
+GETPIVOTDATA("Sum of MEMB GUEST MICLUB",'Pivot Table'!$A$100,"DAY","Sun")
+GETPIVOTDATA("Sum of MEMB GUEST MICLUB",'Pivot Table'!$A$112,"DAY","Sun")
+GETPIVOTDATA("Sum of MEMB GUEST MICLUB",'Pivot Table'!$A$124,"DAY","Sun")
+GETPIVOTDATA("Sum of MEMB GUEST MICLUB",'Pivot Table'!$A$136,"DAY","Sun")</f>
        <v>227</v>
      </c>
    </row>
    <row r="18" spans="2:21" ht="32.25" customHeight="1" x14ac:dyDescent="0.25">
      <c r="B18" s="32" t="s">
        <v>72</v>
      </c>
      <c r="C18" s="33">
        <f>GETPIVOTDATA("Sum of MEMB GUEST UNACCOMPANIED",'Pivot Table'!$A$4,"DAY","Mon")+GETPIVOTDATA("Sum of MEMB GUEST UNACCOMPANIED",'Pivot Table'!$A$16,"DAY","Mon")+GETPIVOTDATA("Sum of MEMB GUEST UNACCOMPANIED",'Pivot Table'!$A$28,"DAY","Mon")+GETPIVOTDATA("Sum of MEMB GUEST UNACCOMPANIED",'Pivot Table'!$A$40,"DAY","Mon")+GETPIVOTDATA("Sum of MEMB GUEST UNACCOMPANIED",'Pivot Table'!$A$52,"DAY","Mon")+GETPIVOTDATA("Sum of MEMB GUEST UNACCOMPANIED",'Pivot Table'!$A$64,"DAY","Mon")+GETPIVOTDATA("Sum of MEMB GUEST UNACCOMPANIED",'Pivot Table'!$A$76,"DAY","Mon")+GETPIVOTDATA("Sum of MEMB GUEST UNACCOMPANIED",'Pivot Table'!$A$88,"DAY","Mon")+GETPIVOTDATA("Sum of MEMB GUEST UNACCOMPANIED",'Pivot Table'!$A$100,"DAY","Mon")+GETPIVOTDATA("Sum of MEMB GUEST UNACCOMPANIED",'Pivot Table'!$A$112,"DAY","Mon")+GETPIVOTDATA("Sum of MEMB GUEST UNACCOMPANIED",'Pivot Table'!$A$124,"DAY","Mon")+GETPIVOTDATA("Sum of MEMB GUEST UNACCOMPANIED",'Pivot Table'!$A$136,"DAY","Mon")</f>
        <v>4</v>
      </c>
      <c r="E18" s="32" t="s">
        <v>72</v>
      </c>
      <c r="F18" s="33">
        <f>GETPIVOTDATA("Sum of MEMB GUEST UNACCOMPANIED",'Pivot Table'!$A$4,"DAY","Tue")
+GETPIVOTDATA("Sum of MEMB GUEST UNACCOMPANIED",'Pivot Table'!$A$16,"DAY","Tue")
+GETPIVOTDATA("Sum of MEMB GUEST UNACCOMPANIED",'Pivot Table'!$A$28,"DAY","Tue")
+GETPIVOTDATA("Sum of MEMB GUEST UNACCOMPANIED",'Pivot Table'!$A$40,"DAY","Tue")
+GETPIVOTDATA("Sum of MEMB GUEST UNACCOMPANIED",'Pivot Table'!$A$52,"DAY","Tue")
+GETPIVOTDATA("Sum of MEMB GUEST UNACCOMPANIED",'Pivot Table'!$A$64,"DAY","Tue")
+GETPIVOTDATA("Sum of MEMB GUEST UNACCOMPANIED",'Pivot Table'!$A$76,"DAY","Tue")
+GETPIVOTDATA("Sum of MEMB GUEST UNACCOMPANIED",'Pivot Table'!$A$88,"DAY","Tue")
+GETPIVOTDATA("Sum of MEMB GUEST UNACCOMPANIED",'Pivot Table'!$A$100,"DAY","Tue")
+GETPIVOTDATA("Sum of MEMB GUEST UNACCOMPANIED",'Pivot Table'!$A$112,"DAY","Tue")
+GETPIVOTDATA("Sum of MEMB GUEST UNACCOMPANIED",'Pivot Table'!$A$124,"DAY","Tue")
+GETPIVOTDATA("Sum of MEMB GUEST UNACCOMPANIED",'Pivot Table'!$A$136,"DAY","Tue")</f>
        <v>1</v>
      </c>
      <c r="H18" s="32" t="s">
        <v>72</v>
      </c>
      <c r="I18" s="33">
        <f>GETPIVOTDATA("Sum of MEMB GUEST UNACCOMPANIED",'Pivot Table'!$A$4,"DAY","Wed")
+GETPIVOTDATA("Sum of MEMB GUEST UNACCOMPANIED",'Pivot Table'!$A$16,"DAY","Wed")
+GETPIVOTDATA("Sum of MEMB GUEST UNACCOMPANIED",'Pivot Table'!$A$28,"DAY","Wed")
+GETPIVOTDATA("Sum of MEMB GUEST UNACCOMPANIED",'Pivot Table'!$A$40,"DAY","Wed")
+GETPIVOTDATA("Sum of MEMB GUEST UNACCOMPANIED",'Pivot Table'!$A$52,"DAY","Wed")
+GETPIVOTDATA("Sum of MEMB GUEST UNACCOMPANIED",'Pivot Table'!$A$64,"DAY","Wed")
+GETPIVOTDATA("Sum of MEMB GUEST UNACCOMPANIED",'Pivot Table'!$A$76,"DAY","Wed")
+GETPIVOTDATA("Sum of MEMB GUEST UNACCOMPANIED",'Pivot Table'!$A$88,"DAY","Wed")
+GETPIVOTDATA("Sum of MEMB GUEST UNACCOMPANIED",'Pivot Table'!$A$100,"DAY","Wed")
+GETPIVOTDATA("Sum of MEMB GUEST UNACCOMPANIED",'Pivot Table'!$A$112,"DAY","Wed")
+GETPIVOTDATA("Sum of MEMB GUEST UNACCOMPANIED",'Pivot Table'!$A$124,"DAY","Wed")
+GETPIVOTDATA("Sum of MEMB GUEST UNACCOMPANIED",'Pivot Table'!$A$136,"DAY","Wed")</f>
        <v>5</v>
      </c>
      <c r="K18" s="32" t="s">
        <v>72</v>
      </c>
      <c r="L18" s="33">
        <f>GETPIVOTDATA("Sum of MEMB GUEST UNACCOMPANIED",'Pivot Table'!$A$4,"DAY","Thu")
+GETPIVOTDATA("Sum of MEMB GUEST UNACCOMPANIED",'Pivot Table'!$A$16,"DAY","Thu")
+GETPIVOTDATA("Sum of MEMB GUEST UNACCOMPANIED",'Pivot Table'!$A$28,"DAY","Thu")
+GETPIVOTDATA("Sum of MEMB GUEST UNACCOMPANIED",'Pivot Table'!$A$40,"DAY","Thu")
+GETPIVOTDATA("Sum of MEMB GUEST UNACCOMPANIED",'Pivot Table'!$A$52,"DAY","Thu")
+GETPIVOTDATA("Sum of MEMB GUEST UNACCOMPANIED",'Pivot Table'!$A$64,"DAY","Thu")
+GETPIVOTDATA("Sum of MEMB GUEST UNACCOMPANIED",'Pivot Table'!$A$76,"DAY","Thu")
+GETPIVOTDATA("Sum of MEMB GUEST UNACCOMPANIED",'Pivot Table'!$A$88,"DAY","Thu")
+GETPIVOTDATA("Sum of MEMB GUEST UNACCOMPANIED",'Pivot Table'!$A$100,"DAY","Thu")
+GETPIVOTDATA("Sum of MEMB GUEST UNACCOMPANIED",'Pivot Table'!$A$112,"DAY","Thu")
+GETPIVOTDATA("Sum of MEMB GUEST UNACCOMPANIED",'Pivot Table'!$A$124,"DAY","Thu")
+GETPIVOTDATA("Sum of MEMB GUEST UNACCOMPANIED",'Pivot Table'!$A$136,"DAY","Thu")</f>
        <v>0</v>
      </c>
      <c r="N18" s="32" t="s">
        <v>72</v>
      </c>
      <c r="O18" s="33">
        <f>GETPIVOTDATA("Sum of MEMB GUEST UNACCOMPANIED",'Pivot Table'!$A$4,"DAY","Fri")
+GETPIVOTDATA("Sum of MEMB GUEST UNACCOMPANIED",'Pivot Table'!$A$16,"DAY","Fri")
+GETPIVOTDATA("Sum of MEMB GUEST UNACCOMPANIED",'Pivot Table'!$A$28,"DAY","Fri")
+GETPIVOTDATA("Sum of MEMB GUEST UNACCOMPANIED",'Pivot Table'!$A$40,"DAY","Fri")
+GETPIVOTDATA("Sum of MEMB GUEST UNACCOMPANIED",'Pivot Table'!$A$52,"DAY","Fri")
+GETPIVOTDATA("Sum of MEMB GUEST UNACCOMPANIED",'Pivot Table'!$A$64,"DAY","Fri")
+GETPIVOTDATA("Sum of MEMB GUEST UNACCOMPANIED",'Pivot Table'!$A$76,"DAY","Fri")
+GETPIVOTDATA("Sum of MEMB GUEST UNACCOMPANIED",'Pivot Table'!$A$88,"DAY","Fri")
+GETPIVOTDATA("Sum of MEMB GUEST UNACCOMPANIED",'Pivot Table'!$A$100,"DAY","Fri")
+GETPIVOTDATA("Sum of MEMB GUEST UNACCOMPANIED",'Pivot Table'!$A$112,"DAY","Fri")
+GETPIVOTDATA("Sum of MEMB GUEST UNACCOMPANIED",'Pivot Table'!$A$124,"DAY","Fri")
+GETPIVOTDATA("Sum of MEMB GUEST UNACCOMPANIED",'Pivot Table'!$A$136,"DAY","Fri")</f>
        <v>3</v>
      </c>
      <c r="Q18" s="32" t="s">
        <v>72</v>
      </c>
      <c r="R18" s="33">
        <f>GETPIVOTDATA("Sum of MEMB GUEST UNACCOMPANIED",'Pivot Table'!$A$4,"DAY","Sat")
+GETPIVOTDATA("Sum of MEMB GUEST UNACCOMPANIED",'Pivot Table'!$A$16,"DAY","Sat")
+GETPIVOTDATA("Sum of MEMB GUEST UNACCOMPANIED",'Pivot Table'!$A$28,"DAY","Sat")
+GETPIVOTDATA("Sum of MEMB GUEST UNACCOMPANIED",'Pivot Table'!$A$40,"DAY","Sat")
+GETPIVOTDATA("Sum of MEMB GUEST UNACCOMPANIED",'Pivot Table'!$A$52,"DAY","Sat")
+GETPIVOTDATA("Sum of MEMB GUEST UNACCOMPANIED",'Pivot Table'!$A$64,"DAY","Sat")
+GETPIVOTDATA("Sum of MEMB GUEST UNACCOMPANIED",'Pivot Table'!$A$76,"DAY","Sat")
+GETPIVOTDATA("Sum of MEMB GUEST UNACCOMPANIED",'Pivot Table'!$A$88,"DAY","Sat")
+GETPIVOTDATA("Sum of MEMB GUEST UNACCOMPANIED",'Pivot Table'!$A$100,"DAY","Sat")
+GETPIVOTDATA("Sum of MEMB GUEST UNACCOMPANIED",'Pivot Table'!$A$112,"DAY","Sat")
+GETPIVOTDATA("Sum of MEMB GUEST UNACCOMPANIED",'Pivot Table'!$A$124,"DAY","Sat")
+GETPIVOTDATA("Sum of MEMB GUEST UNACCOMPANIED",'Pivot Table'!$A$136,"DAY","Sat")</f>
        <v>0</v>
      </c>
      <c r="T18" s="32" t="s">
        <v>72</v>
      </c>
      <c r="U18" s="33">
        <f>GETPIVOTDATA("Sum of MEMB GUEST UNACCOMPANIED",'Pivot Table'!$A$4,"DAY","Sun")
+GETPIVOTDATA("Sum of MEMB GUEST UNACCOMPANIED",'Pivot Table'!$A$16,"DAY","Sun")
+GETPIVOTDATA("Sum of MEMB GUEST UNACCOMPANIED",'Pivot Table'!$A$28,"DAY","Sun")
+GETPIVOTDATA("Sum of MEMB GUEST UNACCOMPANIED",'Pivot Table'!$A$40,"DAY","Sun")
+GETPIVOTDATA("Sum of MEMB GUEST UNACCOMPANIED",'Pivot Table'!$A$52,"DAY","Sun")
+GETPIVOTDATA("Sum of MEMB GUEST UNACCOMPANIED",'Pivot Table'!$A$64,"DAY","Sun")
+GETPIVOTDATA("Sum of MEMB GUEST UNACCOMPANIED",'Pivot Table'!$A$76,"DAY","Sun")
+GETPIVOTDATA("Sum of MEMB GUEST UNACCOMPANIED",'Pivot Table'!$A$88,"DAY","Sun")
+GETPIVOTDATA("Sum of MEMB GUEST UNACCOMPANIED",'Pivot Table'!$A$100,"DAY","Sun")
+GETPIVOTDATA("Sum of MEMB GUEST UNACCOMPANIED",'Pivot Table'!$A$112,"DAY","Sun")
+GETPIVOTDATA("Sum of MEMB GUEST UNACCOMPANIED",'Pivot Table'!$A$124,"DAY","Sun")
+GETPIVOTDATA("Sum of MEMB GUEST UNACCOMPANIED",'Pivot Table'!$A$136,"DAY","Sun")</f>
        <v>4</v>
      </c>
    </row>
    <row r="19" spans="2:21" x14ac:dyDescent="0.25">
      <c r="B19" s="33" t="s">
        <v>6</v>
      </c>
      <c r="C19" s="33">
        <f>GETPIVOTDATA("Sum of CORPORATE",'Pivot Table'!$A$4,"DAY","Mon")+GETPIVOTDATA("Sum of CORPORATE",'Pivot Table'!$A$16,"DAY","Mon")+GETPIVOTDATA("Sum of CORPORATE",'Pivot Table'!$A$28,"DAY","Mon")+GETPIVOTDATA("Sum of CORPORATE",'Pivot Table'!$A$40,"DAY","Mon")+GETPIVOTDATA("Sum of CORPORATE",'Pivot Table'!$A$52,"DAY","Mon")+GETPIVOTDATA("Sum of CORPORATE",'Pivot Table'!$A$64,"DAY","Mon")+GETPIVOTDATA("Sum of CORPORATE",'Pivot Table'!$A$76,"DAY","Mon")+GETPIVOTDATA("Sum of CORPORATE",'Pivot Table'!$A$88,"DAY","Mon")+GETPIVOTDATA("Sum of CORPORATE",'Pivot Table'!$A$100,"DAY","Mon")+GETPIVOTDATA("Sum of CORPORATE",'Pivot Table'!$A$112,"DAY","Mon")+GETPIVOTDATA("Sum of CORPORATE",'Pivot Table'!$A$124,"DAY","Mon")+GETPIVOTDATA("Sum of CORPORATE",'Pivot Table'!$A$136,"DAY","Mon")</f>
        <v>0</v>
      </c>
      <c r="E19" s="33" t="s">
        <v>6</v>
      </c>
      <c r="F19" s="33">
        <f>GETPIVOTDATA("Sum of CORPORATE",'Pivot Table'!$A$4,"DAY","Tue")
+GETPIVOTDATA("Sum of CORPORATE",'Pivot Table'!$A$16,"DAY","Tue")
+GETPIVOTDATA("Sum of CORPORATE",'Pivot Table'!$A$28,"DAY","Tue")
+GETPIVOTDATA("Sum of CORPORATE",'Pivot Table'!$A$40,"DAY","Tue")
+GETPIVOTDATA("Sum of CORPORATE",'Pivot Table'!$A$52,"DAY","Tue")
+GETPIVOTDATA("Sum of CORPORATE",'Pivot Table'!$A$64,"DAY","Tue")
+GETPIVOTDATA("Sum of CORPORATE",'Pivot Table'!$A$76,"DAY","Tue")
+GETPIVOTDATA("Sum of CORPORATE",'Pivot Table'!$A$88,"DAY","Tue")
+GETPIVOTDATA("Sum of CORPORATE",'Pivot Table'!$A$100,"DAY","Tue")
+GETPIVOTDATA("Sum of CORPORATE",'Pivot Table'!$A$112,"DAY","Tue")
+GETPIVOTDATA("Sum of CORPORATE",'Pivot Table'!$A$124,"DAY","Tue")
+GETPIVOTDATA("Sum of CORPORATE",'Pivot Table'!$A$136,"DAY","Tue")</f>
        <v>0</v>
      </c>
      <c r="H19" s="33" t="s">
        <v>6</v>
      </c>
      <c r="I19" s="33">
        <f>GETPIVOTDATA("Sum of CORPORATE",'Pivot Table'!$A$4,"DAY","Wed")
+GETPIVOTDATA("Sum of CORPORATE",'Pivot Table'!$A$16,"DAY","Wed")
+GETPIVOTDATA("Sum of CORPORATE",'Pivot Table'!$A$28,"DAY","Wed")
+GETPIVOTDATA("Sum of CORPORATE",'Pivot Table'!$A$40,"DAY","Wed")
+GETPIVOTDATA("Sum of CORPORATE",'Pivot Table'!$A$52,"DAY","Wed")
+GETPIVOTDATA("Sum of CORPORATE",'Pivot Table'!$A$64,"DAY","Wed")
+GETPIVOTDATA("Sum of CORPORATE",'Pivot Table'!$A$76,"DAY","Wed")
+GETPIVOTDATA("Sum of CORPORATE",'Pivot Table'!$A$88,"DAY","Wed")
+GETPIVOTDATA("Sum of CORPORATE",'Pivot Table'!$A$100,"DAY","Wed")
+GETPIVOTDATA("Sum of CORPORATE",'Pivot Table'!$A$112,"DAY","Wed")
+GETPIVOTDATA("Sum of CORPORATE",'Pivot Table'!$A$124,"DAY","Wed")
+GETPIVOTDATA("Sum of CORPORATE",'Pivot Table'!$A$136,"DAY","Wed")</f>
        <v>318</v>
      </c>
      <c r="K19" s="33" t="s">
        <v>6</v>
      </c>
      <c r="L19" s="33">
        <f>GETPIVOTDATA("Sum of CORPORATE",'Pivot Table'!$A$4,"DAY","Thu")
+GETPIVOTDATA("Sum of CORPORATE",'Pivot Table'!$A$16,"DAY","Thu")
+GETPIVOTDATA("Sum of CORPORATE",'Pivot Table'!$A$28,"DAY","Thu")
+GETPIVOTDATA("Sum of CORPORATE",'Pivot Table'!$A$40,"DAY","Thu")
+GETPIVOTDATA("Sum of CORPORATE",'Pivot Table'!$A$52,"DAY","Thu")
+GETPIVOTDATA("Sum of CORPORATE",'Pivot Table'!$A$64,"DAY","Thu")
+GETPIVOTDATA("Sum of CORPORATE",'Pivot Table'!$A$76,"DAY","Thu")
+GETPIVOTDATA("Sum of CORPORATE",'Pivot Table'!$A$88,"DAY","Thu")
+GETPIVOTDATA("Sum of CORPORATE",'Pivot Table'!$A$100,"DAY","Thu")
+GETPIVOTDATA("Sum of CORPORATE",'Pivot Table'!$A$112,"DAY","Thu")
+GETPIVOTDATA("Sum of CORPORATE",'Pivot Table'!$A$124,"DAY","Thu")
+GETPIVOTDATA("Sum of CORPORATE",'Pivot Table'!$A$136,"DAY","Thu")</f>
        <v>0</v>
      </c>
      <c r="N19" s="33" t="s">
        <v>6</v>
      </c>
      <c r="O19" s="33">
        <f>GETPIVOTDATA("Sum of CORPORATE",'Pivot Table'!$A$4,"DAY","Fri")
+GETPIVOTDATA("Sum of CORPORATE",'Pivot Table'!$A$16,"DAY","Fri")
+GETPIVOTDATA("Sum of CORPORATE",'Pivot Table'!$A$28,"DAY","Fri")
+GETPIVOTDATA("Sum of CORPORATE",'Pivot Table'!$A$40,"DAY","Fri")
+GETPIVOTDATA("Sum of CORPORATE",'Pivot Table'!$A$52,"DAY","Fri")
+GETPIVOTDATA("Sum of CORPORATE",'Pivot Table'!$A$64,"DAY","Fri")
+GETPIVOTDATA("Sum of CORPORATE",'Pivot Table'!$A$76,"DAY","Fri")
+GETPIVOTDATA("Sum of CORPORATE",'Pivot Table'!$A$88,"DAY","Fri")
+GETPIVOTDATA("Sum of CORPORATE",'Pivot Table'!$A$100,"DAY","Fri")
+GETPIVOTDATA("Sum of CORPORATE",'Pivot Table'!$A$112,"DAY","Fri")
+GETPIVOTDATA("Sum of CORPORATE",'Pivot Table'!$A$124,"DAY","Fri")
+GETPIVOTDATA("Sum of CORPORATE",'Pivot Table'!$A$136,"DAY","Fri")</f>
        <v>0</v>
      </c>
      <c r="Q19" s="33" t="s">
        <v>6</v>
      </c>
      <c r="R19" s="33">
        <f>GETPIVOTDATA("Sum of CORPORATE",'Pivot Table'!$A$4,"DAY","Sat")
+GETPIVOTDATA("Sum of CORPORATE",'Pivot Table'!$A$16,"DAY","Sat")
+GETPIVOTDATA("Sum of CORPORATE",'Pivot Table'!$A$28,"DAY","Sat")
+GETPIVOTDATA("Sum of CORPORATE",'Pivot Table'!$A$40,"DAY","Sat")
+GETPIVOTDATA("Sum of CORPORATE",'Pivot Table'!$A$52,"DAY","Sat")
+GETPIVOTDATA("Sum of CORPORATE",'Pivot Table'!$A$64,"DAY","Sat")
+GETPIVOTDATA("Sum of CORPORATE",'Pivot Table'!$A$76,"DAY","Sat")
+GETPIVOTDATA("Sum of CORPORATE",'Pivot Table'!$A$88,"DAY","Sat")
+GETPIVOTDATA("Sum of CORPORATE",'Pivot Table'!$A$100,"DAY","Sat")
+GETPIVOTDATA("Sum of CORPORATE",'Pivot Table'!$A$112,"DAY","Sat")
+GETPIVOTDATA("Sum of CORPORATE",'Pivot Table'!$A$124,"DAY","Sat")
+GETPIVOTDATA("Sum of CORPORATE",'Pivot Table'!$A$136,"DAY","Sat")</f>
        <v>0</v>
      </c>
      <c r="T19" s="33" t="s">
        <v>6</v>
      </c>
      <c r="U19" s="33">
        <f>GETPIVOTDATA("Sum of CORPORATE",'Pivot Table'!$A$4,"DAY","Sun")
+GETPIVOTDATA("Sum of CORPORATE",'Pivot Table'!$A$16,"DAY","Sun")
+GETPIVOTDATA("Sum of CORPORATE",'Pivot Table'!$A$28,"DAY","Sun")
+GETPIVOTDATA("Sum of CORPORATE",'Pivot Table'!$A$40,"DAY","Sun")
+GETPIVOTDATA("Sum of CORPORATE",'Pivot Table'!$A$52,"DAY","Sun")
+GETPIVOTDATA("Sum of CORPORATE",'Pivot Table'!$A$64,"DAY","Sun")
+GETPIVOTDATA("Sum of CORPORATE",'Pivot Table'!$A$76,"DAY","Sun")
+GETPIVOTDATA("Sum of CORPORATE",'Pivot Table'!$A$88,"DAY","Sun")
+GETPIVOTDATA("Sum of CORPORATE",'Pivot Table'!$A$100,"DAY","Sun")
+GETPIVOTDATA("Sum of CORPORATE",'Pivot Table'!$A$112,"DAY","Sun")
+GETPIVOTDATA("Sum of CORPORATE",'Pivot Table'!$A$124,"DAY","Sun")
+GETPIVOTDATA("Sum of CORPORATE",'Pivot Table'!$A$136,"DAY","Sun")</f>
        <v>0</v>
      </c>
    </row>
    <row r="20" spans="2:21" x14ac:dyDescent="0.25">
      <c r="B20" s="33" t="s">
        <v>78</v>
      </c>
      <c r="C20" s="33">
        <f>GETPIVOTDATA("Sum of NON-PLAYING",'Pivot Table'!$A$4,"DAY","Mon")+GETPIVOTDATA("Sum of NON-PLAYING",'Pivot Table'!$A$16,"DAY","Mon")+GETPIVOTDATA("Sum of NON-PLAYING",'Pivot Table'!$A$28,"DAY","Mon")+GETPIVOTDATA("Sum of NON-PLAYING",'Pivot Table'!$A$40,"DAY","Mon")+GETPIVOTDATA("Sum of NON-PLAYING",'Pivot Table'!$A$52,"DAY","Mon")+GETPIVOTDATA("Sum of NON-PLAYING",'Pivot Table'!$A$64,"DAY","Mon")+GETPIVOTDATA("Sum of NON-PLAYING",'Pivot Table'!$A$76,"DAY","Mon")+GETPIVOTDATA("Sum of NON-PLAYING",'Pivot Table'!$A$88,"DAY","Mon")+GETPIVOTDATA("Sum of NON-PLAYING",'Pivot Table'!$A$100,"DAY","Mon")+GETPIVOTDATA("Sum of NON-PLAYING",'Pivot Table'!$A$112,"DAY","Mon")+GETPIVOTDATA("Sum of NON-PLAYING",'Pivot Table'!$A$124,"DAY","Mon")+GETPIVOTDATA("Sum of NON-PLAYING",'Pivot Table'!$A$136,"DAY","Mon")</f>
        <v>6</v>
      </c>
      <c r="E20" s="33" t="s">
        <v>78</v>
      </c>
      <c r="F20" s="33">
        <f>GETPIVOTDATA("Sum of NON-PLAYING",'Pivot Table'!$A$4,"DAY","Tue")
+GETPIVOTDATA("Sum of NON-PLAYING",'Pivot Table'!$A$16,"DAY","Tue")
+GETPIVOTDATA("Sum of NON-PLAYING",'Pivot Table'!$A$28,"DAY","Tue")
+GETPIVOTDATA("Sum of NON-PLAYING",'Pivot Table'!$A$40,"DAY","Tue")
+GETPIVOTDATA("Sum of NON-PLAYING",'Pivot Table'!$A$52,"DAY","Tue")
+GETPIVOTDATA("Sum of NON-PLAYING",'Pivot Table'!$A$64,"DAY","Tue")
+GETPIVOTDATA("Sum of NON-PLAYING",'Pivot Table'!$A$76,"DAY","Tue")
+GETPIVOTDATA("Sum of NON-PLAYING",'Pivot Table'!$A$88,"DAY","Tue")
+GETPIVOTDATA("Sum of NON-PLAYING",'Pivot Table'!$A$100,"DAY","Tue")
+GETPIVOTDATA("Sum of NON-PLAYING",'Pivot Table'!$A$112,"DAY","Tue")
+GETPIVOTDATA("Sum of NON-PLAYING",'Pivot Table'!$A$124,"DAY","Tue")
+GETPIVOTDATA("Sum of NON-PLAYING",'Pivot Table'!$A$136,"DAY","Tue")</f>
        <v>1</v>
      </c>
      <c r="H20" s="33" t="s">
        <v>78</v>
      </c>
      <c r="I20" s="33">
        <f>GETPIVOTDATA("Sum of NON-PLAYING",'Pivot Table'!$A$4,"DAY","Wed")
+GETPIVOTDATA("Sum of NON-PLAYING",'Pivot Table'!$A$16,"DAY","Wed")
+GETPIVOTDATA("Sum of NON-PLAYING",'Pivot Table'!$A$28,"DAY","Wed")
+GETPIVOTDATA("Sum of NON-PLAYING",'Pivot Table'!$A$40,"DAY","Wed")
+GETPIVOTDATA("Sum of NON-PLAYING",'Pivot Table'!$A$52,"DAY","Wed")
+GETPIVOTDATA("Sum of NON-PLAYING",'Pivot Table'!$A$64,"DAY","Wed")
+GETPIVOTDATA("Sum of NON-PLAYING",'Pivot Table'!$A$76,"DAY","Wed")
+GETPIVOTDATA("Sum of NON-PLAYING",'Pivot Table'!$A$88,"DAY","Wed")
+GETPIVOTDATA("Sum of NON-PLAYING",'Pivot Table'!$A$100,"DAY","Wed")
+GETPIVOTDATA("Sum of NON-PLAYING",'Pivot Table'!$A$112,"DAY","Wed")
+GETPIVOTDATA("Sum of NON-PLAYING",'Pivot Table'!$A$124,"DAY","Wed")
+GETPIVOTDATA("Sum of NON-PLAYING",'Pivot Table'!$A$136,"DAY","Wed")</f>
        <v>7</v>
      </c>
      <c r="K20" s="33" t="s">
        <v>78</v>
      </c>
      <c r="L20" s="33">
        <f>GETPIVOTDATA("Sum of NON-PLAYING",'Pivot Table'!$A$4,"DAY","Thu")
+GETPIVOTDATA("Sum of NON-PLAYING",'Pivot Table'!$A$16,"DAY","Thu")
+GETPIVOTDATA("Sum of NON-PLAYING",'Pivot Table'!$A$28,"DAY","Thu")
+GETPIVOTDATA("Sum of NON-PLAYING",'Pivot Table'!$A$40,"DAY","Thu")
+GETPIVOTDATA("Sum of NON-PLAYING",'Pivot Table'!$A$52,"DAY","Thu")
+GETPIVOTDATA("Sum of NON-PLAYING",'Pivot Table'!$A$64,"DAY","Thu")
+GETPIVOTDATA("Sum of NON-PLAYING",'Pivot Table'!$A$76,"DAY","Thu")
+GETPIVOTDATA("Sum of NON-PLAYING",'Pivot Table'!$A$88,"DAY","Thu")
+GETPIVOTDATA("Sum of NON-PLAYING",'Pivot Table'!$A$100,"DAY","Thu")
+GETPIVOTDATA("Sum of NON-PLAYING",'Pivot Table'!$A$112,"DAY","Thu")
+GETPIVOTDATA("Sum of NON-PLAYING",'Pivot Table'!$A$124,"DAY","Thu")
+GETPIVOTDATA("Sum of NON-PLAYING",'Pivot Table'!$A$136,"DAY","Thu")</f>
        <v>1</v>
      </c>
      <c r="N20" s="33" t="s">
        <v>78</v>
      </c>
      <c r="O20" s="33">
        <f>GETPIVOTDATA("Sum of NON-PLAYING",'Pivot Table'!$A$4,"DAY","Fri")
+GETPIVOTDATA("Sum of NON-PLAYING",'Pivot Table'!$A$16,"DAY","Fri")
+GETPIVOTDATA("Sum of NON-PLAYING",'Pivot Table'!$A$28,"DAY","Fri")
+GETPIVOTDATA("Sum of NON-PLAYING",'Pivot Table'!$A$40,"DAY","Fri")
+GETPIVOTDATA("Sum of NON-PLAYING",'Pivot Table'!$A$52,"DAY","Fri")
+GETPIVOTDATA("Sum of NON-PLAYING",'Pivot Table'!$A$64,"DAY","Fri")
+GETPIVOTDATA("Sum of NON-PLAYING",'Pivot Table'!$A$76,"DAY","Fri")
+GETPIVOTDATA("Sum of NON-PLAYING",'Pivot Table'!$A$88,"DAY","Fri")
+GETPIVOTDATA("Sum of NON-PLAYING",'Pivot Table'!$A$100,"DAY","Fri")
+GETPIVOTDATA("Sum of NON-PLAYING",'Pivot Table'!$A$112,"DAY","Fri")
+GETPIVOTDATA("Sum of NON-PLAYING",'Pivot Table'!$A$124,"DAY","Fri")
+GETPIVOTDATA("Sum of NON-PLAYING",'Pivot Table'!$A$136,"DAY","Fri")</f>
        <v>11</v>
      </c>
      <c r="Q20" s="33" t="s">
        <v>78</v>
      </c>
      <c r="R20" s="33">
        <f>GETPIVOTDATA("Sum of NON-PLAYING",'Pivot Table'!$A$4,"DAY","Sat")
+GETPIVOTDATA("Sum of NON-PLAYING",'Pivot Table'!$A$16,"DAY","Sat")
+GETPIVOTDATA("Sum of NON-PLAYING",'Pivot Table'!$A$28,"DAY","Sat")
+GETPIVOTDATA("Sum of NON-PLAYING",'Pivot Table'!$A$40,"DAY","Sat")
+GETPIVOTDATA("Sum of NON-PLAYING",'Pivot Table'!$A$52,"DAY","Sat")
+GETPIVOTDATA("Sum of NON-PLAYING",'Pivot Table'!$A$64,"DAY","Sat")
+GETPIVOTDATA("Sum of NON-PLAYING",'Pivot Table'!$A$76,"DAY","Sat")
+GETPIVOTDATA("Sum of NON-PLAYING",'Pivot Table'!$A$88,"DAY","Sat")
+GETPIVOTDATA("Sum of NON-PLAYING",'Pivot Table'!$A$100,"DAY","Sat")
+GETPIVOTDATA("Sum of NON-PLAYING",'Pivot Table'!$A$112,"DAY","Sat")
+GETPIVOTDATA("Sum of NON-PLAYING",'Pivot Table'!$A$124,"DAY","Sat")
+GETPIVOTDATA("Sum of NON-PLAYING",'Pivot Table'!$A$136,"DAY","Sat")</f>
        <v>0</v>
      </c>
      <c r="T20" s="33" t="s">
        <v>78</v>
      </c>
      <c r="U20" s="33">
        <f>GETPIVOTDATA("Sum of NON-PLAYING",'Pivot Table'!$A$4,"DAY","Sun")
+GETPIVOTDATA("Sum of NON-PLAYING",'Pivot Table'!$A$16,"DAY","Sun")
+GETPIVOTDATA("Sum of NON-PLAYING",'Pivot Table'!$A$28,"DAY","Sun")
+GETPIVOTDATA("Sum of NON-PLAYING",'Pivot Table'!$A$40,"DAY","Sun")
+GETPIVOTDATA("Sum of NON-PLAYING",'Pivot Table'!$A$52,"DAY","Sun")
+GETPIVOTDATA("Sum of NON-PLAYING",'Pivot Table'!$A$64,"DAY","Sun")
+GETPIVOTDATA("Sum of NON-PLAYING",'Pivot Table'!$A$76,"DAY","Sun")
+GETPIVOTDATA("Sum of NON-PLAYING",'Pivot Table'!$A$88,"DAY","Sun")
+GETPIVOTDATA("Sum of NON-PLAYING",'Pivot Table'!$A$100,"DAY","Sun")
+GETPIVOTDATA("Sum of NON-PLAYING",'Pivot Table'!$A$112,"DAY","Sun")
+GETPIVOTDATA("Sum of NON-PLAYING",'Pivot Table'!$A$124,"DAY","Sun")
+GETPIVOTDATA("Sum of NON-PLAYING",'Pivot Table'!$A$136,"DAY","Sun")</f>
        <v>9</v>
      </c>
    </row>
    <row r="21" spans="2:21" x14ac:dyDescent="0.25">
      <c r="B21" s="33" t="s">
        <v>73</v>
      </c>
      <c r="C21" s="33">
        <f>GETPIVOTDATA("Sum of VOUCHER",'Pivot Table'!$A$4,"DAY","Mon")+GETPIVOTDATA("Sum of VOUCHER",'Pivot Table'!$A$16,"DAY","Mon")+GETPIVOTDATA("Sum of VOUCHER",'Pivot Table'!$A$28,"DAY","Mon")+GETPIVOTDATA("Sum of VOUCHER",'Pivot Table'!$A$40,"DAY","Mon")+GETPIVOTDATA("Sum of VOUCHER",'Pivot Table'!$A$52,"DAY","Mon")+GETPIVOTDATA("Sum of VOUCHER",'Pivot Table'!$A$64,"DAY","Mon")+GETPIVOTDATA("Sum of VOUCHER",'Pivot Table'!$A$76,"DAY","Mon")+GETPIVOTDATA("Sum of VOUCHER",'Pivot Table'!$A$88,"DAY","Mon")+GETPIVOTDATA("Sum of VOUCHER",'Pivot Table'!$A$100,"DAY","Mon")+GETPIVOTDATA("Sum of VOUCHER",'Pivot Table'!$A$112,"DAY","Mon")+GETPIVOTDATA("Sum of VOUCHER",'Pivot Table'!$A$124,"DAY","Mon")+GETPIVOTDATA("Sum of VOUCHER",'Pivot Table'!$A$136,"DAY","Mon")</f>
        <v>53</v>
      </c>
      <c r="E21" s="33" t="s">
        <v>73</v>
      </c>
      <c r="F21" s="33">
        <f>GETPIVOTDATA("Sum of VOUCHER",'Pivot Table'!$A$4,"DAY","Tue")
+GETPIVOTDATA("Sum of VOUCHER",'Pivot Table'!$A$16,"DAY","Tue")
+GETPIVOTDATA("Sum of VOUCHER",'Pivot Table'!$A$28,"DAY","Tue")
+GETPIVOTDATA("Sum of VOUCHER",'Pivot Table'!$A$40,"DAY","Tue")
+GETPIVOTDATA("Sum of VOUCHER",'Pivot Table'!$A$52,"DAY","Tue")
+GETPIVOTDATA("Sum of VOUCHER",'Pivot Table'!$A$64,"DAY","Tue")
+GETPIVOTDATA("Sum of VOUCHER",'Pivot Table'!$A$76,"DAY","Tue")
+GETPIVOTDATA("Sum of VOUCHER",'Pivot Table'!$A$88,"DAY","Tue")
+GETPIVOTDATA("Sum of VOUCHER",'Pivot Table'!$A$100,"DAY","Tue")
+GETPIVOTDATA("Sum of VOUCHER",'Pivot Table'!$A$112,"DAY","Tue")
+GETPIVOTDATA("Sum of VOUCHER",'Pivot Table'!$A$124,"DAY","Tue")
+GETPIVOTDATA("Sum of VOUCHER",'Pivot Table'!$A$136,"DAY","Tue")</f>
        <v>7</v>
      </c>
      <c r="H21" s="33" t="s">
        <v>73</v>
      </c>
      <c r="I21" s="33">
        <f>GETPIVOTDATA("Sum of VOUCHER",'Pivot Table'!$A$4,"DAY","Wed")
+GETPIVOTDATA("Sum of VOUCHER",'Pivot Table'!$A$16,"DAY","Wed")
+GETPIVOTDATA("Sum of VOUCHER",'Pivot Table'!$A$28,"DAY","Wed")
+GETPIVOTDATA("Sum of VOUCHER",'Pivot Table'!$A$40,"DAY","Wed")
+GETPIVOTDATA("Sum of VOUCHER",'Pivot Table'!$A$52,"DAY","Wed")
+GETPIVOTDATA("Sum of VOUCHER",'Pivot Table'!$A$64,"DAY","Wed")
+GETPIVOTDATA("Sum of VOUCHER",'Pivot Table'!$A$76,"DAY","Wed")
+GETPIVOTDATA("Sum of VOUCHER",'Pivot Table'!$A$88,"DAY","Wed")
+GETPIVOTDATA("Sum of VOUCHER",'Pivot Table'!$A$100,"DAY","Wed")
+GETPIVOTDATA("Sum of VOUCHER",'Pivot Table'!$A$112,"DAY","Wed")
+GETPIVOTDATA("Sum of VOUCHER",'Pivot Table'!$A$124,"DAY","Wed")
+GETPIVOTDATA("Sum of VOUCHER",'Pivot Table'!$A$136,"DAY","Wed")</f>
        <v>33</v>
      </c>
      <c r="K21" s="33" t="s">
        <v>73</v>
      </c>
      <c r="L21" s="33">
        <f>GETPIVOTDATA("Sum of VOUCHER",'Pivot Table'!$A$4,"DAY","Thu")
+GETPIVOTDATA("Sum of VOUCHER",'Pivot Table'!$A$16,"DAY","Thu")
+GETPIVOTDATA("Sum of VOUCHER",'Pivot Table'!$A$28,"DAY","Thu")
+GETPIVOTDATA("Sum of VOUCHER",'Pivot Table'!$A$40,"DAY","Thu")
+GETPIVOTDATA("Sum of VOUCHER",'Pivot Table'!$A$52,"DAY","Thu")
+GETPIVOTDATA("Sum of VOUCHER",'Pivot Table'!$A$64,"DAY","Thu")
+GETPIVOTDATA("Sum of VOUCHER",'Pivot Table'!$A$76,"DAY","Thu")
+GETPIVOTDATA("Sum of VOUCHER",'Pivot Table'!$A$88,"DAY","Thu")
+GETPIVOTDATA("Sum of VOUCHER",'Pivot Table'!$A$100,"DAY","Thu")
+GETPIVOTDATA("Sum of VOUCHER",'Pivot Table'!$A$112,"DAY","Thu")
+GETPIVOTDATA("Sum of VOUCHER",'Pivot Table'!$A$124,"DAY","Thu")
+GETPIVOTDATA("Sum of VOUCHER",'Pivot Table'!$A$136,"DAY","Thu")</f>
        <v>25</v>
      </c>
      <c r="N21" s="33" t="s">
        <v>73</v>
      </c>
      <c r="O21" s="33">
        <f>GETPIVOTDATA("Sum of VOUCHER",'Pivot Table'!$A$4,"DAY","Fri")
+GETPIVOTDATA("Sum of VOUCHER",'Pivot Table'!$A$16,"DAY","Fri")
+GETPIVOTDATA("Sum of VOUCHER",'Pivot Table'!$A$28,"DAY","Fri")
+GETPIVOTDATA("Sum of VOUCHER",'Pivot Table'!$A$40,"DAY","Fri")
+GETPIVOTDATA("Sum of VOUCHER",'Pivot Table'!$A$52,"DAY","Fri")
+GETPIVOTDATA("Sum of VOUCHER",'Pivot Table'!$A$64,"DAY","Fri")
+GETPIVOTDATA("Sum of VOUCHER",'Pivot Table'!$A$76,"DAY","Fri")
+GETPIVOTDATA("Sum of VOUCHER",'Pivot Table'!$A$88,"DAY","Fri")
+GETPIVOTDATA("Sum of VOUCHER",'Pivot Table'!$A$100,"DAY","Fri")
+GETPIVOTDATA("Sum of VOUCHER",'Pivot Table'!$A$112,"DAY","Fri")
+GETPIVOTDATA("Sum of VOUCHER",'Pivot Table'!$A$124,"DAY","Fri")
+GETPIVOTDATA("Sum of VOUCHER",'Pivot Table'!$A$136,"DAY","Fri")</f>
        <v>67</v>
      </c>
      <c r="Q21" s="33" t="s">
        <v>73</v>
      </c>
      <c r="R21" s="33">
        <f>GETPIVOTDATA("Sum of VOUCHER",'Pivot Table'!$A$4,"DAY","Sat")
+GETPIVOTDATA("Sum of VOUCHER",'Pivot Table'!$A$16,"DAY","Sat")
+GETPIVOTDATA("Sum of VOUCHER",'Pivot Table'!$A$28,"DAY","Sat")
+GETPIVOTDATA("Sum of VOUCHER",'Pivot Table'!$A$40,"DAY","Sat")
+GETPIVOTDATA("Sum of VOUCHER",'Pivot Table'!$A$52,"DAY","Sat")
+GETPIVOTDATA("Sum of VOUCHER",'Pivot Table'!$A$64,"DAY","Sat")
+GETPIVOTDATA("Sum of VOUCHER",'Pivot Table'!$A$76,"DAY","Sat")
+GETPIVOTDATA("Sum of VOUCHER",'Pivot Table'!$A$88,"DAY","Sat")
+GETPIVOTDATA("Sum of VOUCHER",'Pivot Table'!$A$100,"DAY","Sat")
+GETPIVOTDATA("Sum of VOUCHER",'Pivot Table'!$A$112,"DAY","Sat")
+GETPIVOTDATA("Sum of VOUCHER",'Pivot Table'!$A$124,"DAY","Sat")
+GETPIVOTDATA("Sum of VOUCHER",'Pivot Table'!$A$136,"DAY","Sat")</f>
        <v>0</v>
      </c>
      <c r="T21" s="33" t="s">
        <v>73</v>
      </c>
      <c r="U21" s="33">
        <f>GETPIVOTDATA("Sum of VOUCHER",'Pivot Table'!$A$4,"DAY","Sun")
+GETPIVOTDATA("Sum of VOUCHER",'Pivot Table'!$A$16,"DAY","Sun")
+GETPIVOTDATA("Sum of VOUCHER",'Pivot Table'!$A$28,"DAY","Sun")
+GETPIVOTDATA("Sum of VOUCHER",'Pivot Table'!$A$40,"DAY","Sun")
+GETPIVOTDATA("Sum of VOUCHER",'Pivot Table'!$A$52,"DAY","Sun")
+GETPIVOTDATA("Sum of VOUCHER",'Pivot Table'!$A$64,"DAY","Sun")
+GETPIVOTDATA("Sum of VOUCHER",'Pivot Table'!$A$76,"DAY","Sun")
+GETPIVOTDATA("Sum of VOUCHER",'Pivot Table'!$A$88,"DAY","Sun")
+GETPIVOTDATA("Sum of VOUCHER",'Pivot Table'!$A$100,"DAY","Sun")
+GETPIVOTDATA("Sum of VOUCHER",'Pivot Table'!$A$112,"DAY","Sun")
+GETPIVOTDATA("Sum of VOUCHER",'Pivot Table'!$A$124,"DAY","Sun")
+GETPIVOTDATA("Sum of VOUCHER",'Pivot Table'!$A$136,"DAY","Sun")</f>
        <v>33</v>
      </c>
    </row>
    <row r="22" spans="2:21" x14ac:dyDescent="0.25">
      <c r="B22" s="33" t="s">
        <v>7</v>
      </c>
      <c r="C22" s="33">
        <f>GETPIVOTDATA("Sum of RECIP",'Pivot Table'!$A$4,"DAY","Mon")+GETPIVOTDATA("Sum of RECIP",'Pivot Table'!$A$16,"DAY","Mon")+GETPIVOTDATA("Sum of RECIP",'Pivot Table'!$A$28,"DAY","Mon")+GETPIVOTDATA("Sum of RECIP",'Pivot Table'!$A$40,"DAY","Mon")+GETPIVOTDATA("Sum of RECIP",'Pivot Table'!$A$52,"DAY","Mon")+GETPIVOTDATA("Sum of RECIP",'Pivot Table'!$A$64,"DAY","Mon")+GETPIVOTDATA("Sum of RECIP",'Pivot Table'!$A$76,"DAY","Mon")+GETPIVOTDATA("Sum of RECIP",'Pivot Table'!$A$88,"DAY","Mon")+GETPIVOTDATA("Sum of RECIP",'Pivot Table'!$A$100,"DAY","Mon")+GETPIVOTDATA("Sum of RECIP",'Pivot Table'!$A$112,"DAY","Mon")+GETPIVOTDATA("Sum of RECIP",'Pivot Table'!$A$124,"DAY","Mon")+GETPIVOTDATA("Sum of RECIP",'Pivot Table'!$A$136,"DAY","Mon")</f>
        <v>31</v>
      </c>
      <c r="E22" s="33" t="s">
        <v>7</v>
      </c>
      <c r="F22" s="33">
        <f>GETPIVOTDATA("Sum of RECIP",'Pivot Table'!$A$4,"DAY","Tue")
+GETPIVOTDATA("Sum of RECIP",'Pivot Table'!$A$16,"DAY","Tue")
+GETPIVOTDATA("Sum of RECIP",'Pivot Table'!$A$28,"DAY","Tue")
+GETPIVOTDATA("Sum of RECIP",'Pivot Table'!$A$40,"DAY","Tue")
+GETPIVOTDATA("Sum of RECIP",'Pivot Table'!$A$52,"DAY","Tue")
+GETPIVOTDATA("Sum of RECIP",'Pivot Table'!$A$64,"DAY","Tue")
+GETPIVOTDATA("Sum of RECIP",'Pivot Table'!$A$76,"DAY","Tue")
+GETPIVOTDATA("Sum of RECIP",'Pivot Table'!$A$88,"DAY","Tue")
+GETPIVOTDATA("Sum of RECIP",'Pivot Table'!$A$100,"DAY","Tue")
+GETPIVOTDATA("Sum of RECIP",'Pivot Table'!$A$112,"DAY","Tue")
+GETPIVOTDATA("Sum of RECIP",'Pivot Table'!$A$124,"DAY","Tue")
+GETPIVOTDATA("Sum of RECIP",'Pivot Table'!$A$136,"DAY","Tue")</f>
        <v>7</v>
      </c>
      <c r="H22" s="33" t="s">
        <v>7</v>
      </c>
      <c r="I22" s="33">
        <f>GETPIVOTDATA("Sum of RECIP",'Pivot Table'!$A$4,"DAY","Wed")
+GETPIVOTDATA("Sum of RECIP",'Pivot Table'!$A$16,"DAY","Wed")
+GETPIVOTDATA("Sum of RECIP",'Pivot Table'!$A$28,"DAY","Wed")
+GETPIVOTDATA("Sum of RECIP",'Pivot Table'!$A$40,"DAY","Wed")
+GETPIVOTDATA("Sum of RECIP",'Pivot Table'!$A$52,"DAY","Wed")
+GETPIVOTDATA("Sum of RECIP",'Pivot Table'!$A$64,"DAY","Wed")
+GETPIVOTDATA("Sum of RECIP",'Pivot Table'!$A$76,"DAY","Wed")
+GETPIVOTDATA("Sum of RECIP",'Pivot Table'!$A$88,"DAY","Wed")
+GETPIVOTDATA("Sum of RECIP",'Pivot Table'!$A$100,"DAY","Wed")
+GETPIVOTDATA("Sum of RECIP",'Pivot Table'!$A$112,"DAY","Wed")
+GETPIVOTDATA("Sum of RECIP",'Pivot Table'!$A$124,"DAY","Wed")
+GETPIVOTDATA("Sum of RECIP",'Pivot Table'!$A$136,"DAY","Wed")</f>
        <v>37</v>
      </c>
      <c r="K22" s="33" t="s">
        <v>7</v>
      </c>
      <c r="L22" s="33">
        <f>GETPIVOTDATA("Sum of RECIP",'Pivot Table'!$A$4,"DAY","Thu")
+GETPIVOTDATA("Sum of RECIP",'Pivot Table'!$A$16,"DAY","Thu")
+GETPIVOTDATA("Sum of RECIP",'Pivot Table'!$A$28,"DAY","Thu")
+GETPIVOTDATA("Sum of RECIP",'Pivot Table'!$A$40,"DAY","Thu")
+GETPIVOTDATA("Sum of RECIP",'Pivot Table'!$A$52,"DAY","Thu")
+GETPIVOTDATA("Sum of RECIP",'Pivot Table'!$A$64,"DAY","Thu")
+GETPIVOTDATA("Sum of RECIP",'Pivot Table'!$A$76,"DAY","Thu")
+GETPIVOTDATA("Sum of RECIP",'Pivot Table'!$A$88,"DAY","Thu")
+GETPIVOTDATA("Sum of RECIP",'Pivot Table'!$A$100,"DAY","Thu")
+GETPIVOTDATA("Sum of RECIP",'Pivot Table'!$A$112,"DAY","Thu")
+GETPIVOTDATA("Sum of RECIP",'Pivot Table'!$A$124,"DAY","Thu")
+GETPIVOTDATA("Sum of RECIP",'Pivot Table'!$A$136,"DAY","Thu")</f>
        <v>12</v>
      </c>
      <c r="N22" s="33" t="s">
        <v>7</v>
      </c>
      <c r="O22" s="33">
        <f>GETPIVOTDATA("Sum of RECIP",'Pivot Table'!$A$4,"DAY","Fri")
+GETPIVOTDATA("Sum of RECIP",'Pivot Table'!$A$16,"DAY","Fri")
+GETPIVOTDATA("Sum of RECIP",'Pivot Table'!$A$28,"DAY","Fri")
+GETPIVOTDATA("Sum of RECIP",'Pivot Table'!$A$40,"DAY","Fri")
+GETPIVOTDATA("Sum of RECIP",'Pivot Table'!$A$52,"DAY","Fri")
+GETPIVOTDATA("Sum of RECIP",'Pivot Table'!$A$64,"DAY","Fri")
+GETPIVOTDATA("Sum of RECIP",'Pivot Table'!$A$76,"DAY","Fri")
+GETPIVOTDATA("Sum of RECIP",'Pivot Table'!$A$88,"DAY","Fri")
+GETPIVOTDATA("Sum of RECIP",'Pivot Table'!$A$100,"DAY","Fri")
+GETPIVOTDATA("Sum of RECIP",'Pivot Table'!$A$112,"DAY","Fri")
+GETPIVOTDATA("Sum of RECIP",'Pivot Table'!$A$124,"DAY","Fri")
+GETPIVOTDATA("Sum of RECIP",'Pivot Table'!$A$136,"DAY","Fri")</f>
        <v>46</v>
      </c>
      <c r="Q22" s="33" t="s">
        <v>7</v>
      </c>
      <c r="R22" s="33">
        <f>GETPIVOTDATA("Sum of RECIP",'Pivot Table'!$A$4,"DAY","Sat")
+GETPIVOTDATA("Sum of RECIP",'Pivot Table'!$A$16,"DAY","Sat")
+GETPIVOTDATA("Sum of RECIP",'Pivot Table'!$A$28,"DAY","Sat")
+GETPIVOTDATA("Sum of RECIP",'Pivot Table'!$A$40,"DAY","Sat")
+GETPIVOTDATA("Sum of RECIP",'Pivot Table'!$A$52,"DAY","Sat")
+GETPIVOTDATA("Sum of RECIP",'Pivot Table'!$A$64,"DAY","Sat")
+GETPIVOTDATA("Sum of RECIP",'Pivot Table'!$A$76,"DAY","Sat")
+GETPIVOTDATA("Sum of RECIP",'Pivot Table'!$A$88,"DAY","Sat")
+GETPIVOTDATA("Sum of RECIP",'Pivot Table'!$A$100,"DAY","Sat")
+GETPIVOTDATA("Sum of RECIP",'Pivot Table'!$A$112,"DAY","Sat")
+GETPIVOTDATA("Sum of RECIP",'Pivot Table'!$A$124,"DAY","Sat")
+GETPIVOTDATA("Sum of RECIP",'Pivot Table'!$A$136,"DAY","Sat")</f>
        <v>6</v>
      </c>
      <c r="T22" s="33" t="s">
        <v>7</v>
      </c>
      <c r="U22" s="33">
        <f>GETPIVOTDATA("Sum of RECIP",'Pivot Table'!$A$4,"DAY","Sun")
+GETPIVOTDATA("Sum of RECIP",'Pivot Table'!$A$16,"DAY","Sun")
+GETPIVOTDATA("Sum of RECIP",'Pivot Table'!$A$28,"DAY","Sun")
+GETPIVOTDATA("Sum of RECIP",'Pivot Table'!$A$40,"DAY","Sun")
+GETPIVOTDATA("Sum of RECIP",'Pivot Table'!$A$52,"DAY","Sun")
+GETPIVOTDATA("Sum of RECIP",'Pivot Table'!$A$64,"DAY","Sun")
+GETPIVOTDATA("Sum of RECIP",'Pivot Table'!$A$76,"DAY","Sun")
+GETPIVOTDATA("Sum of RECIP",'Pivot Table'!$A$88,"DAY","Sun")
+GETPIVOTDATA("Sum of RECIP",'Pivot Table'!$A$100,"DAY","Sun")
+GETPIVOTDATA("Sum of RECIP",'Pivot Table'!$A$112,"DAY","Sun")
+GETPIVOTDATA("Sum of RECIP",'Pivot Table'!$A$124,"DAY","Sun")
+GETPIVOTDATA("Sum of RECIP",'Pivot Table'!$A$136,"DAY","Sun")</f>
        <v>39</v>
      </c>
    </row>
    <row r="23" spans="2:21" x14ac:dyDescent="0.25">
      <c r="B23" s="33" t="s">
        <v>74</v>
      </c>
      <c r="C23" s="33">
        <f>GETPIVOTDATA("Sum of COMP",'Pivot Table'!$A$4,"DAY","Mon")+GETPIVOTDATA("Sum of COMP",'Pivot Table'!$A$16,"DAY","Mon")+GETPIVOTDATA("Sum of COMP",'Pivot Table'!$A$28,"DAY","Mon")+GETPIVOTDATA("Sum of COMP",'Pivot Table'!$A$40,"DAY","Mon")+GETPIVOTDATA("Sum of COMP",'Pivot Table'!$A$52,"DAY","Mon")+GETPIVOTDATA("Sum of COMP",'Pivot Table'!$A$64,"DAY","Mon")+GETPIVOTDATA("Sum of COMP",'Pivot Table'!$A$76,"DAY","Mon")+GETPIVOTDATA("Sum of COMP",'Pivot Table'!$A$88,"DAY","Mon")+GETPIVOTDATA("Sum of COMP",'Pivot Table'!$A$100,"DAY","Mon")+GETPIVOTDATA("Sum of COMP",'Pivot Table'!$A$112,"DAY","Mon")+GETPIVOTDATA("Sum of COMP",'Pivot Table'!$A$124,"DAY","Mon")+GETPIVOTDATA("Sum of COMP",'Pivot Table'!$A$136,"DAY","Mon")</f>
        <v>639</v>
      </c>
      <c r="E23" s="33" t="s">
        <v>74</v>
      </c>
      <c r="F23" s="33">
        <f>GETPIVOTDATA("Sum of COMP",'Pivot Table'!$A$4,"DAY","Tue")
+GETPIVOTDATA("Sum of COMP",'Pivot Table'!$A$16,"DAY","Tue")
+GETPIVOTDATA("Sum of COMP",'Pivot Table'!$A$28,"DAY","Tue")
+GETPIVOTDATA("Sum of COMP",'Pivot Table'!$A$40,"DAY","Tue")
+GETPIVOTDATA("Sum of COMP",'Pivot Table'!$A$52,"DAY","Tue")
+GETPIVOTDATA("Sum of COMP",'Pivot Table'!$A$64,"DAY","Tue")
+GETPIVOTDATA("Sum of COMP",'Pivot Table'!$A$76,"DAY","Tue")
+GETPIVOTDATA("Sum of COMP",'Pivot Table'!$A$88,"DAY","Tue")
+GETPIVOTDATA("Sum of COMP",'Pivot Table'!$A$100,"DAY","Tue")
+GETPIVOTDATA("Sum of COMP",'Pivot Table'!$A$112,"DAY","Tue")
+GETPIVOTDATA("Sum of COMP",'Pivot Table'!$A$124,"DAY","Tue")
+GETPIVOTDATA("Sum of COMP",'Pivot Table'!$A$136,"DAY","Tue")</f>
        <v>313</v>
      </c>
      <c r="H23" s="33" t="s">
        <v>74</v>
      </c>
      <c r="I23" s="33">
        <f>GETPIVOTDATA("Sum of COMP",'Pivot Table'!$A$4,"DAY","Wed")
+GETPIVOTDATA("Sum of COMP",'Pivot Table'!$A$16,"DAY","Wed")
+GETPIVOTDATA("Sum of COMP",'Pivot Table'!$A$28,"DAY","Wed")
+GETPIVOTDATA("Sum of COMP",'Pivot Table'!$A$40,"DAY","Wed")
+GETPIVOTDATA("Sum of COMP",'Pivot Table'!$A$52,"DAY","Wed")
+GETPIVOTDATA("Sum of COMP",'Pivot Table'!$A$64,"DAY","Wed")
+GETPIVOTDATA("Sum of COMP",'Pivot Table'!$A$76,"DAY","Wed")
+GETPIVOTDATA("Sum of COMP",'Pivot Table'!$A$88,"DAY","Wed")
+GETPIVOTDATA("Sum of COMP",'Pivot Table'!$A$100,"DAY","Wed")
+GETPIVOTDATA("Sum of COMP",'Pivot Table'!$A$112,"DAY","Wed")
+GETPIVOTDATA("Sum of COMP",'Pivot Table'!$A$124,"DAY","Wed")
+GETPIVOTDATA("Sum of COMP",'Pivot Table'!$A$136,"DAY","Wed")</f>
        <v>167</v>
      </c>
      <c r="K23" s="33" t="s">
        <v>74</v>
      </c>
      <c r="L23" s="33">
        <f>GETPIVOTDATA("Sum of COMP",'Pivot Table'!$A$4,"DAY","Thu")
+GETPIVOTDATA("Sum of COMP",'Pivot Table'!$A$16,"DAY","Thu")
+GETPIVOTDATA("Sum of COMP",'Pivot Table'!$A$28,"DAY","Thu")
+GETPIVOTDATA("Sum of COMP",'Pivot Table'!$A$40,"DAY","Thu")
+GETPIVOTDATA("Sum of COMP",'Pivot Table'!$A$52,"DAY","Thu")
+GETPIVOTDATA("Sum of COMP",'Pivot Table'!$A$64,"DAY","Thu")
+GETPIVOTDATA("Sum of COMP",'Pivot Table'!$A$76,"DAY","Thu")
+GETPIVOTDATA("Sum of COMP",'Pivot Table'!$A$88,"DAY","Thu")
+GETPIVOTDATA("Sum of COMP",'Pivot Table'!$A$100,"DAY","Thu")
+GETPIVOTDATA("Sum of COMP",'Pivot Table'!$A$112,"DAY","Thu")
+GETPIVOTDATA("Sum of COMP",'Pivot Table'!$A$124,"DAY","Thu")
+GETPIVOTDATA("Sum of COMP",'Pivot Table'!$A$136,"DAY","Thu")</f>
        <v>1354</v>
      </c>
      <c r="N23" s="33" t="s">
        <v>74</v>
      </c>
      <c r="O23" s="33">
        <f>GETPIVOTDATA("Sum of COMP",'Pivot Table'!$A$4,"DAY","Fri")
+GETPIVOTDATA("Sum of COMP",'Pivot Table'!$A$16,"DAY","Fri")
+GETPIVOTDATA("Sum of COMP",'Pivot Table'!$A$28,"DAY","Fri")
+GETPIVOTDATA("Sum of COMP",'Pivot Table'!$A$40,"DAY","Fri")
+GETPIVOTDATA("Sum of COMP",'Pivot Table'!$A$52,"DAY","Fri")
+GETPIVOTDATA("Sum of COMP",'Pivot Table'!$A$64,"DAY","Fri")
+GETPIVOTDATA("Sum of COMP",'Pivot Table'!$A$76,"DAY","Fri")
+GETPIVOTDATA("Sum of COMP",'Pivot Table'!$A$88,"DAY","Fri")
+GETPIVOTDATA("Sum of COMP",'Pivot Table'!$A$100,"DAY","Fri")
+GETPIVOTDATA("Sum of COMP",'Pivot Table'!$A$112,"DAY","Fri")
+GETPIVOTDATA("Sum of COMP",'Pivot Table'!$A$124,"DAY","Fri")
+GETPIVOTDATA("Sum of COMP",'Pivot Table'!$A$136,"DAY","Fri")</f>
        <v>791</v>
      </c>
      <c r="Q23" s="33" t="s">
        <v>74</v>
      </c>
      <c r="R23" s="33">
        <f>GETPIVOTDATA("Sum of COMP",'Pivot Table'!$A$4,"DAY","Sat")
+GETPIVOTDATA("Sum of COMP",'Pivot Table'!$A$16,"DAY","Sat")
+GETPIVOTDATA("Sum of COMP",'Pivot Table'!$A$28,"DAY","Sat")
+GETPIVOTDATA("Sum of COMP",'Pivot Table'!$A$40,"DAY","Sat")
+GETPIVOTDATA("Sum of COMP",'Pivot Table'!$A$52,"DAY","Sat")
+GETPIVOTDATA("Sum of COMP",'Pivot Table'!$A$64,"DAY","Sat")
+GETPIVOTDATA("Sum of COMP",'Pivot Table'!$A$76,"DAY","Sat")
+GETPIVOTDATA("Sum of COMP",'Pivot Table'!$A$88,"DAY","Sat")
+GETPIVOTDATA("Sum of COMP",'Pivot Table'!$A$100,"DAY","Sat")
+GETPIVOTDATA("Sum of COMP",'Pivot Table'!$A$112,"DAY","Sat")
+GETPIVOTDATA("Sum of COMP",'Pivot Table'!$A$124,"DAY","Sat")
+GETPIVOTDATA("Sum of COMP",'Pivot Table'!$A$136,"DAY","Sat")</f>
        <v>1299</v>
      </c>
      <c r="T23" s="33" t="s">
        <v>74</v>
      </c>
      <c r="U23" s="33">
        <f>GETPIVOTDATA("Sum of COMP",'Pivot Table'!$A$4,"DAY","Sun")
+GETPIVOTDATA("Sum of COMP",'Pivot Table'!$A$16,"DAY","Sun")
+GETPIVOTDATA("Sum of COMP",'Pivot Table'!$A$28,"DAY","Sun")
+GETPIVOTDATA("Sum of COMP",'Pivot Table'!$A$40,"DAY","Sun")
+GETPIVOTDATA("Sum of COMP",'Pivot Table'!$A$52,"DAY","Sun")
+GETPIVOTDATA("Sum of COMP",'Pivot Table'!$A$64,"DAY","Sun")
+GETPIVOTDATA("Sum of COMP",'Pivot Table'!$A$76,"DAY","Sun")
+GETPIVOTDATA("Sum of COMP",'Pivot Table'!$A$88,"DAY","Sun")
+GETPIVOTDATA("Sum of COMP",'Pivot Table'!$A$100,"DAY","Sun")
+GETPIVOTDATA("Sum of COMP",'Pivot Table'!$A$112,"DAY","Sun")
+GETPIVOTDATA("Sum of COMP",'Pivot Table'!$A$124,"DAY","Sun")
+GETPIVOTDATA("Sum of COMP",'Pivot Table'!$A$136,"DAY","Sun")</f>
        <v>1020</v>
      </c>
    </row>
    <row r="26" spans="2:21" s="31" customFormat="1" ht="22.5" x14ac:dyDescent="0.25">
      <c r="B26" s="31" t="s">
        <v>84</v>
      </c>
    </row>
    <row r="28" spans="2:21" s="31" customFormat="1" ht="22.5" x14ac:dyDescent="0.25">
      <c r="B28" s="31" t="s">
        <v>23</v>
      </c>
      <c r="E28" s="31" t="s">
        <v>27</v>
      </c>
      <c r="H28" s="31" t="s">
        <v>28</v>
      </c>
      <c r="K28" s="31" t="s">
        <v>29</v>
      </c>
      <c r="N28" s="31" t="s">
        <v>30</v>
      </c>
      <c r="Q28" s="31" t="s">
        <v>31</v>
      </c>
      <c r="T28" s="31" t="s">
        <v>32</v>
      </c>
    </row>
    <row r="30" spans="2:21" x14ac:dyDescent="0.25">
      <c r="B30" s="33" t="s">
        <v>1</v>
      </c>
      <c r="C30" s="45">
        <f>C6 / 52</f>
        <v>8.5576923076923084</v>
      </c>
      <c r="E30" s="33" t="s">
        <v>1</v>
      </c>
      <c r="F30" s="45">
        <f>F6 /52</f>
        <v>13.903846153846153</v>
      </c>
      <c r="H30" s="33" t="s">
        <v>1</v>
      </c>
      <c r="I30" s="45">
        <f>I6 /52</f>
        <v>13.192307692307692</v>
      </c>
      <c r="K30" s="33" t="s">
        <v>1</v>
      </c>
      <c r="L30" s="45">
        <f>L6 /52</f>
        <v>14.115384615384615</v>
      </c>
      <c r="N30" s="33" t="s">
        <v>1</v>
      </c>
      <c r="O30" s="45">
        <f>O6 /52</f>
        <v>14.442307692307692</v>
      </c>
      <c r="Q30" s="33" t="s">
        <v>1</v>
      </c>
      <c r="R30" s="45">
        <f>R6 /52</f>
        <v>15.134615384615385</v>
      </c>
      <c r="T30" s="33" t="s">
        <v>1</v>
      </c>
      <c r="U30" s="45">
        <f>U6 /52</f>
        <v>13.923076923076923</v>
      </c>
    </row>
    <row r="31" spans="2:21" x14ac:dyDescent="0.25">
      <c r="B31" s="33" t="s">
        <v>2</v>
      </c>
      <c r="C31" s="45">
        <f>C7 /52</f>
        <v>11.576923076923077</v>
      </c>
      <c r="E31" s="33" t="s">
        <v>2</v>
      </c>
      <c r="F31" s="45">
        <f>F7 /52</f>
        <v>2.1730769230769229</v>
      </c>
      <c r="H31" s="33" t="s">
        <v>2</v>
      </c>
      <c r="I31" s="45">
        <f>I7 /52</f>
        <v>8.115384615384615</v>
      </c>
      <c r="K31" s="33" t="s">
        <v>2</v>
      </c>
      <c r="L31" s="45">
        <f>L7 /52</f>
        <v>12.788461538461538</v>
      </c>
      <c r="N31" s="33" t="s">
        <v>2</v>
      </c>
      <c r="O31" s="45">
        <f>O7 /52</f>
        <v>10.75</v>
      </c>
      <c r="Q31" s="33" t="s">
        <v>2</v>
      </c>
      <c r="R31" s="45">
        <f>R7 /52</f>
        <v>11.23076923076923</v>
      </c>
      <c r="T31" s="33" t="s">
        <v>2</v>
      </c>
      <c r="U31" s="45">
        <f>U7 /52</f>
        <v>12.211538461538462</v>
      </c>
    </row>
    <row r="32" spans="2:21" x14ac:dyDescent="0.25">
      <c r="B32" s="33" t="s">
        <v>99</v>
      </c>
      <c r="C32" s="45"/>
      <c r="E32" s="33" t="s">
        <v>99</v>
      </c>
      <c r="F32" s="45"/>
      <c r="H32" s="33" t="s">
        <v>99</v>
      </c>
      <c r="I32" s="45"/>
      <c r="K32" s="33" t="s">
        <v>99</v>
      </c>
      <c r="L32" s="45"/>
      <c r="N32" s="33" t="s">
        <v>99</v>
      </c>
      <c r="O32" s="45"/>
      <c r="Q32" s="33" t="s">
        <v>99</v>
      </c>
      <c r="R32" s="45"/>
      <c r="T32" s="33" t="s">
        <v>99</v>
      </c>
      <c r="U32" s="45"/>
    </row>
    <row r="33" spans="2:21" x14ac:dyDescent="0.25">
      <c r="B33" s="33" t="s">
        <v>3</v>
      </c>
      <c r="C33" s="45">
        <f>C9 /52</f>
        <v>23.057692307692307</v>
      </c>
      <c r="E33" s="33" t="s">
        <v>3</v>
      </c>
      <c r="F33" s="45">
        <f>F9 /52</f>
        <v>19.76923076923077</v>
      </c>
      <c r="H33" s="33" t="s">
        <v>3</v>
      </c>
      <c r="I33" s="45">
        <f>I9 /52</f>
        <v>24.615384615384617</v>
      </c>
      <c r="K33" s="33" t="s">
        <v>3</v>
      </c>
      <c r="L33" s="45">
        <f>L9 /52</f>
        <v>31.71153846153846</v>
      </c>
      <c r="N33" s="33" t="s">
        <v>3</v>
      </c>
      <c r="O33" s="45">
        <f>O9 /52</f>
        <v>32.82692307692308</v>
      </c>
      <c r="Q33" s="33" t="s">
        <v>3</v>
      </c>
      <c r="R33" s="45">
        <f>R9 /52</f>
        <v>26.942307692307693</v>
      </c>
      <c r="T33" s="33" t="s">
        <v>3</v>
      </c>
      <c r="U33" s="45">
        <f>U9 /52</f>
        <v>31.884615384615383</v>
      </c>
    </row>
    <row r="34" spans="2:21" x14ac:dyDescent="0.25">
      <c r="B34" s="33" t="s">
        <v>76</v>
      </c>
      <c r="C34" s="45">
        <f>C10 /52</f>
        <v>6.6538461538461542</v>
      </c>
      <c r="E34" s="33" t="s">
        <v>76</v>
      </c>
      <c r="F34" s="45">
        <f>F10 /52</f>
        <v>1.5192307692307692</v>
      </c>
      <c r="H34" s="33" t="s">
        <v>76</v>
      </c>
      <c r="I34" s="45">
        <f>I10 /52</f>
        <v>12.596153846153847</v>
      </c>
      <c r="K34" s="33" t="s">
        <v>76</v>
      </c>
      <c r="L34" s="45">
        <f>L10 /52</f>
        <v>2.7692307692307692</v>
      </c>
      <c r="N34" s="33" t="s">
        <v>76</v>
      </c>
      <c r="O34" s="45">
        <f>O10 /52</f>
        <v>9.8076923076923084</v>
      </c>
      <c r="Q34" s="33" t="s">
        <v>76</v>
      </c>
      <c r="R34" s="45">
        <f>R10 /52</f>
        <v>0.13461538461538461</v>
      </c>
      <c r="T34" s="33" t="s">
        <v>76</v>
      </c>
      <c r="U34" s="45">
        <f>U10 /52</f>
        <v>6.1923076923076925</v>
      </c>
    </row>
    <row r="35" spans="2:21" s="42" customFormat="1" ht="31.5" customHeight="1" x14ac:dyDescent="0.25">
      <c r="B35" s="41" t="s">
        <v>68</v>
      </c>
      <c r="C35" s="44">
        <f>SUM(C34/C33)</f>
        <v>0.28857381150959133</v>
      </c>
      <c r="E35" s="41" t="s">
        <v>68</v>
      </c>
      <c r="F35" s="44">
        <f>SUM(F34/F33)</f>
        <v>7.6848249027237345E-2</v>
      </c>
      <c r="H35" s="41" t="s">
        <v>68</v>
      </c>
      <c r="I35" s="44">
        <f>SUM(I34/I33)</f>
        <v>0.51171875</v>
      </c>
      <c r="K35" s="41" t="s">
        <v>68</v>
      </c>
      <c r="L35" s="44">
        <f>SUM(L34/L33)</f>
        <v>8.7325651910248644E-2</v>
      </c>
      <c r="N35" s="41" t="s">
        <v>68</v>
      </c>
      <c r="O35" s="44">
        <f>SUM(O34/O33)</f>
        <v>0.29876977152899825</v>
      </c>
      <c r="Q35" s="41" t="s">
        <v>68</v>
      </c>
      <c r="R35" s="44">
        <f>SUM(R34/R33)</f>
        <v>4.996431120628122E-3</v>
      </c>
      <c r="T35" s="41" t="s">
        <v>68</v>
      </c>
      <c r="U35" s="44">
        <f>SUM(U34/U33)</f>
        <v>0.19420989143546444</v>
      </c>
    </row>
    <row r="36" spans="2:21" x14ac:dyDescent="0.25">
      <c r="B36" s="32" t="s">
        <v>4</v>
      </c>
      <c r="C36" s="45">
        <f>C12 /52</f>
        <v>16.28846153846154</v>
      </c>
      <c r="E36" s="32" t="s">
        <v>4</v>
      </c>
      <c r="F36" s="45">
        <f>F12 /52</f>
        <v>18.23076923076923</v>
      </c>
      <c r="H36" s="32" t="s">
        <v>4</v>
      </c>
      <c r="I36" s="45">
        <f>I12 /52</f>
        <v>11.884615384615385</v>
      </c>
      <c r="K36" s="32" t="s">
        <v>4</v>
      </c>
      <c r="L36" s="45">
        <f>L12 /52</f>
        <v>28.923076923076923</v>
      </c>
      <c r="N36" s="32" t="s">
        <v>4</v>
      </c>
      <c r="O36" s="45">
        <f>O12 /52</f>
        <v>22.807692307692307</v>
      </c>
      <c r="Q36" s="32" t="s">
        <v>4</v>
      </c>
      <c r="R36" s="45">
        <f>R12 /52</f>
        <v>26.807692307692307</v>
      </c>
      <c r="T36" s="32" t="s">
        <v>4</v>
      </c>
      <c r="U36" s="45">
        <f>U12 /52</f>
        <v>25.51923076923077</v>
      </c>
    </row>
    <row r="37" spans="2:21" x14ac:dyDescent="0.25">
      <c r="B37" s="33" t="s">
        <v>77</v>
      </c>
      <c r="C37" s="45">
        <f t="shared" ref="C37:C47" si="0">C13 /52</f>
        <v>0.51923076923076927</v>
      </c>
      <c r="E37" s="33" t="s">
        <v>77</v>
      </c>
      <c r="F37" s="45">
        <f t="shared" ref="F37:F47" si="1">F13 /52</f>
        <v>0.38461538461538464</v>
      </c>
      <c r="H37" s="33" t="s">
        <v>77</v>
      </c>
      <c r="I37" s="45">
        <f t="shared" ref="I37:I47" si="2">I13 /52</f>
        <v>0.15384615384615385</v>
      </c>
      <c r="K37" s="33" t="s">
        <v>77</v>
      </c>
      <c r="L37" s="45">
        <f t="shared" ref="L37:L47" si="3">L13 /52</f>
        <v>0.21153846153846154</v>
      </c>
      <c r="N37" s="33" t="s">
        <v>77</v>
      </c>
      <c r="O37" s="45">
        <f t="shared" ref="O37:O47" si="4">O13 /52</f>
        <v>0.30769230769230771</v>
      </c>
      <c r="Q37" s="33" t="s">
        <v>77</v>
      </c>
      <c r="R37" s="45">
        <f t="shared" ref="R37:R47" si="5">R13 /52</f>
        <v>1.9230769230769232E-2</v>
      </c>
      <c r="T37" s="33" t="s">
        <v>77</v>
      </c>
      <c r="U37" s="45">
        <f t="shared" ref="U37:U47" si="6">U13 /52</f>
        <v>0.32692307692307693</v>
      </c>
    </row>
    <row r="38" spans="2:21" x14ac:dyDescent="0.25">
      <c r="B38" s="33" t="s">
        <v>69</v>
      </c>
      <c r="C38" s="45">
        <f t="shared" si="0"/>
        <v>0.19230769230769232</v>
      </c>
      <c r="E38" s="33" t="s">
        <v>69</v>
      </c>
      <c r="F38" s="45">
        <f t="shared" si="1"/>
        <v>0</v>
      </c>
      <c r="H38" s="33" t="s">
        <v>69</v>
      </c>
      <c r="I38" s="45">
        <f t="shared" si="2"/>
        <v>0.34615384615384615</v>
      </c>
      <c r="K38" s="33" t="s">
        <v>69</v>
      </c>
      <c r="L38" s="45">
        <f t="shared" si="3"/>
        <v>0</v>
      </c>
      <c r="N38" s="33" t="s">
        <v>69</v>
      </c>
      <c r="O38" s="45">
        <f t="shared" si="4"/>
        <v>0.11538461538461539</v>
      </c>
      <c r="Q38" s="33" t="s">
        <v>69</v>
      </c>
      <c r="R38" s="45">
        <f t="shared" si="5"/>
        <v>0</v>
      </c>
      <c r="T38" s="33" t="s">
        <v>69</v>
      </c>
      <c r="U38" s="45">
        <f t="shared" si="6"/>
        <v>0</v>
      </c>
    </row>
    <row r="39" spans="2:21" x14ac:dyDescent="0.25">
      <c r="B39" s="33" t="s">
        <v>70</v>
      </c>
      <c r="C39" s="45">
        <f t="shared" si="0"/>
        <v>1.0384615384615385</v>
      </c>
      <c r="E39" s="33" t="s">
        <v>70</v>
      </c>
      <c r="F39" s="45">
        <f t="shared" si="1"/>
        <v>0.15384615384615385</v>
      </c>
      <c r="H39" s="33" t="s">
        <v>70</v>
      </c>
      <c r="I39" s="45">
        <f t="shared" si="2"/>
        <v>1.5769230769230769</v>
      </c>
      <c r="K39" s="33" t="s">
        <v>70</v>
      </c>
      <c r="L39" s="45">
        <f t="shared" si="3"/>
        <v>5.7692307692307696E-2</v>
      </c>
      <c r="N39" s="33" t="s">
        <v>70</v>
      </c>
      <c r="O39" s="45">
        <f t="shared" si="4"/>
        <v>0.38461538461538464</v>
      </c>
      <c r="Q39" s="33" t="s">
        <v>70</v>
      </c>
      <c r="R39" s="45">
        <f t="shared" si="5"/>
        <v>0</v>
      </c>
      <c r="T39" s="33" t="s">
        <v>70</v>
      </c>
      <c r="U39" s="45">
        <f t="shared" si="6"/>
        <v>1.9230769230769232E-2</v>
      </c>
    </row>
    <row r="40" spans="2:21" x14ac:dyDescent="0.25">
      <c r="B40" s="33" t="s">
        <v>71</v>
      </c>
      <c r="C40" s="45">
        <f t="shared" si="0"/>
        <v>0.13461538461538461</v>
      </c>
      <c r="E40" s="33" t="s">
        <v>71</v>
      </c>
      <c r="F40" s="45">
        <f t="shared" si="1"/>
        <v>5.7692307692307696E-2</v>
      </c>
      <c r="H40" s="33" t="s">
        <v>71</v>
      </c>
      <c r="I40" s="45">
        <f t="shared" si="2"/>
        <v>9.6153846153846159E-2</v>
      </c>
      <c r="K40" s="33" t="s">
        <v>71</v>
      </c>
      <c r="L40" s="45">
        <f t="shared" si="3"/>
        <v>0</v>
      </c>
      <c r="N40" s="33" t="s">
        <v>71</v>
      </c>
      <c r="O40" s="45">
        <f t="shared" si="4"/>
        <v>5.7692307692307696E-2</v>
      </c>
      <c r="Q40" s="33" t="s">
        <v>71</v>
      </c>
      <c r="R40" s="45">
        <f t="shared" si="5"/>
        <v>0</v>
      </c>
      <c r="T40" s="33" t="s">
        <v>71</v>
      </c>
      <c r="U40" s="45">
        <f t="shared" si="6"/>
        <v>1.9230769230769232E-2</v>
      </c>
    </row>
    <row r="41" spans="2:21" x14ac:dyDescent="0.25">
      <c r="B41" s="33" t="s">
        <v>5</v>
      </c>
      <c r="C41" s="45">
        <f t="shared" si="0"/>
        <v>3.0769230769230771</v>
      </c>
      <c r="E41" s="33" t="s">
        <v>5</v>
      </c>
      <c r="F41" s="45">
        <f t="shared" si="1"/>
        <v>0.63461538461538458</v>
      </c>
      <c r="H41" s="33" t="s">
        <v>5</v>
      </c>
      <c r="I41" s="45">
        <f t="shared" si="2"/>
        <v>2.8653846153846154</v>
      </c>
      <c r="K41" s="33" t="s">
        <v>5</v>
      </c>
      <c r="L41" s="45">
        <f t="shared" si="3"/>
        <v>1.7884615384615385</v>
      </c>
      <c r="N41" s="33" t="s">
        <v>5</v>
      </c>
      <c r="O41" s="45">
        <f t="shared" si="4"/>
        <v>6.7115384615384617</v>
      </c>
      <c r="Q41" s="33" t="s">
        <v>5</v>
      </c>
      <c r="R41" s="45">
        <f t="shared" si="5"/>
        <v>0</v>
      </c>
      <c r="T41" s="33" t="s">
        <v>5</v>
      </c>
      <c r="U41" s="45">
        <f t="shared" si="6"/>
        <v>4.365384615384615</v>
      </c>
    </row>
    <row r="42" spans="2:21" ht="37.5" x14ac:dyDescent="0.25">
      <c r="B42" s="32" t="s">
        <v>72</v>
      </c>
      <c r="C42" s="45">
        <f t="shared" si="0"/>
        <v>7.6923076923076927E-2</v>
      </c>
      <c r="E42" s="32" t="s">
        <v>72</v>
      </c>
      <c r="F42" s="45">
        <f t="shared" si="1"/>
        <v>1.9230769230769232E-2</v>
      </c>
      <c r="H42" s="32" t="s">
        <v>72</v>
      </c>
      <c r="I42" s="45">
        <f t="shared" si="2"/>
        <v>9.6153846153846159E-2</v>
      </c>
      <c r="K42" s="32" t="s">
        <v>72</v>
      </c>
      <c r="L42" s="45">
        <f t="shared" si="3"/>
        <v>0</v>
      </c>
      <c r="N42" s="32" t="s">
        <v>72</v>
      </c>
      <c r="O42" s="45">
        <f t="shared" si="4"/>
        <v>5.7692307692307696E-2</v>
      </c>
      <c r="Q42" s="32" t="s">
        <v>72</v>
      </c>
      <c r="R42" s="45">
        <f t="shared" si="5"/>
        <v>0</v>
      </c>
      <c r="T42" s="32" t="s">
        <v>72</v>
      </c>
      <c r="U42" s="45">
        <f t="shared" si="6"/>
        <v>7.6923076923076927E-2</v>
      </c>
    </row>
    <row r="43" spans="2:21" x14ac:dyDescent="0.25">
      <c r="B43" s="33" t="s">
        <v>6</v>
      </c>
      <c r="C43" s="45">
        <f t="shared" si="0"/>
        <v>0</v>
      </c>
      <c r="E43" s="33" t="s">
        <v>6</v>
      </c>
      <c r="F43" s="45">
        <f t="shared" si="1"/>
        <v>0</v>
      </c>
      <c r="H43" s="33" t="s">
        <v>6</v>
      </c>
      <c r="I43" s="45">
        <f t="shared" si="2"/>
        <v>6.115384615384615</v>
      </c>
      <c r="K43" s="33" t="s">
        <v>6</v>
      </c>
      <c r="L43" s="45">
        <f t="shared" si="3"/>
        <v>0</v>
      </c>
      <c r="N43" s="33" t="s">
        <v>6</v>
      </c>
      <c r="O43" s="45">
        <f t="shared" si="4"/>
        <v>0</v>
      </c>
      <c r="Q43" s="33" t="s">
        <v>6</v>
      </c>
      <c r="R43" s="45">
        <f t="shared" si="5"/>
        <v>0</v>
      </c>
      <c r="T43" s="33" t="s">
        <v>6</v>
      </c>
      <c r="U43" s="45">
        <f t="shared" si="6"/>
        <v>0</v>
      </c>
    </row>
    <row r="44" spans="2:21" x14ac:dyDescent="0.25">
      <c r="B44" s="33" t="s">
        <v>78</v>
      </c>
      <c r="C44" s="45">
        <f t="shared" si="0"/>
        <v>0.11538461538461539</v>
      </c>
      <c r="E44" s="33" t="s">
        <v>78</v>
      </c>
      <c r="F44" s="45">
        <f t="shared" si="1"/>
        <v>1.9230769230769232E-2</v>
      </c>
      <c r="H44" s="33" t="s">
        <v>78</v>
      </c>
      <c r="I44" s="45">
        <f t="shared" si="2"/>
        <v>0.13461538461538461</v>
      </c>
      <c r="K44" s="33" t="s">
        <v>78</v>
      </c>
      <c r="L44" s="45">
        <f t="shared" si="3"/>
        <v>1.9230769230769232E-2</v>
      </c>
      <c r="N44" s="33" t="s">
        <v>78</v>
      </c>
      <c r="O44" s="45">
        <f t="shared" si="4"/>
        <v>0.21153846153846154</v>
      </c>
      <c r="Q44" s="33" t="s">
        <v>78</v>
      </c>
      <c r="R44" s="45">
        <f t="shared" si="5"/>
        <v>0</v>
      </c>
      <c r="T44" s="33" t="s">
        <v>78</v>
      </c>
      <c r="U44" s="45">
        <f t="shared" si="6"/>
        <v>0.17307692307692307</v>
      </c>
    </row>
    <row r="45" spans="2:21" x14ac:dyDescent="0.25">
      <c r="B45" s="33" t="s">
        <v>73</v>
      </c>
      <c r="C45" s="45">
        <f t="shared" si="0"/>
        <v>1.0192307692307692</v>
      </c>
      <c r="E45" s="33" t="s">
        <v>73</v>
      </c>
      <c r="F45" s="45">
        <f t="shared" si="1"/>
        <v>0.13461538461538461</v>
      </c>
      <c r="H45" s="33" t="s">
        <v>73</v>
      </c>
      <c r="I45" s="45">
        <f t="shared" si="2"/>
        <v>0.63461538461538458</v>
      </c>
      <c r="K45" s="33" t="s">
        <v>73</v>
      </c>
      <c r="L45" s="45">
        <f t="shared" si="3"/>
        <v>0.48076923076923078</v>
      </c>
      <c r="N45" s="33" t="s">
        <v>73</v>
      </c>
      <c r="O45" s="45">
        <f t="shared" si="4"/>
        <v>1.2884615384615385</v>
      </c>
      <c r="Q45" s="33" t="s">
        <v>73</v>
      </c>
      <c r="R45" s="45">
        <f t="shared" si="5"/>
        <v>0</v>
      </c>
      <c r="T45" s="33" t="s">
        <v>73</v>
      </c>
      <c r="U45" s="45">
        <f t="shared" si="6"/>
        <v>0.63461538461538458</v>
      </c>
    </row>
    <row r="46" spans="2:21" x14ac:dyDescent="0.25">
      <c r="B46" s="33" t="s">
        <v>7</v>
      </c>
      <c r="C46" s="45">
        <f t="shared" si="0"/>
        <v>0.59615384615384615</v>
      </c>
      <c r="E46" s="33" t="s">
        <v>7</v>
      </c>
      <c r="F46" s="45">
        <f t="shared" si="1"/>
        <v>0.13461538461538461</v>
      </c>
      <c r="H46" s="33" t="s">
        <v>7</v>
      </c>
      <c r="I46" s="45">
        <f t="shared" si="2"/>
        <v>0.71153846153846156</v>
      </c>
      <c r="K46" s="33" t="s">
        <v>7</v>
      </c>
      <c r="L46" s="45">
        <f t="shared" si="3"/>
        <v>0.23076923076923078</v>
      </c>
      <c r="N46" s="33" t="s">
        <v>7</v>
      </c>
      <c r="O46" s="45">
        <f t="shared" si="4"/>
        <v>0.88461538461538458</v>
      </c>
      <c r="Q46" s="33" t="s">
        <v>7</v>
      </c>
      <c r="R46" s="45">
        <f t="shared" si="5"/>
        <v>0.11538461538461539</v>
      </c>
      <c r="T46" s="33" t="s">
        <v>7</v>
      </c>
      <c r="U46" s="45">
        <f t="shared" si="6"/>
        <v>0.75</v>
      </c>
    </row>
    <row r="47" spans="2:21" x14ac:dyDescent="0.25">
      <c r="B47" s="33" t="s">
        <v>74</v>
      </c>
      <c r="C47" s="45">
        <f t="shared" si="0"/>
        <v>12.288461538461538</v>
      </c>
      <c r="E47" s="33" t="s">
        <v>74</v>
      </c>
      <c r="F47" s="45">
        <f t="shared" si="1"/>
        <v>6.0192307692307692</v>
      </c>
      <c r="H47" s="33" t="s">
        <v>74</v>
      </c>
      <c r="I47" s="45">
        <f t="shared" si="2"/>
        <v>3.2115384615384617</v>
      </c>
      <c r="K47" s="33" t="s">
        <v>74</v>
      </c>
      <c r="L47" s="45">
        <f t="shared" si="3"/>
        <v>26.03846153846154</v>
      </c>
      <c r="N47" s="33" t="s">
        <v>74</v>
      </c>
      <c r="O47" s="45">
        <f t="shared" si="4"/>
        <v>15.211538461538462</v>
      </c>
      <c r="Q47" s="33" t="s">
        <v>74</v>
      </c>
      <c r="R47" s="45">
        <f t="shared" si="5"/>
        <v>24.98076923076923</v>
      </c>
      <c r="T47" s="33" t="s">
        <v>74</v>
      </c>
      <c r="U47" s="45">
        <f t="shared" si="6"/>
        <v>19.615384615384617</v>
      </c>
    </row>
    <row r="50" spans="2:21" x14ac:dyDescent="0.25">
      <c r="C50" s="79"/>
      <c r="D50" s="80"/>
    </row>
    <row r="51" spans="2:21" ht="22.5" x14ac:dyDescent="0.25">
      <c r="C51" s="79"/>
      <c r="D51" s="80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spans="2:21" x14ac:dyDescent="0.25">
      <c r="C52" s="79"/>
      <c r="D52" s="80"/>
    </row>
    <row r="53" spans="2:21" ht="22.5" x14ac:dyDescent="0.25">
      <c r="C53" s="79"/>
      <c r="D53" s="80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</row>
    <row r="54" spans="2:21" x14ac:dyDescent="0.25">
      <c r="C54" s="79"/>
      <c r="D54" s="80"/>
    </row>
    <row r="55" spans="2:21" x14ac:dyDescent="0.25">
      <c r="C55" s="79"/>
      <c r="D55" s="80"/>
      <c r="F55" s="46"/>
      <c r="I55" s="46"/>
      <c r="L55" s="46"/>
      <c r="O55" s="46"/>
      <c r="R55" s="46"/>
      <c r="U55" s="46"/>
    </row>
    <row r="56" spans="2:21" x14ac:dyDescent="0.25">
      <c r="C56" s="79"/>
      <c r="D56" s="80"/>
      <c r="F56" s="46"/>
      <c r="I56" s="46"/>
      <c r="L56" s="46"/>
      <c r="O56" s="46"/>
      <c r="R56" s="46"/>
      <c r="U56" s="46"/>
    </row>
    <row r="57" spans="2:21" x14ac:dyDescent="0.25">
      <c r="C57" s="79"/>
      <c r="D57" s="52"/>
      <c r="F57" s="46"/>
      <c r="I57" s="46"/>
      <c r="L57" s="46"/>
      <c r="O57" s="46"/>
      <c r="R57" s="46"/>
      <c r="U57" s="46"/>
    </row>
    <row r="58" spans="2:21" x14ac:dyDescent="0.25">
      <c r="C58" s="46"/>
      <c r="F58" s="46"/>
      <c r="I58" s="46"/>
      <c r="L58" s="46"/>
      <c r="O58" s="46"/>
      <c r="R58" s="46"/>
      <c r="U58" s="46"/>
    </row>
    <row r="59" spans="2:21" x14ac:dyDescent="0.25">
      <c r="B59" s="47"/>
      <c r="C59" s="46"/>
      <c r="E59" s="47"/>
      <c r="F59" s="46"/>
      <c r="H59" s="47"/>
      <c r="I59" s="46"/>
      <c r="K59" s="47"/>
      <c r="L59" s="46"/>
      <c r="N59" s="47"/>
      <c r="O59" s="46"/>
      <c r="Q59" s="47"/>
      <c r="R59" s="46"/>
      <c r="T59" s="47"/>
      <c r="U59" s="46"/>
    </row>
    <row r="60" spans="2:21" x14ac:dyDescent="0.25">
      <c r="B60" s="48"/>
      <c r="C60" s="46"/>
      <c r="E60" s="48"/>
      <c r="F60" s="46"/>
      <c r="H60" s="48"/>
      <c r="I60" s="46"/>
      <c r="K60" s="48"/>
      <c r="L60" s="46"/>
      <c r="N60" s="48"/>
      <c r="O60" s="46"/>
      <c r="Q60" s="48"/>
      <c r="R60" s="46"/>
      <c r="T60" s="48"/>
      <c r="U60" s="46"/>
    </row>
    <row r="61" spans="2:21" x14ac:dyDescent="0.25">
      <c r="C61" s="46"/>
      <c r="F61" s="46"/>
      <c r="I61" s="46"/>
      <c r="L61" s="46"/>
      <c r="O61" s="46"/>
      <c r="R61" s="46"/>
      <c r="U61" s="46"/>
    </row>
    <row r="62" spans="2:21" x14ac:dyDescent="0.25">
      <c r="C62" s="46"/>
      <c r="F62" s="46"/>
      <c r="I62" s="46"/>
      <c r="L62" s="46"/>
      <c r="O62" s="46"/>
      <c r="R62" s="46"/>
      <c r="U62" s="46"/>
    </row>
    <row r="63" spans="2:21" x14ac:dyDescent="0.25">
      <c r="C63" s="46"/>
      <c r="F63" s="46"/>
      <c r="I63" s="46"/>
      <c r="L63" s="46"/>
      <c r="O63" s="46"/>
      <c r="R63" s="46"/>
      <c r="U63" s="46"/>
    </row>
    <row r="64" spans="2:21" x14ac:dyDescent="0.25">
      <c r="C64" s="46"/>
      <c r="F64" s="46"/>
      <c r="I64" s="46"/>
      <c r="L64" s="46"/>
      <c r="O64" s="46"/>
      <c r="R64" s="46"/>
      <c r="U64" s="46"/>
    </row>
    <row r="65" spans="2:21" x14ac:dyDescent="0.25">
      <c r="C65" s="46"/>
      <c r="F65" s="46"/>
      <c r="I65" s="46"/>
      <c r="L65" s="46"/>
      <c r="O65" s="46"/>
      <c r="R65" s="46"/>
      <c r="U65" s="46"/>
    </row>
    <row r="66" spans="2:21" x14ac:dyDescent="0.25">
      <c r="B66" s="48"/>
      <c r="C66" s="46"/>
      <c r="E66" s="48"/>
      <c r="F66" s="46"/>
      <c r="H66" s="48"/>
      <c r="I66" s="46"/>
      <c r="K66" s="48"/>
      <c r="L66" s="46"/>
      <c r="N66" s="48"/>
      <c r="O66" s="46"/>
      <c r="Q66" s="48"/>
      <c r="R66" s="46"/>
      <c r="T66" s="48"/>
      <c r="U66" s="46"/>
    </row>
    <row r="67" spans="2:21" x14ac:dyDescent="0.25">
      <c r="C67" s="46"/>
      <c r="F67" s="46"/>
      <c r="I67" s="46"/>
      <c r="L67" s="46"/>
      <c r="O67" s="46"/>
      <c r="R67" s="46"/>
      <c r="U67" s="46"/>
    </row>
    <row r="68" spans="2:21" x14ac:dyDescent="0.25">
      <c r="C68" s="46"/>
      <c r="F68" s="46"/>
      <c r="I68" s="46"/>
      <c r="L68" s="46"/>
      <c r="O68" s="46"/>
      <c r="R68" s="46"/>
      <c r="U68" s="46"/>
    </row>
    <row r="69" spans="2:21" x14ac:dyDescent="0.25">
      <c r="C69" s="46"/>
      <c r="F69" s="46"/>
      <c r="I69" s="46"/>
      <c r="L69" s="46"/>
      <c r="O69" s="46"/>
      <c r="R69" s="46"/>
      <c r="U69" s="46"/>
    </row>
    <row r="70" spans="2:21" x14ac:dyDescent="0.25">
      <c r="C70" s="46"/>
      <c r="F70" s="46"/>
      <c r="I70" s="46"/>
      <c r="L70" s="46"/>
      <c r="O70" s="46"/>
      <c r="R70" s="46"/>
      <c r="U70" s="46"/>
    </row>
    <row r="71" spans="2:21" x14ac:dyDescent="0.25">
      <c r="C71" s="46"/>
      <c r="F71" s="46"/>
      <c r="I71" s="46"/>
      <c r="L71" s="46"/>
      <c r="O71" s="46"/>
      <c r="R71" s="46"/>
      <c r="U71" s="46"/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A725-303B-4D61-A2BB-0E5513FABA81}">
  <dimension ref="B2:W51"/>
  <sheetViews>
    <sheetView showGridLines="0" workbookViewId="0">
      <selection activeCell="F10" sqref="F10"/>
    </sheetView>
  </sheetViews>
  <sheetFormatPr defaultRowHeight="18.75" x14ac:dyDescent="0.25"/>
  <cols>
    <col min="1" max="1" width="9.140625" style="5"/>
    <col min="2" max="2" width="12.7109375" style="5" bestFit="1" customWidth="1"/>
    <col min="3" max="3" width="10.42578125" style="5" bestFit="1" customWidth="1"/>
    <col min="4" max="4" width="11.42578125" style="5" bestFit="1" customWidth="1"/>
    <col min="5" max="5" width="12.140625" style="5" bestFit="1" customWidth="1"/>
    <col min="6" max="6" width="5.140625" style="5" bestFit="1" customWidth="1"/>
    <col min="7" max="7" width="4.5703125" style="5" bestFit="1" customWidth="1"/>
    <col min="8" max="8" width="12.7109375" style="5" bestFit="1" customWidth="1"/>
    <col min="9" max="9" width="10.42578125" style="5" bestFit="1" customWidth="1"/>
    <col min="10" max="10" width="11.42578125" style="5" bestFit="1" customWidth="1"/>
    <col min="11" max="11" width="12.140625" style="5" bestFit="1" customWidth="1"/>
    <col min="12" max="12" width="8" style="5" bestFit="1" customWidth="1"/>
    <col min="13" max="13" width="10" style="5" bestFit="1" customWidth="1"/>
    <col min="14" max="14" width="12.7109375" style="5" bestFit="1" customWidth="1"/>
    <col min="15" max="15" width="10.42578125" style="5" bestFit="1" customWidth="1"/>
    <col min="16" max="16" width="11.42578125" style="5" bestFit="1" customWidth="1"/>
    <col min="17" max="17" width="12.140625" style="5" bestFit="1" customWidth="1"/>
    <col min="18" max="19" width="9.140625" style="5"/>
    <col min="20" max="20" width="12.7109375" style="5" bestFit="1" customWidth="1"/>
    <col min="21" max="21" width="10.42578125" style="5" bestFit="1" customWidth="1"/>
    <col min="22" max="22" width="11.42578125" style="5" bestFit="1" customWidth="1"/>
    <col min="23" max="23" width="12.140625" style="5" bestFit="1" customWidth="1"/>
    <col min="24" max="16384" width="9.140625" style="5"/>
  </cols>
  <sheetData>
    <row r="2" spans="2:23" x14ac:dyDescent="0.25">
      <c r="B2" s="106" t="s">
        <v>8</v>
      </c>
      <c r="C2" s="107"/>
      <c r="D2" s="107"/>
      <c r="E2" s="108"/>
      <c r="H2" s="106" t="s">
        <v>75</v>
      </c>
      <c r="I2" s="107"/>
      <c r="J2" s="107"/>
      <c r="K2" s="108"/>
      <c r="N2" s="106" t="s">
        <v>9</v>
      </c>
      <c r="O2" s="107"/>
      <c r="P2" s="107"/>
      <c r="Q2" s="108"/>
      <c r="T2" s="106" t="s">
        <v>10</v>
      </c>
      <c r="U2" s="107"/>
      <c r="V2" s="107"/>
      <c r="W2" s="108"/>
    </row>
    <row r="3" spans="2:23" x14ac:dyDescent="0.25">
      <c r="B3" s="109"/>
      <c r="C3" s="110"/>
      <c r="D3" s="110"/>
      <c r="E3" s="111"/>
      <c r="H3" s="109"/>
      <c r="I3" s="110"/>
      <c r="J3" s="110"/>
      <c r="K3" s="111"/>
      <c r="N3" s="109"/>
      <c r="O3" s="110"/>
      <c r="P3" s="110"/>
      <c r="Q3" s="111"/>
      <c r="T3" s="109"/>
      <c r="U3" s="110"/>
      <c r="V3" s="110"/>
      <c r="W3" s="111"/>
    </row>
    <row r="5" spans="2:23" x14ac:dyDescent="0.25">
      <c r="B5" s="33"/>
      <c r="C5" s="73" t="s">
        <v>18</v>
      </c>
      <c r="D5" s="73" t="s">
        <v>3</v>
      </c>
      <c r="E5" s="73" t="s">
        <v>95</v>
      </c>
      <c r="F5" s="74"/>
      <c r="G5" s="74"/>
      <c r="H5" s="33"/>
      <c r="I5" s="73" t="s">
        <v>18</v>
      </c>
      <c r="J5" s="73" t="s">
        <v>3</v>
      </c>
      <c r="K5" s="73" t="s">
        <v>95</v>
      </c>
      <c r="L5" s="74"/>
      <c r="M5" s="74"/>
      <c r="N5" s="33"/>
      <c r="O5" s="73" t="s">
        <v>18</v>
      </c>
      <c r="P5" s="73" t="s">
        <v>3</v>
      </c>
      <c r="Q5" s="73" t="s">
        <v>95</v>
      </c>
      <c r="T5" s="33"/>
      <c r="U5" s="73" t="s">
        <v>18</v>
      </c>
      <c r="V5" s="73" t="s">
        <v>3</v>
      </c>
      <c r="W5" s="73" t="s">
        <v>95</v>
      </c>
    </row>
    <row r="6" spans="2:23" x14ac:dyDescent="0.25">
      <c r="B6" s="33" t="s">
        <v>23</v>
      </c>
      <c r="C6" s="33">
        <f>GETPIVOTDATA("Sum of TOTAL FIELD",'Pivot Table'!$A$4,"DAY","Mon")</f>
        <v>647</v>
      </c>
      <c r="D6" s="112">
        <f>GETPIVOTDATA("Sum of TOTAL FIELD",'Pivot Table'!$A$4)</f>
        <v>5042</v>
      </c>
      <c r="E6" s="44">
        <f>SUM(C6/D6)</f>
        <v>0.12832209440698136</v>
      </c>
      <c r="H6" s="33" t="s">
        <v>23</v>
      </c>
      <c r="I6" s="33">
        <f>GETPIVOTDATA("Sum of TOTAL FIELD",'Pivot Table'!$A$16,"DAY","Mon")</f>
        <v>552</v>
      </c>
      <c r="J6" s="112">
        <f>GETPIVOTDATA("Sum of TOTAL FIELD",'Pivot Table'!$A$16)</f>
        <v>4880</v>
      </c>
      <c r="K6" s="44">
        <f>SUM(I6/J6)</f>
        <v>0.11311475409836065</v>
      </c>
      <c r="N6" s="33" t="s">
        <v>23</v>
      </c>
      <c r="O6" s="33">
        <f>GETPIVOTDATA("Sum of TOTAL FIELD",'Pivot Table'!$A$28,"DAY","Mon")</f>
        <v>0</v>
      </c>
      <c r="P6" s="112">
        <f>GETPIVOTDATA("Sum of TOTAL FIELD",'Pivot Table'!$A$28)</f>
        <v>0</v>
      </c>
      <c r="Q6" s="44" t="e">
        <f>SUM(O6/P6)</f>
        <v>#DIV/0!</v>
      </c>
      <c r="T6" s="33" t="s">
        <v>23</v>
      </c>
      <c r="U6" s="33">
        <f>GETPIVOTDATA("Sum of TOTAL FIELD",'Pivot Table'!$A$40,"DAY","Mon")</f>
        <v>0</v>
      </c>
      <c r="V6" s="112">
        <f>GETPIVOTDATA("Sum of TOTAL FIELD",'Pivot Table'!$A$40)</f>
        <v>0</v>
      </c>
      <c r="W6" s="44" t="e">
        <f>SUM(U6/V6)</f>
        <v>#DIV/0!</v>
      </c>
    </row>
    <row r="7" spans="2:23" x14ac:dyDescent="0.25">
      <c r="B7" s="33" t="s">
        <v>27</v>
      </c>
      <c r="C7" s="33">
        <f>GETPIVOTDATA("Sum of TOTAL FIELD",'Pivot Table'!$A$4,"DAY","Tue")</f>
        <v>476</v>
      </c>
      <c r="D7" s="112"/>
      <c r="E7" s="44">
        <f>SUM(C7/D6)</f>
        <v>9.4406981356604525E-2</v>
      </c>
      <c r="H7" s="33" t="s">
        <v>27</v>
      </c>
      <c r="I7" s="33">
        <f>GETPIVOTDATA("Sum of TOTAL FIELD",'Pivot Table'!$A$16,"DAY","Tue")</f>
        <v>552</v>
      </c>
      <c r="J7" s="112"/>
      <c r="K7" s="44">
        <f>SUM(I7/J6)</f>
        <v>0.11311475409836065</v>
      </c>
      <c r="N7" s="33" t="s">
        <v>27</v>
      </c>
      <c r="O7" s="33">
        <f>GETPIVOTDATA("Sum of TOTAL FIELD",'Pivot Table'!$A$28,"DAY","Tue")</f>
        <v>0</v>
      </c>
      <c r="P7" s="112"/>
      <c r="Q7" s="44" t="e">
        <f>SUM(O7/P6)</f>
        <v>#DIV/0!</v>
      </c>
      <c r="T7" s="33" t="s">
        <v>27</v>
      </c>
      <c r="U7" s="33">
        <f>GETPIVOTDATA("Sum of TOTAL FIELD",'Pivot Table'!$A$40,"DAY","Tue")</f>
        <v>0</v>
      </c>
      <c r="V7" s="112"/>
      <c r="W7" s="44" t="e">
        <f>SUM(U7/V6)</f>
        <v>#DIV/0!</v>
      </c>
    </row>
    <row r="8" spans="2:23" x14ac:dyDescent="0.25">
      <c r="B8" s="33" t="s">
        <v>28</v>
      </c>
      <c r="C8" s="33">
        <f>GETPIVOTDATA("Sum of TOTAL FIELD",'Pivot Table'!$A$4,"DAY","Wed")</f>
        <v>550</v>
      </c>
      <c r="D8" s="112"/>
      <c r="E8" s="76">
        <f>SUM(C8/D6)</f>
        <v>0.10908369694565649</v>
      </c>
      <c r="H8" s="33" t="s">
        <v>28</v>
      </c>
      <c r="I8" s="33">
        <f>GETPIVOTDATA("Sum of TOTAL FIELD",'Pivot Table'!$A$16,"DAY","Wed")</f>
        <v>730</v>
      </c>
      <c r="J8" s="112"/>
      <c r="K8" s="76">
        <f>SUM(I8/J6)</f>
        <v>0.14959016393442623</v>
      </c>
      <c r="N8" s="33" t="s">
        <v>28</v>
      </c>
      <c r="O8" s="33">
        <f>GETPIVOTDATA("Sum of TOTAL FIELD",'Pivot Table'!$A$28,"DAY","Wed")</f>
        <v>0</v>
      </c>
      <c r="P8" s="112"/>
      <c r="Q8" s="76" t="e">
        <f>SUM(O8/P6)</f>
        <v>#DIV/0!</v>
      </c>
      <c r="T8" s="33" t="s">
        <v>28</v>
      </c>
      <c r="U8" s="33">
        <f>GETPIVOTDATA("Sum of TOTAL FIELD",'Pivot Table'!$A$40,"DAY","Wed")</f>
        <v>0</v>
      </c>
      <c r="V8" s="112"/>
      <c r="W8" s="75" t="e">
        <f>SUM(U8/V6)</f>
        <v>#DIV/0!</v>
      </c>
    </row>
    <row r="9" spans="2:23" x14ac:dyDescent="0.25">
      <c r="B9" s="33" t="s">
        <v>29</v>
      </c>
      <c r="C9" s="33">
        <f>GETPIVOTDATA("Sum of TOTAL FIELD",'Pivot Table'!$A$4,"DAY","Thu")</f>
        <v>873</v>
      </c>
      <c r="D9" s="112"/>
      <c r="E9" s="44">
        <f>SUM(C9/D6)</f>
        <v>0.17314557715192383</v>
      </c>
      <c r="H9" s="33" t="s">
        <v>29</v>
      </c>
      <c r="I9" s="33">
        <f>GETPIVOTDATA("Sum of TOTAL FIELD",'Pivot Table'!$A$16,"DAY","Thu")</f>
        <v>776</v>
      </c>
      <c r="J9" s="112"/>
      <c r="K9" s="76">
        <f>SUM(I9/J6)</f>
        <v>0.15901639344262294</v>
      </c>
      <c r="N9" s="33" t="s">
        <v>29</v>
      </c>
      <c r="O9" s="33">
        <f>GETPIVOTDATA("Sum of TOTAL FIELD",'Pivot Table'!$A$28,"DAY","Thu")</f>
        <v>0</v>
      </c>
      <c r="P9" s="112"/>
      <c r="Q9" s="44" t="e">
        <f>SUM(O9/P6)</f>
        <v>#DIV/0!</v>
      </c>
      <c r="T9" s="33" t="s">
        <v>29</v>
      </c>
      <c r="U9" s="33">
        <f>GETPIVOTDATA("Sum of TOTAL FIELD",'Pivot Table'!$A$40,"DAY","Thu")</f>
        <v>0</v>
      </c>
      <c r="V9" s="112"/>
      <c r="W9" s="76" t="e">
        <f>SUM(U9/V6)</f>
        <v>#DIV/0!</v>
      </c>
    </row>
    <row r="10" spans="2:23" x14ac:dyDescent="0.25">
      <c r="B10" s="33" t="s">
        <v>30</v>
      </c>
      <c r="C10" s="33">
        <f>GETPIVOTDATA("Sum of TOTAL FIELD",'Pivot Table'!$A$4,"DAY","Fri")</f>
        <v>900</v>
      </c>
      <c r="D10" s="112"/>
      <c r="E10" s="75">
        <f>SUM(C10/D6)</f>
        <v>0.17850059500198334</v>
      </c>
      <c r="H10" s="33" t="s">
        <v>30</v>
      </c>
      <c r="I10" s="33">
        <f>GETPIVOTDATA("Sum of TOTAL FIELD",'Pivot Table'!$A$16,"DAY","Fri")</f>
        <v>807</v>
      </c>
      <c r="J10" s="112"/>
      <c r="K10" s="75">
        <f>SUM(I10/J6)</f>
        <v>0.16536885245901639</v>
      </c>
      <c r="N10" s="33" t="s">
        <v>30</v>
      </c>
      <c r="O10" s="33">
        <f>GETPIVOTDATA("Sum of TOTAL FIELD",'Pivot Table'!$A$28,"DAY","Fri")</f>
        <v>0</v>
      </c>
      <c r="P10" s="112"/>
      <c r="Q10" s="76" t="e">
        <f>SUM(O10/P6)</f>
        <v>#DIV/0!</v>
      </c>
      <c r="T10" s="33" t="s">
        <v>30</v>
      </c>
      <c r="U10" s="33">
        <f>GETPIVOTDATA("Sum of TOTAL FIELD",'Pivot Table'!$A$40,"DAY","Fri")</f>
        <v>0</v>
      </c>
      <c r="V10" s="112"/>
      <c r="W10" s="44" t="e">
        <f>SUM(U10/V6)</f>
        <v>#DIV/0!</v>
      </c>
    </row>
    <row r="11" spans="2:23" x14ac:dyDescent="0.25">
      <c r="B11" s="33" t="s">
        <v>31</v>
      </c>
      <c r="C11" s="33">
        <f>GETPIVOTDATA("Sum of TOTAL FIELD",'Pivot Table'!$A$4,"DAY","Sat")</f>
        <v>727</v>
      </c>
      <c r="D11" s="112"/>
      <c r="E11" s="44">
        <f>SUM(C11/D6)</f>
        <v>0.14418881396271321</v>
      </c>
      <c r="H11" s="33" t="s">
        <v>31</v>
      </c>
      <c r="I11" s="33">
        <f>GETPIVOTDATA("Sum of TOTAL FIELD",'Pivot Table'!$A$16,"DAY","Sat")</f>
        <v>674</v>
      </c>
      <c r="J11" s="112"/>
      <c r="K11" s="44">
        <f>SUM(I11/J6)</f>
        <v>0.13811475409836066</v>
      </c>
      <c r="N11" s="33" t="s">
        <v>31</v>
      </c>
      <c r="O11" s="33">
        <f>GETPIVOTDATA("Sum of TOTAL FIELD",'Pivot Table'!$A$28,"DAY","Sat")</f>
        <v>0</v>
      </c>
      <c r="P11" s="112"/>
      <c r="Q11" s="75" t="e">
        <f>SUM(O11/P6)</f>
        <v>#DIV/0!</v>
      </c>
      <c r="T11" s="33" t="s">
        <v>31</v>
      </c>
      <c r="U11" s="33">
        <f>GETPIVOTDATA("Sum of TOTAL FIELD",'Pivot Table'!$A$40,"DAY","Sat")</f>
        <v>0</v>
      </c>
      <c r="V11" s="112"/>
      <c r="W11" s="44" t="e">
        <f>SUM(U11/V6)</f>
        <v>#DIV/0!</v>
      </c>
    </row>
    <row r="12" spans="2:23" x14ac:dyDescent="0.25">
      <c r="B12" s="33" t="s">
        <v>32</v>
      </c>
      <c r="C12" s="33">
        <f>GETPIVOTDATA("Sum of TOTAL FIELD",'Pivot Table'!$A$4,"DAY","Sun")</f>
        <v>869</v>
      </c>
      <c r="D12" s="112"/>
      <c r="E12" s="44">
        <f>SUM(C12/D6)</f>
        <v>0.17235224117413725</v>
      </c>
      <c r="H12" s="33" t="s">
        <v>32</v>
      </c>
      <c r="I12" s="33">
        <f>GETPIVOTDATA("Sum of TOTAL FIELD",'Pivot Table'!$A$16,"DAY","Sun")</f>
        <v>789</v>
      </c>
      <c r="J12" s="112"/>
      <c r="K12" s="44">
        <f>SUM(I12/J6)</f>
        <v>0.16168032786885245</v>
      </c>
      <c r="N12" s="33" t="s">
        <v>32</v>
      </c>
      <c r="O12" s="33">
        <f>GETPIVOTDATA("Sum of TOTAL FIELD",'Pivot Table'!$A$28,"DAY","Sun")</f>
        <v>0</v>
      </c>
      <c r="P12" s="112"/>
      <c r="Q12" s="44" t="e">
        <f>SUM(O12/P6)</f>
        <v>#DIV/0!</v>
      </c>
      <c r="T12" s="33" t="s">
        <v>32</v>
      </c>
      <c r="U12" s="33">
        <f>GETPIVOTDATA("Sum of TOTAL FIELD",'Pivot Table'!$A$40,"DAY","Sun")</f>
        <v>0</v>
      </c>
      <c r="V12" s="112"/>
      <c r="W12" s="76" t="e">
        <f>SUM(U12/V6)</f>
        <v>#DIV/0!</v>
      </c>
    </row>
    <row r="15" spans="2:23" x14ac:dyDescent="0.25">
      <c r="B15" s="106" t="s">
        <v>11</v>
      </c>
      <c r="C15" s="107"/>
      <c r="D15" s="107"/>
      <c r="E15" s="108"/>
      <c r="H15" s="106" t="s">
        <v>12</v>
      </c>
      <c r="I15" s="107"/>
      <c r="J15" s="107"/>
      <c r="K15" s="108"/>
      <c r="N15" s="106" t="s">
        <v>13</v>
      </c>
      <c r="O15" s="107"/>
      <c r="P15" s="107"/>
      <c r="Q15" s="108"/>
      <c r="T15" s="106" t="s">
        <v>14</v>
      </c>
      <c r="U15" s="107"/>
      <c r="V15" s="107"/>
      <c r="W15" s="108"/>
    </row>
    <row r="16" spans="2:23" x14ac:dyDescent="0.25">
      <c r="B16" s="109"/>
      <c r="C16" s="110"/>
      <c r="D16" s="110"/>
      <c r="E16" s="111"/>
      <c r="H16" s="109"/>
      <c r="I16" s="110"/>
      <c r="J16" s="110"/>
      <c r="K16" s="111"/>
      <c r="N16" s="109"/>
      <c r="O16" s="110"/>
      <c r="P16" s="110"/>
      <c r="Q16" s="111"/>
      <c r="T16" s="109"/>
      <c r="U16" s="110"/>
      <c r="V16" s="110"/>
      <c r="W16" s="111"/>
    </row>
    <row r="18" spans="2:23" x14ac:dyDescent="0.25">
      <c r="B18" s="33"/>
      <c r="C18" s="73" t="s">
        <v>18</v>
      </c>
      <c r="D18" s="73" t="s">
        <v>3</v>
      </c>
      <c r="E18" s="73" t="s">
        <v>95</v>
      </c>
      <c r="H18" s="33"/>
      <c r="I18" s="73" t="s">
        <v>18</v>
      </c>
      <c r="J18" s="73" t="s">
        <v>3</v>
      </c>
      <c r="K18" s="73" t="s">
        <v>95</v>
      </c>
      <c r="N18" s="33"/>
      <c r="O18" s="73" t="s">
        <v>18</v>
      </c>
      <c r="P18" s="73" t="s">
        <v>3</v>
      </c>
      <c r="Q18" s="73" t="s">
        <v>95</v>
      </c>
      <c r="T18" s="33"/>
      <c r="U18" s="73" t="s">
        <v>18</v>
      </c>
      <c r="V18" s="73" t="s">
        <v>3</v>
      </c>
      <c r="W18" s="73" t="s">
        <v>95</v>
      </c>
    </row>
    <row r="19" spans="2:23" x14ac:dyDescent="0.25">
      <c r="B19" s="33" t="s">
        <v>23</v>
      </c>
      <c r="C19" s="33">
        <f>GETPIVOTDATA("Sum of TOTAL FIELD",'Pivot Table'!$A$52,"DAY","Mon")</f>
        <v>0</v>
      </c>
      <c r="D19" s="112">
        <v>4340</v>
      </c>
      <c r="E19" s="44">
        <f>SUM(C19/D19)</f>
        <v>0</v>
      </c>
      <c r="H19" s="33" t="s">
        <v>23</v>
      </c>
      <c r="I19" s="33">
        <f>GETPIVOTDATA("Sum of TOTAL FIELD",'Pivot Table'!$A$64,"DAY","Mon")</f>
        <v>0</v>
      </c>
      <c r="J19" s="112">
        <f>GETPIVOTDATA("Sum of TOTAL FIELD",'Pivot Table'!$A$64)</f>
        <v>0</v>
      </c>
      <c r="K19" s="44" t="e">
        <f>SUM(I19/J19)</f>
        <v>#DIV/0!</v>
      </c>
      <c r="N19" s="33" t="s">
        <v>23</v>
      </c>
      <c r="O19" s="33">
        <f>GETPIVOTDATA("Sum of TOTAL FIELD",'Pivot Table'!$A$76,"DAY","Mon")</f>
        <v>0</v>
      </c>
      <c r="P19" s="112">
        <f>GETPIVOTDATA("Sum of TOTAL FIELD",'Pivot Table'!$A$76)</f>
        <v>0</v>
      </c>
      <c r="Q19" s="44" t="e">
        <f>SUM(O19/P19)</f>
        <v>#DIV/0!</v>
      </c>
      <c r="T19" s="33" t="s">
        <v>23</v>
      </c>
      <c r="U19" s="33"/>
      <c r="V19" s="112"/>
      <c r="W19" s="44" t="e">
        <f>SUM(U19/V19)</f>
        <v>#DIV/0!</v>
      </c>
    </row>
    <row r="20" spans="2:23" x14ac:dyDescent="0.25">
      <c r="B20" s="33" t="s">
        <v>27</v>
      </c>
      <c r="C20" s="33">
        <f>GETPIVOTDATA("Sum of TOTAL FIELD",'Pivot Table'!$A$52,"DAY","Tue")</f>
        <v>0</v>
      </c>
      <c r="D20" s="112"/>
      <c r="E20" s="44">
        <f>SUM(C20/D19)</f>
        <v>0</v>
      </c>
      <c r="H20" s="33" t="s">
        <v>27</v>
      </c>
      <c r="I20" s="33">
        <f>GETPIVOTDATA("Sum of TOTAL FIELD",'Pivot Table'!$A$64,"DAY","Tue")</f>
        <v>0</v>
      </c>
      <c r="J20" s="112"/>
      <c r="K20" s="44" t="e">
        <f>SUM(I20/J19)</f>
        <v>#DIV/0!</v>
      </c>
      <c r="N20" s="33" t="s">
        <v>27</v>
      </c>
      <c r="O20" s="33">
        <f>GETPIVOTDATA("Sum of TOTAL FIELD",'Pivot Table'!$A$76,"DAY","Tue")</f>
        <v>0</v>
      </c>
      <c r="P20" s="112"/>
      <c r="Q20" s="44" t="e">
        <f>SUM(O20/P19)</f>
        <v>#DIV/0!</v>
      </c>
      <c r="T20" s="33" t="s">
        <v>27</v>
      </c>
      <c r="U20" s="33"/>
      <c r="V20" s="112"/>
      <c r="W20" s="44" t="e">
        <f>SUM(U20/V19)</f>
        <v>#DIV/0!</v>
      </c>
    </row>
    <row r="21" spans="2:23" x14ac:dyDescent="0.25">
      <c r="B21" s="33" t="s">
        <v>28</v>
      </c>
      <c r="C21" s="33">
        <f>GETPIVOTDATA("Sum of TOTAL FIELD",'Pivot Table'!$A$52,"DAY","Wed")</f>
        <v>0</v>
      </c>
      <c r="D21" s="112"/>
      <c r="E21" s="76">
        <f>SUM(C21/D19)</f>
        <v>0</v>
      </c>
      <c r="H21" s="33" t="s">
        <v>28</v>
      </c>
      <c r="I21" s="33">
        <f>GETPIVOTDATA("Sum of TOTAL FIELD",'Pivot Table'!$A$64,"DAY","Wed")</f>
        <v>0</v>
      </c>
      <c r="J21" s="112"/>
      <c r="K21" s="76" t="e">
        <f>SUM(I21/J19)</f>
        <v>#DIV/0!</v>
      </c>
      <c r="N21" s="33" t="s">
        <v>28</v>
      </c>
      <c r="O21" s="33">
        <f>GETPIVOTDATA("Sum of TOTAL FIELD",'Pivot Table'!$A$76,"DAY","Wed")</f>
        <v>0</v>
      </c>
      <c r="P21" s="112"/>
      <c r="Q21" s="76" t="e">
        <f>SUM(O21/P19)</f>
        <v>#DIV/0!</v>
      </c>
      <c r="T21" s="33" t="s">
        <v>28</v>
      </c>
      <c r="U21" s="33"/>
      <c r="V21" s="112"/>
      <c r="W21" s="77" t="e">
        <f>SUM(U21/V19)</f>
        <v>#DIV/0!</v>
      </c>
    </row>
    <row r="22" spans="2:23" x14ac:dyDescent="0.25">
      <c r="B22" s="33" t="s">
        <v>29</v>
      </c>
      <c r="C22" s="33">
        <f>GETPIVOTDATA("Sum of TOTAL FIELD",'Pivot Table'!$A$52,"DAY","Thu")</f>
        <v>0</v>
      </c>
      <c r="D22" s="112"/>
      <c r="E22" s="75">
        <f>SUM(C22/D19)</f>
        <v>0</v>
      </c>
      <c r="H22" s="33" t="s">
        <v>29</v>
      </c>
      <c r="I22" s="33">
        <f>GETPIVOTDATA("Sum of TOTAL FIELD",'Pivot Table'!$A$64,"DAY","Thu")</f>
        <v>0</v>
      </c>
      <c r="J22" s="112"/>
      <c r="K22" s="44" t="e">
        <f>SUM(I22/J19)</f>
        <v>#DIV/0!</v>
      </c>
      <c r="N22" s="33" t="s">
        <v>29</v>
      </c>
      <c r="O22" s="33">
        <f>GETPIVOTDATA("Sum of TOTAL FIELD",'Pivot Table'!$A$76,"DAY","Thu")</f>
        <v>0</v>
      </c>
      <c r="P22" s="112"/>
      <c r="Q22" s="75" t="e">
        <f>SUM(O22/P19)</f>
        <v>#DIV/0!</v>
      </c>
      <c r="T22" s="33" t="s">
        <v>29</v>
      </c>
      <c r="U22" s="33"/>
      <c r="V22" s="112"/>
      <c r="W22" s="44" t="e">
        <f>SUM(U22/V19)</f>
        <v>#DIV/0!</v>
      </c>
    </row>
    <row r="23" spans="2:23" x14ac:dyDescent="0.25">
      <c r="B23" s="33" t="s">
        <v>30</v>
      </c>
      <c r="C23" s="33">
        <f>GETPIVOTDATA("Sum of TOTAL FIELD",'Pivot Table'!$A$52,"DAY","Fri")</f>
        <v>0</v>
      </c>
      <c r="D23" s="112"/>
      <c r="E23" s="44">
        <f>SUM(C23/D19)</f>
        <v>0</v>
      </c>
      <c r="H23" s="33" t="s">
        <v>30</v>
      </c>
      <c r="I23" s="33">
        <f>GETPIVOTDATA("Sum of TOTAL FIELD",'Pivot Table'!$A$64,"DAY","Fri")</f>
        <v>0</v>
      </c>
      <c r="J23" s="112"/>
      <c r="K23" s="44" t="e">
        <f>SUM(I23/J19)</f>
        <v>#DIV/0!</v>
      </c>
      <c r="N23" s="33" t="s">
        <v>30</v>
      </c>
      <c r="O23" s="33">
        <f>GETPIVOTDATA("Sum of TOTAL FIELD",'Pivot Table'!$A$76,"DAY","Fri")</f>
        <v>0</v>
      </c>
      <c r="P23" s="112"/>
      <c r="Q23" s="44" t="e">
        <f>SUM(O23/P19)</f>
        <v>#DIV/0!</v>
      </c>
      <c r="T23" s="33" t="s">
        <v>30</v>
      </c>
      <c r="U23" s="33"/>
      <c r="V23" s="112"/>
      <c r="W23" s="44" t="e">
        <f>SUM(U23/V19)</f>
        <v>#DIV/0!</v>
      </c>
    </row>
    <row r="24" spans="2:23" x14ac:dyDescent="0.25">
      <c r="B24" s="33" t="s">
        <v>31</v>
      </c>
      <c r="C24" s="33">
        <f>GETPIVOTDATA("Sum of TOTAL FIELD",'Pivot Table'!$A$52,"DAY","Sat")</f>
        <v>0</v>
      </c>
      <c r="D24" s="112"/>
      <c r="E24" s="44">
        <f>SUM(C24/D19)</f>
        <v>0</v>
      </c>
      <c r="H24" s="33" t="s">
        <v>31</v>
      </c>
      <c r="I24" s="33">
        <f>GETPIVOTDATA("Sum of TOTAL FIELD",'Pivot Table'!$A$64,"DAY","Sat")</f>
        <v>0</v>
      </c>
      <c r="J24" s="112"/>
      <c r="K24" s="44" t="e">
        <f>SUM(I24/J19)</f>
        <v>#DIV/0!</v>
      </c>
      <c r="N24" s="33" t="s">
        <v>31</v>
      </c>
      <c r="O24" s="33">
        <f>GETPIVOTDATA("Sum of TOTAL FIELD",'Pivot Table'!$A$76,"DAY","Sat")</f>
        <v>0</v>
      </c>
      <c r="P24" s="112"/>
      <c r="Q24" s="44" t="e">
        <f>SUM(O24/P19)</f>
        <v>#DIV/0!</v>
      </c>
      <c r="T24" s="33" t="s">
        <v>31</v>
      </c>
      <c r="U24" s="33"/>
      <c r="V24" s="112"/>
      <c r="W24" s="75" t="e">
        <f>SUM(U24/V19)</f>
        <v>#DIV/0!</v>
      </c>
    </row>
    <row r="25" spans="2:23" x14ac:dyDescent="0.25">
      <c r="B25" s="33" t="s">
        <v>32</v>
      </c>
      <c r="C25" s="33">
        <f>GETPIVOTDATA("Sum of TOTAL FIELD",'Pivot Table'!$A$52,"DAY","Sun")</f>
        <v>0</v>
      </c>
      <c r="D25" s="112"/>
      <c r="E25" s="44">
        <f>SUM(C25/D19)</f>
        <v>0</v>
      </c>
      <c r="H25" s="33" t="s">
        <v>32</v>
      </c>
      <c r="I25" s="33">
        <f>GETPIVOTDATA("Sum of TOTAL FIELD",'Pivot Table'!$A$64,"DAY","Sun")</f>
        <v>0</v>
      </c>
      <c r="J25" s="112"/>
      <c r="K25" s="75" t="e">
        <f>SUM(I25/J19)</f>
        <v>#DIV/0!</v>
      </c>
      <c r="N25" s="33" t="s">
        <v>32</v>
      </c>
      <c r="O25" s="33">
        <f>GETPIVOTDATA("Sum of TOTAL FIELD",'Pivot Table'!$A$76,"DAY","Sun")</f>
        <v>0</v>
      </c>
      <c r="P25" s="112"/>
      <c r="Q25" s="44" t="e">
        <f>SUM(O25/P19)</f>
        <v>#DIV/0!</v>
      </c>
      <c r="T25" s="33" t="s">
        <v>32</v>
      </c>
      <c r="U25" s="33"/>
      <c r="V25" s="112"/>
      <c r="W25" s="44" t="e">
        <f>SUM(U25/V19)</f>
        <v>#DIV/0!</v>
      </c>
    </row>
    <row r="28" spans="2:23" x14ac:dyDescent="0.25">
      <c r="B28" s="106" t="s">
        <v>15</v>
      </c>
      <c r="C28" s="107"/>
      <c r="D28" s="107"/>
      <c r="E28" s="108"/>
      <c r="H28" s="106" t="s">
        <v>16</v>
      </c>
      <c r="I28" s="107"/>
      <c r="J28" s="107"/>
      <c r="K28" s="108"/>
      <c r="N28" s="106" t="s">
        <v>60</v>
      </c>
      <c r="O28" s="107"/>
      <c r="P28" s="107"/>
      <c r="Q28" s="108"/>
      <c r="T28" s="106" t="s">
        <v>17</v>
      </c>
      <c r="U28" s="107"/>
      <c r="V28" s="107"/>
      <c r="W28" s="108"/>
    </row>
    <row r="29" spans="2:23" x14ac:dyDescent="0.25">
      <c r="B29" s="109"/>
      <c r="C29" s="110"/>
      <c r="D29" s="110"/>
      <c r="E29" s="111"/>
      <c r="H29" s="109"/>
      <c r="I29" s="110"/>
      <c r="J29" s="110"/>
      <c r="K29" s="111"/>
      <c r="N29" s="109"/>
      <c r="O29" s="110"/>
      <c r="P29" s="110"/>
      <c r="Q29" s="111"/>
      <c r="T29" s="109"/>
      <c r="U29" s="110"/>
      <c r="V29" s="110"/>
      <c r="W29" s="111"/>
    </row>
    <row r="30" spans="2:23" ht="26.25" x14ac:dyDescent="0.25">
      <c r="B30" s="9"/>
      <c r="C30" s="9"/>
      <c r="D30" s="9"/>
      <c r="E30" s="9"/>
      <c r="H30" s="9"/>
      <c r="I30" s="9"/>
      <c r="J30" s="9"/>
      <c r="K30" s="9"/>
      <c r="N30" s="9"/>
      <c r="O30" s="9"/>
      <c r="P30" s="9"/>
      <c r="Q30" s="9"/>
      <c r="T30" s="9"/>
      <c r="U30" s="9"/>
      <c r="V30" s="9"/>
      <c r="W30" s="9"/>
    </row>
    <row r="32" spans="2:23" x14ac:dyDescent="0.25">
      <c r="B32" s="33"/>
      <c r="C32" s="73" t="s">
        <v>18</v>
      </c>
      <c r="D32" s="73" t="s">
        <v>3</v>
      </c>
      <c r="E32" s="73" t="s">
        <v>95</v>
      </c>
      <c r="H32" s="33"/>
      <c r="I32" s="73" t="s">
        <v>18</v>
      </c>
      <c r="J32" s="73" t="s">
        <v>3</v>
      </c>
      <c r="K32" s="73" t="s">
        <v>95</v>
      </c>
      <c r="N32" s="33"/>
      <c r="O32" s="73" t="s">
        <v>18</v>
      </c>
      <c r="P32" s="73" t="s">
        <v>3</v>
      </c>
      <c r="Q32" s="73" t="s">
        <v>95</v>
      </c>
      <c r="T32" s="33"/>
      <c r="U32" s="73" t="s">
        <v>18</v>
      </c>
      <c r="V32" s="73" t="s">
        <v>3</v>
      </c>
      <c r="W32" s="73" t="s">
        <v>95</v>
      </c>
    </row>
    <row r="33" spans="2:23" x14ac:dyDescent="0.25">
      <c r="B33" s="33" t="s">
        <v>23</v>
      </c>
      <c r="C33" s="33">
        <f>GETPIVOTDATA("Sum of TOTAL FIELD",'Pivot Table'!$A$100,"DAY","Mon")</f>
        <v>0</v>
      </c>
      <c r="D33" s="112">
        <f>GETPIVOTDATA("Sum of TOTAL FIELD",'Pivot Table'!$A$100)</f>
        <v>0</v>
      </c>
      <c r="E33" s="44" t="e">
        <f>SUM(C33/D33)</f>
        <v>#DIV/0!</v>
      </c>
      <c r="H33" s="33" t="s">
        <v>23</v>
      </c>
      <c r="I33" s="33">
        <f>GETPIVOTDATA("Sum of TOTAL FIELD",'Pivot Table'!$A$112,"DAY","Mon")</f>
        <v>0</v>
      </c>
      <c r="J33" s="112">
        <f>GETPIVOTDATA("Sum of TOTAL FIELD",'Pivot Table'!$A$112)</f>
        <v>0</v>
      </c>
      <c r="K33" s="44" t="e">
        <f>SUM(I33/J33)</f>
        <v>#DIV/0!</v>
      </c>
      <c r="N33" s="33" t="s">
        <v>23</v>
      </c>
      <c r="O33" s="33">
        <f>GETPIVOTDATA("Sum of TOTAL FIELD",'Pivot Table'!$A$124,"DAY","Mon")</f>
        <v>0</v>
      </c>
      <c r="P33" s="112">
        <f>GETPIVOTDATA("Sum of TOTAL FIELD",'Pivot Table'!$A$124)</f>
        <v>0</v>
      </c>
      <c r="Q33" s="44" t="e">
        <f>SUM(O33/P33)</f>
        <v>#DIV/0!</v>
      </c>
      <c r="T33" s="33" t="s">
        <v>23</v>
      </c>
      <c r="U33" s="33">
        <f>GETPIVOTDATA("Sum of TOTAL FIELD",'Pivot Table'!$A$136,"DAY","Mon")</f>
        <v>0</v>
      </c>
      <c r="V33" s="112">
        <f>GETPIVOTDATA("Sum of TOTAL FIELD",'Pivot Table'!$A$136)</f>
        <v>0</v>
      </c>
      <c r="W33" s="44" t="e">
        <f>SUM(U33/V33)</f>
        <v>#DIV/0!</v>
      </c>
    </row>
    <row r="34" spans="2:23" x14ac:dyDescent="0.25">
      <c r="B34" s="33" t="s">
        <v>27</v>
      </c>
      <c r="C34" s="33">
        <f>GETPIVOTDATA("Sum of TOTAL FIELD",'Pivot Table'!$A$100,"DAY","Tue")</f>
        <v>0</v>
      </c>
      <c r="D34" s="112"/>
      <c r="E34" s="44" t="e">
        <f>SUM(C34/D33)</f>
        <v>#DIV/0!</v>
      </c>
      <c r="H34" s="33" t="s">
        <v>27</v>
      </c>
      <c r="I34" s="33">
        <f>GETPIVOTDATA("Sum of TOTAL FIELD",'Pivot Table'!$A$112,"DAY","Tue")</f>
        <v>0</v>
      </c>
      <c r="J34" s="112"/>
      <c r="K34" s="44" t="e">
        <f>SUM(I34/J33)</f>
        <v>#DIV/0!</v>
      </c>
      <c r="N34" s="33" t="s">
        <v>27</v>
      </c>
      <c r="O34" s="33">
        <f>GETPIVOTDATA("Sum of TOTAL FIELD",'Pivot Table'!$A$124,"DAY","Tue")</f>
        <v>0</v>
      </c>
      <c r="P34" s="112"/>
      <c r="Q34" s="44" t="e">
        <f>SUM(O34/P33)</f>
        <v>#DIV/0!</v>
      </c>
      <c r="T34" s="33" t="s">
        <v>27</v>
      </c>
      <c r="U34" s="33">
        <f>GETPIVOTDATA("Sum of TOTAL FIELD",'Pivot Table'!$A$136,"DAY","Tue")</f>
        <v>0</v>
      </c>
      <c r="V34" s="112"/>
      <c r="W34" s="44" t="e">
        <f>SUM(U34/V33)</f>
        <v>#DIV/0!</v>
      </c>
    </row>
    <row r="35" spans="2:23" x14ac:dyDescent="0.25">
      <c r="B35" s="33" t="s">
        <v>28</v>
      </c>
      <c r="C35" s="33">
        <f>GETPIVOTDATA("Sum of TOTAL FIELD",'Pivot Table'!$A$100,"DAY","Wed")</f>
        <v>0</v>
      </c>
      <c r="D35" s="112"/>
      <c r="E35" s="44" t="e">
        <f>SUM(C35/D33)</f>
        <v>#DIV/0!</v>
      </c>
      <c r="H35" s="33" t="s">
        <v>28</v>
      </c>
      <c r="I35" s="33">
        <f>GETPIVOTDATA("Sum of TOTAL FIELD",'Pivot Table'!$A$112,"DAY","Wed")</f>
        <v>0</v>
      </c>
      <c r="J35" s="112"/>
      <c r="K35" s="77" t="e">
        <f>SUM(I35/J33)</f>
        <v>#DIV/0!</v>
      </c>
      <c r="N35" s="33" t="s">
        <v>28</v>
      </c>
      <c r="O35" s="33">
        <f>GETPIVOTDATA("Sum of TOTAL FIELD",'Pivot Table'!$A$124,"DAY","Wed")</f>
        <v>0</v>
      </c>
      <c r="P35" s="112"/>
      <c r="Q35" s="76" t="e">
        <f>SUM(O35/P33)</f>
        <v>#DIV/0!</v>
      </c>
      <c r="T35" s="33" t="s">
        <v>28</v>
      </c>
      <c r="U35" s="33">
        <f>GETPIVOTDATA("Sum of TOTAL FIELD",'Pivot Table'!$A$136,"DAY","Wed")</f>
        <v>0</v>
      </c>
      <c r="V35" s="112"/>
      <c r="W35" s="77" t="e">
        <f>SUM(U35/V33)</f>
        <v>#DIV/0!</v>
      </c>
    </row>
    <row r="36" spans="2:23" x14ac:dyDescent="0.25">
      <c r="B36" s="33" t="s">
        <v>29</v>
      </c>
      <c r="C36" s="33">
        <f>GETPIVOTDATA("Sum of TOTAL FIELD",'Pivot Table'!$A$100,"DAY","Thu")</f>
        <v>0</v>
      </c>
      <c r="D36" s="112"/>
      <c r="E36" s="44" t="e">
        <f>SUM(C36/D33)</f>
        <v>#DIV/0!</v>
      </c>
      <c r="H36" s="33" t="s">
        <v>29</v>
      </c>
      <c r="I36" s="33">
        <f>GETPIVOTDATA("Sum of TOTAL FIELD",'Pivot Table'!$A$112,"DAY","Thu")</f>
        <v>0</v>
      </c>
      <c r="J36" s="112"/>
      <c r="K36" s="77" t="e">
        <f>SUM(I36/J33)</f>
        <v>#DIV/0!</v>
      </c>
      <c r="N36" s="33" t="s">
        <v>29</v>
      </c>
      <c r="O36" s="33">
        <f>GETPIVOTDATA("Sum of TOTAL FIELD",'Pivot Table'!$A$124,"DAY","Thu")</f>
        <v>0</v>
      </c>
      <c r="P36" s="112"/>
      <c r="Q36" s="44" t="e">
        <f>SUM(O36/P33)</f>
        <v>#DIV/0!</v>
      </c>
      <c r="T36" s="33" t="s">
        <v>29</v>
      </c>
      <c r="U36" s="33">
        <f>GETPIVOTDATA("Sum of TOTAL FIELD",'Pivot Table'!$A$136,"DAY","Thu")</f>
        <v>0</v>
      </c>
      <c r="V36" s="112"/>
      <c r="W36" s="44" t="e">
        <f>SUM(U36/V33)</f>
        <v>#DIV/0!</v>
      </c>
    </row>
    <row r="37" spans="2:23" x14ac:dyDescent="0.25">
      <c r="B37" s="33" t="s">
        <v>30</v>
      </c>
      <c r="C37" s="33">
        <f>GETPIVOTDATA("Sum of TOTAL FIELD",'Pivot Table'!$A$100,"DAY","Fri")</f>
        <v>0</v>
      </c>
      <c r="D37" s="112"/>
      <c r="E37" s="75" t="e">
        <f>SUM(C37/D33)</f>
        <v>#DIV/0!</v>
      </c>
      <c r="H37" s="33" t="s">
        <v>30</v>
      </c>
      <c r="I37" s="33">
        <f>GETPIVOTDATA("Sum of TOTAL FIELD",'Pivot Table'!$A$112,"DAY","Fri")</f>
        <v>0</v>
      </c>
      <c r="J37" s="112"/>
      <c r="K37" s="75" t="e">
        <f>SUM(I37/J33)</f>
        <v>#DIV/0!</v>
      </c>
      <c r="N37" s="33" t="s">
        <v>30</v>
      </c>
      <c r="O37" s="33">
        <f>GETPIVOTDATA("Sum of TOTAL FIELD",'Pivot Table'!$A$124,"DAY","Fri")</f>
        <v>0</v>
      </c>
      <c r="P37" s="112"/>
      <c r="Q37" s="44" t="e">
        <f>SUM(O37/P33)</f>
        <v>#DIV/0!</v>
      </c>
      <c r="T37" s="33" t="s">
        <v>30</v>
      </c>
      <c r="U37" s="33">
        <f>GETPIVOTDATA("Sum of TOTAL FIELD",'Pivot Table'!$A$136,"DAY","Fri")</f>
        <v>0</v>
      </c>
      <c r="V37" s="112"/>
      <c r="W37" s="44" t="e">
        <f>SUM(U37/V33)</f>
        <v>#DIV/0!</v>
      </c>
    </row>
    <row r="38" spans="2:23" x14ac:dyDescent="0.25">
      <c r="B38" s="33" t="s">
        <v>31</v>
      </c>
      <c r="C38" s="33">
        <f>GETPIVOTDATA("Sum of TOTAL FIELD",'Pivot Table'!$A$100,"DAY","Sat")</f>
        <v>0</v>
      </c>
      <c r="D38" s="112"/>
      <c r="E38" s="44" t="e">
        <f>SUM(C38/D33)</f>
        <v>#DIV/0!</v>
      </c>
      <c r="H38" s="33" t="s">
        <v>31</v>
      </c>
      <c r="I38" s="33">
        <f>GETPIVOTDATA("Sum of TOTAL FIELD",'Pivot Table'!$A$112,"DAY","Sat")</f>
        <v>0</v>
      </c>
      <c r="J38" s="112"/>
      <c r="K38" s="44" t="e">
        <f>SUM(I38/J33)</f>
        <v>#DIV/0!</v>
      </c>
      <c r="N38" s="33" t="s">
        <v>31</v>
      </c>
      <c r="O38" s="33">
        <f>GETPIVOTDATA("Sum of TOTAL FIELD",'Pivot Table'!$A$124,"DAY","Sat")</f>
        <v>0</v>
      </c>
      <c r="P38" s="112"/>
      <c r="Q38" s="44" t="e">
        <f>SUM(O38/P33)</f>
        <v>#DIV/0!</v>
      </c>
      <c r="T38" s="33" t="s">
        <v>31</v>
      </c>
      <c r="U38" s="33">
        <f>GETPIVOTDATA("Sum of TOTAL FIELD",'Pivot Table'!$A$136,"DAY","Sat")</f>
        <v>0</v>
      </c>
      <c r="V38" s="112"/>
      <c r="W38" s="44" t="e">
        <f>SUM(U38/V33)</f>
        <v>#DIV/0!</v>
      </c>
    </row>
    <row r="39" spans="2:23" x14ac:dyDescent="0.25">
      <c r="B39" s="33" t="s">
        <v>32</v>
      </c>
      <c r="C39" s="33">
        <f>GETPIVOTDATA("Sum of TOTAL FIELD",'Pivot Table'!$A$100,"DAY","Sun")</f>
        <v>0</v>
      </c>
      <c r="D39" s="112"/>
      <c r="E39" s="44" t="e">
        <f>SUM(C39/D33)</f>
        <v>#DIV/0!</v>
      </c>
      <c r="H39" s="33" t="s">
        <v>32</v>
      </c>
      <c r="I39" s="33">
        <f>GETPIVOTDATA("Sum of TOTAL FIELD",'Pivot Table'!$A$112,"DAY","Sun")</f>
        <v>0</v>
      </c>
      <c r="J39" s="112"/>
      <c r="K39" s="44" t="e">
        <f>SUM(I39/J33)</f>
        <v>#DIV/0!</v>
      </c>
      <c r="N39" s="33" t="s">
        <v>32</v>
      </c>
      <c r="O39" s="33">
        <f>GETPIVOTDATA("Sum of TOTAL FIELD",'Pivot Table'!$A$124,"DAY","Sun")</f>
        <v>0</v>
      </c>
      <c r="P39" s="112"/>
      <c r="Q39" s="75" t="e">
        <f>SUM(O39/P33)</f>
        <v>#DIV/0!</v>
      </c>
      <c r="T39" s="33" t="s">
        <v>32</v>
      </c>
      <c r="U39" s="33">
        <f>GETPIVOTDATA("Sum of TOTAL FIELD",'Pivot Table'!$A$136,"DAY","Sun")</f>
        <v>0</v>
      </c>
      <c r="V39" s="112"/>
      <c r="W39" s="75" t="e">
        <f>SUM(U39/V33)</f>
        <v>#DIV/0!</v>
      </c>
    </row>
    <row r="41" spans="2:23" ht="16.5" customHeight="1" x14ac:dyDescent="0.25">
      <c r="B41" s="113">
        <v>2025</v>
      </c>
      <c r="C41" s="113"/>
      <c r="D41" s="113"/>
      <c r="E41" s="78"/>
    </row>
    <row r="42" spans="2:23" ht="16.5" customHeight="1" x14ac:dyDescent="0.25">
      <c r="B42" s="113"/>
      <c r="C42" s="113"/>
      <c r="D42" s="113"/>
      <c r="E42" s="78"/>
    </row>
    <row r="44" spans="2:23" x14ac:dyDescent="0.25">
      <c r="B44" s="33" t="s">
        <v>23</v>
      </c>
      <c r="C44" s="71">
        <f>'Day by Day Totals'!C9</f>
        <v>1199</v>
      </c>
      <c r="D44" s="44">
        <f>SUM(C44/C51)</f>
        <v>0.12084257206208426</v>
      </c>
    </row>
    <row r="45" spans="2:23" x14ac:dyDescent="0.25">
      <c r="B45" s="33" t="s">
        <v>27</v>
      </c>
      <c r="C45" s="71">
        <f>'Day by Day Totals'!F9</f>
        <v>1028</v>
      </c>
      <c r="D45" s="44">
        <f>SUM(C45/C51)</f>
        <v>0.10360814351945172</v>
      </c>
    </row>
    <row r="46" spans="2:23" x14ac:dyDescent="0.25">
      <c r="B46" s="33" t="s">
        <v>28</v>
      </c>
      <c r="C46" s="71">
        <f>'Day by Day Totals'!I9</f>
        <v>1280</v>
      </c>
      <c r="D46" s="44">
        <f>SUM(C46/C51)</f>
        <v>0.12900624874017336</v>
      </c>
    </row>
    <row r="47" spans="2:23" x14ac:dyDescent="0.25">
      <c r="B47" s="33" t="s">
        <v>29</v>
      </c>
      <c r="C47" s="71">
        <f>'Day by Day Totals'!L9</f>
        <v>1649</v>
      </c>
      <c r="D47" s="44">
        <f>SUM(C47/C51)</f>
        <v>0.16619633138480144</v>
      </c>
    </row>
    <row r="48" spans="2:23" x14ac:dyDescent="0.25">
      <c r="B48" s="33" t="s">
        <v>30</v>
      </c>
      <c r="C48" s="71">
        <f>'Day by Day Totals'!O9</f>
        <v>1707</v>
      </c>
      <c r="D48" s="75">
        <f>SUM(C48/C51)</f>
        <v>0.17204192703084056</v>
      </c>
    </row>
    <row r="49" spans="2:4" x14ac:dyDescent="0.25">
      <c r="B49" s="33" t="s">
        <v>31</v>
      </c>
      <c r="C49" s="71">
        <f>'Day by Day Totals'!R9</f>
        <v>1401</v>
      </c>
      <c r="D49" s="44">
        <f>SUM(C49/C51)</f>
        <v>0.14120137069139285</v>
      </c>
    </row>
    <row r="50" spans="2:4" x14ac:dyDescent="0.25">
      <c r="B50" s="33" t="s">
        <v>32</v>
      </c>
      <c r="C50" s="71">
        <f>'Day by Day Totals'!U9</f>
        <v>1658</v>
      </c>
      <c r="D50" s="44">
        <f>SUM(C50/C51)</f>
        <v>0.1671034065712558</v>
      </c>
    </row>
    <row r="51" spans="2:4" x14ac:dyDescent="0.25">
      <c r="B51" s="33" t="s">
        <v>92</v>
      </c>
      <c r="C51" s="71">
        <f>SUM(C44:C50)</f>
        <v>9922</v>
      </c>
      <c r="D51" s="72">
        <f>SUM(D44:D50)</f>
        <v>0.99999999999999989</v>
      </c>
    </row>
  </sheetData>
  <mergeCells count="25">
    <mergeCell ref="T2:W3"/>
    <mergeCell ref="V6:V12"/>
    <mergeCell ref="B15:E16"/>
    <mergeCell ref="D19:D25"/>
    <mergeCell ref="H15:K16"/>
    <mergeCell ref="J19:J25"/>
    <mergeCell ref="N15:Q16"/>
    <mergeCell ref="P19:P25"/>
    <mergeCell ref="T15:W16"/>
    <mergeCell ref="V19:V25"/>
    <mergeCell ref="D6:D12"/>
    <mergeCell ref="J6:J12"/>
    <mergeCell ref="B2:E3"/>
    <mergeCell ref="H2:K3"/>
    <mergeCell ref="N2:Q3"/>
    <mergeCell ref="P6:P12"/>
    <mergeCell ref="T28:W29"/>
    <mergeCell ref="V33:V39"/>
    <mergeCell ref="B41:D42"/>
    <mergeCell ref="B28:E29"/>
    <mergeCell ref="D33:D39"/>
    <mergeCell ref="H28:K29"/>
    <mergeCell ref="J33:J39"/>
    <mergeCell ref="N28:Q29"/>
    <mergeCell ref="P33:P39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F759-CF8C-4B75-803E-DE8094AE9923}">
  <dimension ref="B3:R46"/>
  <sheetViews>
    <sheetView showGridLines="0" tabSelected="1" workbookViewId="0">
      <selection activeCell="F14" sqref="F14"/>
    </sheetView>
  </sheetViews>
  <sheetFormatPr defaultRowHeight="18.75" x14ac:dyDescent="0.25"/>
  <cols>
    <col min="1" max="1" width="9.140625" style="5"/>
    <col min="2" max="2" width="18.42578125" style="5" customWidth="1"/>
    <col min="3" max="3" width="9.140625" style="35"/>
    <col min="4" max="4" width="9.140625" style="5"/>
    <col min="5" max="5" width="18.42578125" style="5" customWidth="1"/>
    <col min="6" max="6" width="10.28515625" style="35" bestFit="1" customWidth="1"/>
    <col min="7" max="7" width="9.140625" style="5"/>
    <col min="8" max="8" width="18.42578125" style="5" customWidth="1"/>
    <col min="9" max="9" width="9.140625" style="35"/>
    <col min="10" max="10" width="9.140625" style="5"/>
    <col min="11" max="11" width="18.42578125" style="5" customWidth="1"/>
    <col min="12" max="12" width="9.140625" style="35"/>
    <col min="13" max="13" width="9.140625" style="5"/>
    <col min="14" max="14" width="18.42578125" style="5" customWidth="1"/>
    <col min="15" max="15" width="9.140625" style="35"/>
    <col min="16" max="16" width="9.140625" style="5"/>
    <col min="17" max="17" width="18.42578125" style="5" customWidth="1"/>
    <col min="18" max="18" width="9.140625" style="35"/>
    <col min="19" max="16384" width="9.140625" style="5"/>
  </cols>
  <sheetData>
    <row r="3" spans="2:18" x14ac:dyDescent="0.25">
      <c r="B3" s="114" t="s">
        <v>8</v>
      </c>
      <c r="C3" s="114"/>
      <c r="E3" s="114" t="s">
        <v>75</v>
      </c>
      <c r="F3" s="114"/>
      <c r="H3" s="114" t="s">
        <v>9</v>
      </c>
      <c r="I3" s="114"/>
      <c r="K3" s="114" t="s">
        <v>10</v>
      </c>
      <c r="L3" s="114"/>
      <c r="N3" s="114" t="s">
        <v>11</v>
      </c>
      <c r="O3" s="114"/>
      <c r="Q3" s="114" t="s">
        <v>12</v>
      </c>
      <c r="R3" s="114"/>
    </row>
    <row r="5" spans="2:18" x14ac:dyDescent="0.25">
      <c r="B5" s="33" t="s">
        <v>1</v>
      </c>
      <c r="C5" s="34">
        <f>GETPIVOTDATA("Sum of AM FIELD",'Pivot Table'!$A$4)</f>
        <v>2557</v>
      </c>
      <c r="E5" s="33" t="s">
        <v>1</v>
      </c>
      <c r="F5" s="34">
        <f>GETPIVOTDATA("Sum of AM FIELD",'Pivot Table'!$A$16)</f>
        <v>2293</v>
      </c>
      <c r="H5" s="33" t="s">
        <v>1</v>
      </c>
      <c r="I5" s="34">
        <f>GETPIVOTDATA("Sum of AM FIELD",'Pivot Table'!$A$28)</f>
        <v>0</v>
      </c>
      <c r="K5" s="33" t="s">
        <v>1</v>
      </c>
      <c r="L5" s="34">
        <f>GETPIVOTDATA("Sum of AM FIELD",'Pivot Table'!$A$40)</f>
        <v>0</v>
      </c>
      <c r="N5" s="33" t="s">
        <v>1</v>
      </c>
      <c r="O5" s="34">
        <f>GETPIVOTDATA("Sum of AM FIELD",'Pivot Table'!$A$52)</f>
        <v>0</v>
      </c>
      <c r="Q5" s="33" t="s">
        <v>1</v>
      </c>
      <c r="R5" s="34">
        <f>GETPIVOTDATA("Sum of AM FIELD",'Pivot Table'!$A$64)</f>
        <v>0</v>
      </c>
    </row>
    <row r="6" spans="2:18" x14ac:dyDescent="0.25">
      <c r="B6" s="33" t="s">
        <v>2</v>
      </c>
      <c r="C6" s="34">
        <f>GETPIVOTDATA("Sum of PM FIELD",'Pivot Table'!$A$4)</f>
        <v>1728</v>
      </c>
      <c r="E6" s="33" t="s">
        <v>2</v>
      </c>
      <c r="F6" s="34">
        <f>GETPIVOTDATA("Sum of PM FIELD",'Pivot Table'!$A$16)</f>
        <v>1852</v>
      </c>
      <c r="H6" s="33" t="s">
        <v>2</v>
      </c>
      <c r="I6" s="34">
        <f>GETPIVOTDATA("Sum of PM FIELD",'Pivot Table'!$A$28)</f>
        <v>0</v>
      </c>
      <c r="K6" s="33" t="s">
        <v>2</v>
      </c>
      <c r="L6" s="34">
        <f>GETPIVOTDATA("Sum of PM FIELD",'Pivot Table'!$A$40)</f>
        <v>0</v>
      </c>
      <c r="N6" s="33" t="s">
        <v>2</v>
      </c>
      <c r="O6" s="34">
        <f>GETPIVOTDATA("Sum of PM FIELD",'Pivot Table'!$A$52)</f>
        <v>0</v>
      </c>
      <c r="Q6" s="33" t="s">
        <v>2</v>
      </c>
      <c r="R6" s="34">
        <f>GETPIVOTDATA("Sum of PM FIELD",'Pivot Table'!$A$64)</f>
        <v>0</v>
      </c>
    </row>
    <row r="7" spans="2:18" x14ac:dyDescent="0.25">
      <c r="B7" s="33" t="s">
        <v>99</v>
      </c>
      <c r="C7" s="34">
        <f>GETPIVOTDATA("Sum of AFTER 3PM",'Pivot Table'!$A$4)</f>
        <v>757</v>
      </c>
      <c r="E7" s="33" t="s">
        <v>99</v>
      </c>
      <c r="F7" s="34">
        <v>0</v>
      </c>
      <c r="H7" s="33" t="s">
        <v>99</v>
      </c>
      <c r="I7" s="34">
        <v>0</v>
      </c>
      <c r="K7" s="33" t="s">
        <v>99</v>
      </c>
      <c r="L7" s="34">
        <v>0</v>
      </c>
      <c r="N7" s="33" t="s">
        <v>99</v>
      </c>
      <c r="O7" s="34">
        <v>0</v>
      </c>
      <c r="Q7" s="33" t="s">
        <v>99</v>
      </c>
      <c r="R7" s="34">
        <v>0</v>
      </c>
    </row>
    <row r="8" spans="2:18" x14ac:dyDescent="0.25">
      <c r="B8" s="33" t="s">
        <v>3</v>
      </c>
      <c r="C8" s="34">
        <f>GETPIVOTDATA("Sum of TOTAL FIELD",'Pivot Table'!$A$4)</f>
        <v>5042</v>
      </c>
      <c r="E8" s="33" t="s">
        <v>3</v>
      </c>
      <c r="F8" s="34">
        <f>GETPIVOTDATA("Sum of TOTAL FIELD",'Pivot Table'!$A$16)</f>
        <v>4880</v>
      </c>
      <c r="H8" s="33" t="s">
        <v>3</v>
      </c>
      <c r="I8" s="34">
        <f>GETPIVOTDATA("Sum of TOTAL FIELD",'Pivot Table'!$A$28)</f>
        <v>0</v>
      </c>
      <c r="K8" s="33" t="s">
        <v>3</v>
      </c>
      <c r="L8" s="34">
        <f>GETPIVOTDATA("Sum of TOTAL FIELD",'Pivot Table'!$A$40)</f>
        <v>0</v>
      </c>
      <c r="N8" s="33" t="s">
        <v>3</v>
      </c>
      <c r="O8" s="34">
        <f>GETPIVOTDATA("Sum of TOTAL FIELD",'Pivot Table'!$A$52)</f>
        <v>0</v>
      </c>
      <c r="Q8" s="33" t="s">
        <v>3</v>
      </c>
      <c r="R8" s="34">
        <f>GETPIVOTDATA("Sum of TOTAL FIELD",'Pivot Table'!$A$64)</f>
        <v>0</v>
      </c>
    </row>
    <row r="9" spans="2:18" x14ac:dyDescent="0.25">
      <c r="B9" s="33" t="s">
        <v>76</v>
      </c>
      <c r="C9" s="34">
        <f>GETPIVOTDATA("Sum of No. GUESTS",'Pivot Table'!$A$4)</f>
        <v>997</v>
      </c>
      <c r="E9" s="33" t="s">
        <v>76</v>
      </c>
      <c r="F9" s="34">
        <f>GETPIVOTDATA("Sum of No. GUESTS",'Pivot Table'!$A$16)</f>
        <v>1066</v>
      </c>
      <c r="H9" s="33" t="s">
        <v>76</v>
      </c>
      <c r="I9" s="34">
        <f>GETPIVOTDATA("Sum of No. GUESTS",'Pivot Table'!$A$28)</f>
        <v>0</v>
      </c>
      <c r="K9" s="33" t="s">
        <v>76</v>
      </c>
      <c r="L9" s="34">
        <f>GETPIVOTDATA("Sum of No. GUESTS",'Pivot Table'!$A$40)</f>
        <v>0</v>
      </c>
      <c r="N9" s="33" t="s">
        <v>76</v>
      </c>
      <c r="O9" s="34">
        <f>GETPIVOTDATA("Sum of No. GUESTS",'Pivot Table'!$A$52)</f>
        <v>0</v>
      </c>
      <c r="Q9" s="33" t="s">
        <v>76</v>
      </c>
      <c r="R9" s="34">
        <f>GETPIVOTDATA("Sum of No. GUESTS",'Pivot Table'!$A$64)</f>
        <v>0</v>
      </c>
    </row>
    <row r="10" spans="2:18" s="42" customFormat="1" ht="37.5" x14ac:dyDescent="0.25">
      <c r="B10" s="41" t="s">
        <v>68</v>
      </c>
      <c r="C10" s="37">
        <f>SUM(C9/C8)</f>
        <v>0.1977389924633082</v>
      </c>
      <c r="E10" s="41" t="s">
        <v>68</v>
      </c>
      <c r="F10" s="37">
        <f>SUM(F9/F8)</f>
        <v>0.21844262295081968</v>
      </c>
      <c r="H10" s="41" t="s">
        <v>68</v>
      </c>
      <c r="I10" s="37" t="e">
        <f>SUM(I9/I8)</f>
        <v>#DIV/0!</v>
      </c>
      <c r="K10" s="41" t="s">
        <v>68</v>
      </c>
      <c r="L10" s="37" t="e">
        <f>SUM(L9/L8)</f>
        <v>#DIV/0!</v>
      </c>
      <c r="N10" s="41" t="s">
        <v>68</v>
      </c>
      <c r="O10" s="37" t="e">
        <f>SUM(O9/O8)</f>
        <v>#DIV/0!</v>
      </c>
      <c r="Q10" s="41" t="s">
        <v>68</v>
      </c>
      <c r="R10" s="37" t="e">
        <f>SUM(R9/R8)</f>
        <v>#DIV/0!</v>
      </c>
    </row>
    <row r="11" spans="2:18" x14ac:dyDescent="0.25">
      <c r="B11" s="32" t="s">
        <v>4</v>
      </c>
      <c r="C11" s="34">
        <f>GETPIVOTDATA("Sum of MEMBER",'Pivot Table'!$A$4)</f>
        <v>4026</v>
      </c>
      <c r="E11" s="32" t="s">
        <v>4</v>
      </c>
      <c r="F11" s="34">
        <f>GETPIVOTDATA("Sum of MEMBER",'Pivot Table'!$A$16)</f>
        <v>3798</v>
      </c>
      <c r="H11" s="32" t="s">
        <v>4</v>
      </c>
      <c r="I11" s="34">
        <f>GETPIVOTDATA("Sum of MEMBER",'Pivot Table'!$A$28)</f>
        <v>0</v>
      </c>
      <c r="K11" s="32" t="s">
        <v>4</v>
      </c>
      <c r="L11" s="34">
        <f>GETPIVOTDATA("Sum of MEMBER",'Pivot Table'!$A$40)</f>
        <v>0</v>
      </c>
      <c r="N11" s="32" t="s">
        <v>4</v>
      </c>
      <c r="O11" s="34">
        <f>GETPIVOTDATA("Sum of MEMBER",'Pivot Table'!$A$52)</f>
        <v>0</v>
      </c>
      <c r="Q11" s="32" t="s">
        <v>4</v>
      </c>
      <c r="R11" s="34">
        <f>GETPIVOTDATA("Sum of MEMBER",'Pivot Table'!$A$64)</f>
        <v>0</v>
      </c>
    </row>
    <row r="12" spans="2:18" x14ac:dyDescent="0.25">
      <c r="B12" s="33" t="s">
        <v>77</v>
      </c>
      <c r="C12" s="34">
        <f>GETPIVOTDATA("Sum of INTERSTATE",'Pivot Table'!$A$4)</f>
        <v>17</v>
      </c>
      <c r="E12" s="33" t="s">
        <v>77</v>
      </c>
      <c r="F12" s="34">
        <f>GETPIVOTDATA("Sum of MANAGER INTRO",'Pivot Table'!$A$16)</f>
        <v>61</v>
      </c>
      <c r="H12" s="33" t="s">
        <v>77</v>
      </c>
      <c r="I12" s="34">
        <f>GETPIVOTDATA("Sum of MANAGER INTRO",'Pivot Table'!$A$28)</f>
        <v>0</v>
      </c>
      <c r="K12" s="33" t="s">
        <v>77</v>
      </c>
      <c r="L12" s="34">
        <f>GETPIVOTDATA("Sum of MANAGER INTRO",'Pivot Table'!$A$40)</f>
        <v>0</v>
      </c>
      <c r="N12" s="33" t="s">
        <v>77</v>
      </c>
      <c r="O12" s="34">
        <f>GETPIVOTDATA("Sum of MANAGER INTRO",'Pivot Table'!$A$52)</f>
        <v>0</v>
      </c>
      <c r="Q12" s="33" t="s">
        <v>77</v>
      </c>
      <c r="R12" s="34">
        <f>GETPIVOTDATA("Sum of MANAGER INTRO",'Pivot Table'!$A$64)</f>
        <v>0</v>
      </c>
    </row>
    <row r="13" spans="2:18" x14ac:dyDescent="0.25">
      <c r="B13" s="33" t="s">
        <v>69</v>
      </c>
      <c r="C13" s="34">
        <f>GETPIVOTDATA("Sum of INTERSTATE",'Pivot Table'!$A$4)</f>
        <v>17</v>
      </c>
      <c r="E13" s="33" t="s">
        <v>69</v>
      </c>
      <c r="F13" s="34">
        <f>GETPIVOTDATA("Sum of INTERSTATE",'Pivot Table'!$A$16)</f>
        <v>17</v>
      </c>
      <c r="H13" s="33" t="s">
        <v>69</v>
      </c>
      <c r="I13" s="34">
        <f>GETPIVOTDATA("Sum of INTERSTATE",'Pivot Table'!$A$28)</f>
        <v>0</v>
      </c>
      <c r="K13" s="33" t="s">
        <v>69</v>
      </c>
      <c r="L13" s="34">
        <f>GETPIVOTDATA("Sum of INTERSTATE",'Pivot Table'!$A$40)</f>
        <v>0</v>
      </c>
      <c r="N13" s="33" t="s">
        <v>69</v>
      </c>
      <c r="O13" s="34">
        <f>GETPIVOTDATA("Sum of INTERSTATE",'Pivot Table'!$A$52)</f>
        <v>0</v>
      </c>
      <c r="Q13" s="33" t="s">
        <v>69</v>
      </c>
      <c r="R13" s="34">
        <f>GETPIVOTDATA("Sum of INTERSTATE",'Pivot Table'!$A$64)</f>
        <v>0</v>
      </c>
    </row>
    <row r="14" spans="2:18" x14ac:dyDescent="0.25">
      <c r="B14" s="33" t="s">
        <v>70</v>
      </c>
      <c r="C14" s="34">
        <f>GETPIVOTDATA("Sum of INTERNATIONAL",'Pivot Table'!$A$4)</f>
        <v>84</v>
      </c>
      <c r="E14" s="33" t="s">
        <v>70</v>
      </c>
      <c r="F14" s="34">
        <f>GETPIVOTDATA("Sum of INTERNATIONAL",'Pivot Table'!$A$16)</f>
        <v>84</v>
      </c>
      <c r="H14" s="33" t="s">
        <v>70</v>
      </c>
      <c r="I14" s="34">
        <f>GETPIVOTDATA("Sum of INTERNATIONAL",'Pivot Table'!$A$28)</f>
        <v>0</v>
      </c>
      <c r="K14" s="33" t="s">
        <v>70</v>
      </c>
      <c r="L14" s="34">
        <f>GETPIVOTDATA("Sum of INTERNATIONAL",'Pivot Table'!$A$40)</f>
        <v>0</v>
      </c>
      <c r="N14" s="33" t="s">
        <v>70</v>
      </c>
      <c r="O14" s="34">
        <f>GETPIVOTDATA("Sum of INTERNATIONAL",'Pivot Table'!$A$52)</f>
        <v>0</v>
      </c>
      <c r="Q14" s="33" t="s">
        <v>70</v>
      </c>
      <c r="R14" s="34">
        <f>GETPIVOTDATA("Sum of INTERNATIONAL",'Pivot Table'!$A$64)</f>
        <v>0</v>
      </c>
    </row>
    <row r="15" spans="2:18" x14ac:dyDescent="0.25">
      <c r="B15" s="33" t="s">
        <v>71</v>
      </c>
      <c r="C15" s="34">
        <f>GETPIVOTDATA("Sum of INDUSTRY GUEST",'Pivot Table'!$A$4)</f>
        <v>12</v>
      </c>
      <c r="E15" s="33" t="s">
        <v>71</v>
      </c>
      <c r="F15" s="34">
        <f>GETPIVOTDATA("Sum of INDUSTRY GUEST",'Pivot Table'!$A$16)</f>
        <v>7</v>
      </c>
      <c r="H15" s="33" t="s">
        <v>71</v>
      </c>
      <c r="I15" s="34">
        <f>GETPIVOTDATA("Sum of INDUSTRY GUEST",'Pivot Table'!$A$28)</f>
        <v>0</v>
      </c>
      <c r="K15" s="33" t="s">
        <v>71</v>
      </c>
      <c r="L15" s="34">
        <f>GETPIVOTDATA("Sum of INDUSTRY GUEST",'Pivot Table'!$A$40)</f>
        <v>0</v>
      </c>
      <c r="N15" s="33" t="s">
        <v>71</v>
      </c>
      <c r="O15" s="34">
        <f>GETPIVOTDATA("Sum of INDUSTRY GUEST",'Pivot Table'!$A$52)</f>
        <v>0</v>
      </c>
      <c r="Q15" s="33" t="s">
        <v>71</v>
      </c>
      <c r="R15" s="34">
        <f>GETPIVOTDATA("Sum of INDUSTRY GUEST",'Pivot Table'!$A$64)</f>
        <v>0</v>
      </c>
    </row>
    <row r="16" spans="2:18" x14ac:dyDescent="0.25">
      <c r="B16" s="33" t="s">
        <v>5</v>
      </c>
      <c r="C16" s="34">
        <f>GETPIVOTDATA("Sum of MEMB GUEST MICLUB",'Pivot Table'!$A$4)</f>
        <v>597</v>
      </c>
      <c r="E16" s="33" t="s">
        <v>5</v>
      </c>
      <c r="F16" s="34">
        <f>GETPIVOTDATA("Sum of MEMB GUEST MICLUB",'Pivot Table'!$A$16)</f>
        <v>414</v>
      </c>
      <c r="H16" s="33" t="s">
        <v>5</v>
      </c>
      <c r="I16" s="34">
        <f>GETPIVOTDATA("Sum of MEMB GUEST MICLUB",'Pivot Table'!$A$28)</f>
        <v>0</v>
      </c>
      <c r="K16" s="33" t="s">
        <v>5</v>
      </c>
      <c r="L16" s="34">
        <f>GETPIVOTDATA("Sum of MEMB GUEST MICLUB",'Pivot Table'!$A$40)</f>
        <v>0</v>
      </c>
      <c r="N16" s="33" t="s">
        <v>5</v>
      </c>
      <c r="O16" s="34">
        <f>GETPIVOTDATA("Sum of MEMB GUEST MICLUB",'Pivot Table'!$A$52)</f>
        <v>0</v>
      </c>
      <c r="Q16" s="33" t="s">
        <v>5</v>
      </c>
      <c r="R16" s="34">
        <f>GETPIVOTDATA("Sum of MEMB GUEST MICLUB",'Pivot Table'!$A$64)</f>
        <v>0</v>
      </c>
    </row>
    <row r="17" spans="2:18" ht="37.5" x14ac:dyDescent="0.25">
      <c r="B17" s="32" t="s">
        <v>72</v>
      </c>
      <c r="C17" s="34">
        <f>GETPIVOTDATA("Sum of MEMB GUEST UNACCOMPANIED",'Pivot Table'!$A$4)</f>
        <v>12</v>
      </c>
      <c r="E17" s="32" t="s">
        <v>72</v>
      </c>
      <c r="F17" s="34">
        <f>GETPIVOTDATA("Sum of MEMB GUEST UNACCOMPANIED",'Pivot Table'!$A$16)</f>
        <v>5</v>
      </c>
      <c r="H17" s="32" t="s">
        <v>72</v>
      </c>
      <c r="I17" s="34">
        <f>GETPIVOTDATA("Sum of MEMB GUEST UNACCOMPANIED",'Pivot Table'!$A$28)</f>
        <v>0</v>
      </c>
      <c r="K17" s="32" t="s">
        <v>72</v>
      </c>
      <c r="L17" s="34">
        <f>GETPIVOTDATA("Sum of MEMB GUEST UNACCOMPANIED",'Pivot Table'!$A$40)</f>
        <v>0</v>
      </c>
      <c r="N17" s="32" t="s">
        <v>72</v>
      </c>
      <c r="O17" s="34">
        <f>GETPIVOTDATA("Sum of MEMB GUEST UNACCOMPANIED",'Pivot Table'!$A$52)</f>
        <v>0</v>
      </c>
      <c r="Q17" s="32" t="s">
        <v>72</v>
      </c>
      <c r="R17" s="34">
        <f>GETPIVOTDATA("Sum of MEMB GUEST UNACCOMPANIED",'Pivot Table'!$A$64)</f>
        <v>0</v>
      </c>
    </row>
    <row r="18" spans="2:18" x14ac:dyDescent="0.25">
      <c r="B18" s="33" t="s">
        <v>6</v>
      </c>
      <c r="C18" s="34">
        <f>GETPIVOTDATA("Sum of CORPORATE",'Pivot Table'!$A$4)</f>
        <v>0</v>
      </c>
      <c r="E18" s="33" t="s">
        <v>6</v>
      </c>
      <c r="F18" s="34">
        <f>GETPIVOTDATA("Sum of CORPORATE",'Pivot Table'!$A$16)</f>
        <v>318</v>
      </c>
      <c r="H18" s="33" t="s">
        <v>6</v>
      </c>
      <c r="I18" s="34">
        <f>GETPIVOTDATA("Sum of CORPORATE",'Pivot Table'!$A$28)</f>
        <v>0</v>
      </c>
      <c r="K18" s="33" t="s">
        <v>6</v>
      </c>
      <c r="L18" s="34">
        <f>GETPIVOTDATA("Sum of CORPORATE",'Pivot Table'!$A$40)</f>
        <v>0</v>
      </c>
      <c r="N18" s="33" t="s">
        <v>6</v>
      </c>
      <c r="O18" s="34">
        <f>GETPIVOTDATA("Sum of CORPORATE",'Pivot Table'!$A$52)</f>
        <v>0</v>
      </c>
      <c r="Q18" s="33" t="s">
        <v>6</v>
      </c>
      <c r="R18" s="34">
        <f>GETPIVOTDATA("Sum of CORPORATE",'Pivot Table'!$A$64)</f>
        <v>0</v>
      </c>
    </row>
    <row r="19" spans="2:18" x14ac:dyDescent="0.25">
      <c r="B19" s="33" t="s">
        <v>93</v>
      </c>
      <c r="C19" s="34">
        <f>GETPIVOTDATA("Sum of EVENT",'Pivot Table'!$A$4)</f>
        <v>0</v>
      </c>
      <c r="E19" s="33" t="s">
        <v>93</v>
      </c>
      <c r="F19" s="34">
        <f>GETPIVOTDATA("Sum of EVENT",'Pivot Table'!$A$16)</f>
        <v>0</v>
      </c>
      <c r="H19" s="33" t="s">
        <v>93</v>
      </c>
      <c r="I19" s="34">
        <f>GETPIVOTDATA("Sum of EVENT",'Pivot Table'!$A$28)</f>
        <v>0</v>
      </c>
      <c r="K19" s="33" t="s">
        <v>93</v>
      </c>
      <c r="L19" s="34">
        <f>GETPIVOTDATA("Sum of EVENT",'Pivot Table'!$A$40)</f>
        <v>0</v>
      </c>
      <c r="N19" s="33" t="s">
        <v>93</v>
      </c>
      <c r="O19" s="34">
        <f>GETPIVOTDATA("Sum of EVENT",'Pivot Table'!$A$52)</f>
        <v>0</v>
      </c>
      <c r="Q19" s="33" t="s">
        <v>93</v>
      </c>
      <c r="R19" s="34">
        <f>GETPIVOTDATA("Sum of EVENT",'Pivot Table'!$A$64)</f>
        <v>0</v>
      </c>
    </row>
    <row r="20" spans="2:18" x14ac:dyDescent="0.25">
      <c r="B20" s="33" t="s">
        <v>78</v>
      </c>
      <c r="C20" s="34">
        <f>GETPIVOTDATA("Sum of NON-PLAYING",'Pivot Table'!$A$4)</f>
        <v>19</v>
      </c>
      <c r="E20" s="33" t="s">
        <v>78</v>
      </c>
      <c r="F20" s="34">
        <f>GETPIVOTDATA("Sum of NON-PLAYING",'Pivot Table'!$A$16)</f>
        <v>16</v>
      </c>
      <c r="H20" s="33" t="s">
        <v>78</v>
      </c>
      <c r="I20" s="34">
        <f>GETPIVOTDATA("Sum of NON-PLAYING",'Pivot Table'!$A$28)</f>
        <v>0</v>
      </c>
      <c r="K20" s="33" t="s">
        <v>78</v>
      </c>
      <c r="L20" s="34">
        <f>GETPIVOTDATA("Sum of NON-PLAYING",'Pivot Table'!$A$40)</f>
        <v>0</v>
      </c>
      <c r="N20" s="33" t="s">
        <v>78</v>
      </c>
      <c r="O20" s="34">
        <f>GETPIVOTDATA("Sum of NON-PLAYING",'Pivot Table'!$A$52)</f>
        <v>0</v>
      </c>
      <c r="Q20" s="33" t="s">
        <v>78</v>
      </c>
      <c r="R20" s="34">
        <f>GETPIVOTDATA("Sum of NON-PLAYING",'Pivot Table'!$A$64)</f>
        <v>0</v>
      </c>
    </row>
    <row r="21" spans="2:18" x14ac:dyDescent="0.25">
      <c r="B21" s="33" t="s">
        <v>73</v>
      </c>
      <c r="C21" s="34">
        <f>GETPIVOTDATA("Sum of VOUCHER",'Pivot Table'!$A$4)</f>
        <v>141</v>
      </c>
      <c r="E21" s="33" t="s">
        <v>73</v>
      </c>
      <c r="F21" s="34">
        <f>GETPIVOTDATA("Sum of VOUCHER",'Pivot Table'!$A$16)</f>
        <v>77</v>
      </c>
      <c r="H21" s="33" t="s">
        <v>73</v>
      </c>
      <c r="I21" s="34">
        <f>GETPIVOTDATA("Sum of VOUCHER",'Pivot Table'!$A$28)</f>
        <v>0</v>
      </c>
      <c r="K21" s="33" t="s">
        <v>73</v>
      </c>
      <c r="L21" s="34">
        <f>GETPIVOTDATA("Sum of VOUCHER",'Pivot Table'!$A$40)</f>
        <v>0</v>
      </c>
      <c r="N21" s="33" t="s">
        <v>73</v>
      </c>
      <c r="O21" s="34">
        <f>GETPIVOTDATA("Sum of VOUCHER",'Pivot Table'!$A$52)</f>
        <v>0</v>
      </c>
      <c r="Q21" s="33" t="s">
        <v>73</v>
      </c>
      <c r="R21" s="34">
        <f>GETPIVOTDATA("Sum of VOUCHER",'Pivot Table'!$A$64)</f>
        <v>0</v>
      </c>
    </row>
    <row r="22" spans="2:18" x14ac:dyDescent="0.25">
      <c r="B22" s="33" t="s">
        <v>7</v>
      </c>
      <c r="C22" s="34">
        <f>GETPIVOTDATA("Sum of RECIP",'Pivot Table'!$A$4)</f>
        <v>95</v>
      </c>
      <c r="E22" s="33" t="s">
        <v>7</v>
      </c>
      <c r="F22" s="34">
        <f>GETPIVOTDATA("Sum of RECIP",'Pivot Table'!$A$16)</f>
        <v>83</v>
      </c>
      <c r="H22" s="33" t="s">
        <v>7</v>
      </c>
      <c r="I22" s="34">
        <f>GETPIVOTDATA("Sum of RECIP",'Pivot Table'!$A$28)</f>
        <v>0</v>
      </c>
      <c r="K22" s="33" t="s">
        <v>7</v>
      </c>
      <c r="L22" s="34">
        <f>GETPIVOTDATA("Sum of RECIP",'Pivot Table'!$A$40)</f>
        <v>0</v>
      </c>
      <c r="N22" s="33" t="s">
        <v>7</v>
      </c>
      <c r="O22" s="34">
        <f>GETPIVOTDATA("Sum of RECIP",'Pivot Table'!$A$52)</f>
        <v>0</v>
      </c>
      <c r="Q22" s="33" t="s">
        <v>7</v>
      </c>
      <c r="R22" s="34">
        <f>GETPIVOTDATA("Sum of RECIP",'Pivot Table'!$A$64)</f>
        <v>0</v>
      </c>
    </row>
    <row r="23" spans="2:18" x14ac:dyDescent="0.25">
      <c r="B23" s="33" t="s">
        <v>74</v>
      </c>
      <c r="C23" s="34">
        <f>GETPIVOTDATA("Sum of COMP",'Pivot Table'!$A$4)</f>
        <v>3208</v>
      </c>
      <c r="E23" s="33" t="s">
        <v>74</v>
      </c>
      <c r="F23" s="34">
        <f>GETPIVOTDATA("Sum of COMP",'Pivot Table'!$A$16)</f>
        <v>2375</v>
      </c>
      <c r="H23" s="33" t="s">
        <v>74</v>
      </c>
      <c r="I23" s="34">
        <f>GETPIVOTDATA("Sum of COMP",'Pivot Table'!$A$28)</f>
        <v>0</v>
      </c>
      <c r="K23" s="33" t="s">
        <v>74</v>
      </c>
      <c r="L23" s="34">
        <f>GETPIVOTDATA("Sum of COMP",'Pivot Table'!$A$40)</f>
        <v>0</v>
      </c>
      <c r="N23" s="33" t="s">
        <v>74</v>
      </c>
      <c r="O23" s="34">
        <f>GETPIVOTDATA("Sum of COMP",'Pivot Table'!$A$52)</f>
        <v>0</v>
      </c>
      <c r="Q23" s="33" t="s">
        <v>74</v>
      </c>
      <c r="R23" s="34">
        <f>GETPIVOTDATA("Sum of COMP",'Pivot Table'!$A$64)</f>
        <v>0</v>
      </c>
    </row>
    <row r="26" spans="2:18" x14ac:dyDescent="0.25">
      <c r="B26" s="115" t="s">
        <v>13</v>
      </c>
      <c r="C26" s="116"/>
      <c r="E26" s="115" t="s">
        <v>14</v>
      </c>
      <c r="F26" s="116"/>
      <c r="H26" s="114" t="s">
        <v>15</v>
      </c>
      <c r="I26" s="114"/>
      <c r="K26" s="114" t="s">
        <v>16</v>
      </c>
      <c r="L26" s="114"/>
      <c r="N26" s="114" t="s">
        <v>60</v>
      </c>
      <c r="O26" s="114"/>
      <c r="Q26" s="114" t="s">
        <v>17</v>
      </c>
      <c r="R26" s="114"/>
    </row>
    <row r="28" spans="2:18" x14ac:dyDescent="0.25">
      <c r="B28" s="33" t="s">
        <v>1</v>
      </c>
      <c r="C28" s="34">
        <f>GETPIVOTDATA("Sum of AM FIELD",'Pivot Table'!$A$76)</f>
        <v>0</v>
      </c>
      <c r="E28" s="33" t="s">
        <v>1</v>
      </c>
      <c r="F28" s="34">
        <f>GETPIVOTDATA("Sum of AM FIELD",'Pivot Table'!$A$88)</f>
        <v>0</v>
      </c>
      <c r="H28" s="33" t="s">
        <v>1</v>
      </c>
      <c r="I28" s="34">
        <f>GETPIVOTDATA("Sum of AM FIELD",'Pivot Table'!$A$100)</f>
        <v>0</v>
      </c>
      <c r="K28" s="33" t="s">
        <v>1</v>
      </c>
      <c r="L28" s="34">
        <f>GETPIVOTDATA("Sum of AM FIELD",'Pivot Table'!$A$112)</f>
        <v>0</v>
      </c>
      <c r="N28" s="33" t="s">
        <v>1</v>
      </c>
      <c r="O28" s="34">
        <f>GETPIVOTDATA("Sum of AM FIELD",'Pivot Table'!$A$124)</f>
        <v>0</v>
      </c>
      <c r="Q28" s="33" t="s">
        <v>1</v>
      </c>
      <c r="R28" s="34">
        <f>GETPIVOTDATA("Sum of AM FIELD",'Pivot Table'!$A$136)</f>
        <v>0</v>
      </c>
    </row>
    <row r="29" spans="2:18" x14ac:dyDescent="0.25">
      <c r="B29" s="33" t="s">
        <v>2</v>
      </c>
      <c r="C29" s="34">
        <f>GETPIVOTDATA("Sum of PM FIELD",'Pivot Table'!$A$76)</f>
        <v>0</v>
      </c>
      <c r="E29" s="33" t="s">
        <v>2</v>
      </c>
      <c r="F29" s="34">
        <f>GETPIVOTDATA("Sum of PM FIELD",'Pivot Table'!$A$88)</f>
        <v>0</v>
      </c>
      <c r="H29" s="33" t="s">
        <v>2</v>
      </c>
      <c r="I29" s="34">
        <f>GETPIVOTDATA("Sum of PM FIELD",'Pivot Table'!$A$100)</f>
        <v>0</v>
      </c>
      <c r="K29" s="33" t="s">
        <v>2</v>
      </c>
      <c r="L29" s="34">
        <f>GETPIVOTDATA("Sum of PM FIELD",'Pivot Table'!$A$112)</f>
        <v>0</v>
      </c>
      <c r="N29" s="33" t="s">
        <v>2</v>
      </c>
      <c r="O29" s="34">
        <f>GETPIVOTDATA("Sum of PM FIELD",'Pivot Table'!$A$124)</f>
        <v>0</v>
      </c>
      <c r="Q29" s="33" t="s">
        <v>2</v>
      </c>
      <c r="R29" s="34">
        <f>GETPIVOTDATA("Sum of PM FIELD",'Pivot Table'!$A$136)</f>
        <v>0</v>
      </c>
    </row>
    <row r="30" spans="2:18" x14ac:dyDescent="0.25">
      <c r="B30" s="33" t="s">
        <v>99</v>
      </c>
      <c r="C30" s="34">
        <v>0</v>
      </c>
      <c r="E30" s="33" t="s">
        <v>99</v>
      </c>
      <c r="F30" s="34">
        <v>0</v>
      </c>
      <c r="H30" s="33" t="s">
        <v>99</v>
      </c>
      <c r="I30" s="34">
        <v>0</v>
      </c>
      <c r="K30" s="33" t="s">
        <v>99</v>
      </c>
      <c r="L30" s="34">
        <f>GETPIVOTDATA("Sum of AFTER 3PM",'Pivot Table'!$A$112)</f>
        <v>0</v>
      </c>
      <c r="N30" s="33" t="s">
        <v>99</v>
      </c>
      <c r="O30" s="34">
        <f>GETPIVOTDATA("Sum of AFTER 3PM",'Pivot Table'!$A$124)</f>
        <v>0</v>
      </c>
      <c r="Q30" s="33" t="s">
        <v>99</v>
      </c>
      <c r="R30" s="34">
        <f>GETPIVOTDATA("Sum of AFTER 3PM",'Pivot Table'!$A$136)</f>
        <v>0</v>
      </c>
    </row>
    <row r="31" spans="2:18" x14ac:dyDescent="0.25">
      <c r="B31" s="33" t="s">
        <v>3</v>
      </c>
      <c r="C31" s="34">
        <f>GETPIVOTDATA("Sum of TOTAL FIELD",'Pivot Table'!$A$76)</f>
        <v>0</v>
      </c>
      <c r="E31" s="33" t="s">
        <v>3</v>
      </c>
      <c r="F31" s="34">
        <f>SUM(F28:F29)</f>
        <v>0</v>
      </c>
      <c r="H31" s="33" t="s">
        <v>3</v>
      </c>
      <c r="I31" s="34">
        <f>GETPIVOTDATA("Sum of TOTAL FIELD",'Pivot Table'!$A$100)</f>
        <v>0</v>
      </c>
      <c r="K31" s="33" t="s">
        <v>3</v>
      </c>
      <c r="L31" s="34">
        <f>GETPIVOTDATA("Sum of TOTAL FIELD",'Pivot Table'!$A$112)</f>
        <v>0</v>
      </c>
      <c r="N31" s="33" t="s">
        <v>3</v>
      </c>
      <c r="O31" s="34">
        <f>GETPIVOTDATA("Sum of TOTAL FIELD",'Pivot Table'!$A$124)</f>
        <v>0</v>
      </c>
      <c r="Q31" s="33" t="s">
        <v>3</v>
      </c>
      <c r="R31" s="34">
        <f>GETPIVOTDATA("Sum of TOTAL FIELD",'Pivot Table'!$A$136)</f>
        <v>0</v>
      </c>
    </row>
    <row r="32" spans="2:18" x14ac:dyDescent="0.25">
      <c r="B32" s="33" t="s">
        <v>76</v>
      </c>
      <c r="C32" s="34">
        <f>GETPIVOTDATA("Sum of No. GUESTS",'Pivot Table'!$A$76)</f>
        <v>0</v>
      </c>
      <c r="E32" s="33" t="s">
        <v>76</v>
      </c>
      <c r="F32" s="34">
        <f>GETPIVOTDATA("Sum of No. GUESTS",'Pivot Table'!$A$88)</f>
        <v>0</v>
      </c>
      <c r="H32" s="33" t="s">
        <v>76</v>
      </c>
      <c r="I32" s="34">
        <f>GETPIVOTDATA("Sum of No. GUESTS",'Pivot Table'!$A$100)</f>
        <v>0</v>
      </c>
      <c r="K32" s="33" t="s">
        <v>76</v>
      </c>
      <c r="L32" s="34">
        <f>GETPIVOTDATA("Sum of No. GUESTS",'Pivot Table'!$A$112)</f>
        <v>0</v>
      </c>
      <c r="N32" s="33" t="s">
        <v>76</v>
      </c>
      <c r="O32" s="34">
        <f>GETPIVOTDATA("Sum of No. GUESTS",'Pivot Table'!$A$124)</f>
        <v>0</v>
      </c>
      <c r="Q32" s="33" t="s">
        <v>76</v>
      </c>
      <c r="R32" s="34">
        <f>GETPIVOTDATA("Sum of No. GUESTS",'Pivot Table'!$A$136)</f>
        <v>0</v>
      </c>
    </row>
    <row r="33" spans="2:18" s="42" customFormat="1" ht="37.5" x14ac:dyDescent="0.25">
      <c r="B33" s="41" t="s">
        <v>68</v>
      </c>
      <c r="C33" s="37" t="e">
        <f>SUM(C32/C31)</f>
        <v>#DIV/0!</v>
      </c>
      <c r="E33" s="41" t="s">
        <v>68</v>
      </c>
      <c r="F33" s="37" t="e">
        <f>SUM(F32/F31)</f>
        <v>#DIV/0!</v>
      </c>
      <c r="H33" s="41" t="s">
        <v>68</v>
      </c>
      <c r="I33" s="37" t="e">
        <f>SUM(I32/I31)</f>
        <v>#DIV/0!</v>
      </c>
      <c r="K33" s="41" t="s">
        <v>68</v>
      </c>
      <c r="L33" s="37" t="e">
        <f>SUM(L32/L31)</f>
        <v>#DIV/0!</v>
      </c>
      <c r="N33" s="41" t="s">
        <v>68</v>
      </c>
      <c r="O33" s="37" t="e">
        <f>SUM(O32/O31)</f>
        <v>#DIV/0!</v>
      </c>
      <c r="Q33" s="41" t="s">
        <v>68</v>
      </c>
      <c r="R33" s="37" t="e">
        <f>SUM(R32/R31)</f>
        <v>#DIV/0!</v>
      </c>
    </row>
    <row r="34" spans="2:18" x14ac:dyDescent="0.25">
      <c r="B34" s="32" t="s">
        <v>4</v>
      </c>
      <c r="C34" s="34">
        <f>GETPIVOTDATA("Sum of MEMBER",'Pivot Table'!$A$76)</f>
        <v>0</v>
      </c>
      <c r="E34" s="32" t="s">
        <v>4</v>
      </c>
      <c r="F34" s="34">
        <f>GETPIVOTDATA("Sum of MEMBER",'Pivot Table'!$A$88)</f>
        <v>0</v>
      </c>
      <c r="H34" s="32" t="s">
        <v>4</v>
      </c>
      <c r="I34" s="34">
        <f>GETPIVOTDATA("Sum of MEMBER",'Pivot Table'!$A$100)</f>
        <v>0</v>
      </c>
      <c r="K34" s="32" t="s">
        <v>4</v>
      </c>
      <c r="L34" s="34">
        <f>GETPIVOTDATA("Sum of MEMBER",'Pivot Table'!$A$112)</f>
        <v>0</v>
      </c>
      <c r="N34" s="32" t="s">
        <v>4</v>
      </c>
      <c r="O34" s="34">
        <f>GETPIVOTDATA("Sum of MEMBER",'Pivot Table'!$A$124)</f>
        <v>0</v>
      </c>
      <c r="Q34" s="32" t="s">
        <v>4</v>
      </c>
      <c r="R34" s="34">
        <f>GETPIVOTDATA("Sum of MEMBER",'Pivot Table'!$A$136)</f>
        <v>0</v>
      </c>
    </row>
    <row r="35" spans="2:18" x14ac:dyDescent="0.25">
      <c r="B35" s="33" t="s">
        <v>77</v>
      </c>
      <c r="C35" s="34">
        <f>GETPIVOTDATA("Sum of MANAGER INTRO",'Pivot Table'!$A$76)</f>
        <v>0</v>
      </c>
      <c r="E35" s="33" t="s">
        <v>77</v>
      </c>
      <c r="F35" s="34">
        <f>GETPIVOTDATA("Sum of MANAGER INTRO",'Pivot Table'!$A$88)</f>
        <v>0</v>
      </c>
      <c r="H35" s="33" t="s">
        <v>77</v>
      </c>
      <c r="I35" s="34">
        <f>GETPIVOTDATA("Sum of MANAGER INTRO",'Pivot Table'!$A$100)</f>
        <v>0</v>
      </c>
      <c r="K35" s="33" t="s">
        <v>77</v>
      </c>
      <c r="L35" s="34">
        <f>GETPIVOTDATA("Sum of MANAGER INTRO",'Pivot Table'!$A$112)</f>
        <v>0</v>
      </c>
      <c r="N35" s="33" t="s">
        <v>77</v>
      </c>
      <c r="O35" s="34">
        <f>GETPIVOTDATA("Sum of MANAGER INTRO",'Pivot Table'!$A$124)</f>
        <v>0</v>
      </c>
      <c r="Q35" s="33" t="s">
        <v>77</v>
      </c>
      <c r="R35" s="34">
        <f>GETPIVOTDATA("Sum of MANAGER INTRO",'Pivot Table'!$A$136)</f>
        <v>0</v>
      </c>
    </row>
    <row r="36" spans="2:18" x14ac:dyDescent="0.25">
      <c r="B36" s="33" t="s">
        <v>69</v>
      </c>
      <c r="C36" s="34">
        <f>GETPIVOTDATA("Sum of INTERSTATE",'Pivot Table'!$A$76)</f>
        <v>0</v>
      </c>
      <c r="E36" s="33" t="s">
        <v>69</v>
      </c>
      <c r="F36" s="34">
        <f>GETPIVOTDATA("Sum of INTERSTATE",'Pivot Table'!$A$88)</f>
        <v>0</v>
      </c>
      <c r="H36" s="33" t="s">
        <v>69</v>
      </c>
      <c r="I36" s="34">
        <f>GETPIVOTDATA("Sum of INTERSTATE",'Pivot Table'!$A$100)</f>
        <v>0</v>
      </c>
      <c r="K36" s="33" t="s">
        <v>69</v>
      </c>
      <c r="L36" s="34">
        <f>GETPIVOTDATA("Sum of INTERSTATE",'Pivot Table'!$A$112)</f>
        <v>0</v>
      </c>
      <c r="N36" s="33" t="s">
        <v>69</v>
      </c>
      <c r="O36" s="34">
        <f>GETPIVOTDATA("Sum of INTERSTATE",'Pivot Table'!$A$124)</f>
        <v>0</v>
      </c>
      <c r="Q36" s="33" t="s">
        <v>69</v>
      </c>
      <c r="R36" s="34">
        <f>GETPIVOTDATA("Sum of INTERSTATE",'Pivot Table'!$A$136)</f>
        <v>0</v>
      </c>
    </row>
    <row r="37" spans="2:18" x14ac:dyDescent="0.25">
      <c r="B37" s="33" t="s">
        <v>70</v>
      </c>
      <c r="C37" s="34">
        <f>GETPIVOTDATA("Sum of INTERNATIONAL",'Pivot Table'!$A$76)</f>
        <v>0</v>
      </c>
      <c r="E37" s="33" t="s">
        <v>70</v>
      </c>
      <c r="F37" s="34">
        <f>GETPIVOTDATA("Sum of INTERNATIONAL",'Pivot Table'!$A$88)</f>
        <v>0</v>
      </c>
      <c r="H37" s="33" t="s">
        <v>70</v>
      </c>
      <c r="I37" s="34">
        <f>GETPIVOTDATA("Sum of INTERNATIONAL",'Pivot Table'!$A$100)</f>
        <v>0</v>
      </c>
      <c r="K37" s="33" t="s">
        <v>70</v>
      </c>
      <c r="L37" s="34">
        <f>GETPIVOTDATA("Sum of INTERNATIONAL",'Pivot Table'!$A$112)</f>
        <v>0</v>
      </c>
      <c r="N37" s="33" t="s">
        <v>70</v>
      </c>
      <c r="O37" s="34">
        <f>GETPIVOTDATA("Sum of INTERNATIONAL",'Pivot Table'!$A$124)</f>
        <v>0</v>
      </c>
      <c r="Q37" s="33" t="s">
        <v>70</v>
      </c>
      <c r="R37" s="34">
        <f>GETPIVOTDATA("Sum of INTERNATIONAL",'Pivot Table'!$A$136)</f>
        <v>0</v>
      </c>
    </row>
    <row r="38" spans="2:18" x14ac:dyDescent="0.25">
      <c r="B38" s="33" t="s">
        <v>71</v>
      </c>
      <c r="C38" s="34">
        <f>GETPIVOTDATA("Sum of INDUSTRY GUEST",'Pivot Table'!$A$76)</f>
        <v>0</v>
      </c>
      <c r="E38" s="33" t="s">
        <v>71</v>
      </c>
      <c r="F38" s="34">
        <f>GETPIVOTDATA("Sum of INDUSTRY GUEST",'Pivot Table'!$A$88)</f>
        <v>0</v>
      </c>
      <c r="H38" s="33" t="s">
        <v>71</v>
      </c>
      <c r="I38" s="34">
        <f>GETPIVOTDATA("Sum of INDUSTRY GUEST",'Pivot Table'!$A$100)</f>
        <v>0</v>
      </c>
      <c r="K38" s="33" t="s">
        <v>71</v>
      </c>
      <c r="L38" s="34">
        <f>GETPIVOTDATA("Sum of INDUSTRY GUEST",'Pivot Table'!$A$112)</f>
        <v>0</v>
      </c>
      <c r="N38" s="33" t="s">
        <v>71</v>
      </c>
      <c r="O38" s="34">
        <f>GETPIVOTDATA("Sum of INDUSTRY GUEST",'Pivot Table'!$A$124)</f>
        <v>0</v>
      </c>
      <c r="Q38" s="33" t="s">
        <v>71</v>
      </c>
      <c r="R38" s="34">
        <f>GETPIVOTDATA("Sum of INDUSTRY GUEST",'Pivot Table'!$A$136)</f>
        <v>0</v>
      </c>
    </row>
    <row r="39" spans="2:18" x14ac:dyDescent="0.25">
      <c r="B39" s="33" t="s">
        <v>5</v>
      </c>
      <c r="C39" s="34">
        <f>GETPIVOTDATA("Sum of MEMB GUEST MICLUB",'Pivot Table'!$A$76)</f>
        <v>0</v>
      </c>
      <c r="E39" s="33" t="s">
        <v>5</v>
      </c>
      <c r="F39" s="34">
        <f>GETPIVOTDATA("Sum of MEMB GUEST MICLUB",'Pivot Table'!$A$88)</f>
        <v>0</v>
      </c>
      <c r="H39" s="33" t="s">
        <v>5</v>
      </c>
      <c r="I39" s="34">
        <f>GETPIVOTDATA("Sum of MEMB GUEST MICLUB",'Pivot Table'!$A$100)</f>
        <v>0</v>
      </c>
      <c r="K39" s="33" t="s">
        <v>5</v>
      </c>
      <c r="L39" s="34">
        <f>GETPIVOTDATA("Sum of MEMB GUEST MICLUB",'Pivot Table'!$A$112)</f>
        <v>0</v>
      </c>
      <c r="N39" s="33" t="s">
        <v>5</v>
      </c>
      <c r="O39" s="34">
        <f>GETPIVOTDATA("Sum of MEMB GUEST MICLUB",'Pivot Table'!$A$124)</f>
        <v>0</v>
      </c>
      <c r="Q39" s="33" t="s">
        <v>5</v>
      </c>
      <c r="R39" s="34">
        <f>GETPIVOTDATA("Sum of MEMB GUEST MICLUB",'Pivot Table'!$A$136)</f>
        <v>0</v>
      </c>
    </row>
    <row r="40" spans="2:18" ht="37.5" x14ac:dyDescent="0.25">
      <c r="B40" s="32" t="s">
        <v>72</v>
      </c>
      <c r="C40" s="34">
        <f>GETPIVOTDATA("Sum of MEMB GUEST UNACCOMPANIED",'Pivot Table'!$A$76)</f>
        <v>0</v>
      </c>
      <c r="E40" s="32" t="s">
        <v>72</v>
      </c>
      <c r="F40" s="34">
        <f>GETPIVOTDATA("Sum of MEMB GUEST UNACCOMPANIED",'Pivot Table'!$A$88)</f>
        <v>0</v>
      </c>
      <c r="H40" s="32" t="s">
        <v>72</v>
      </c>
      <c r="I40" s="34">
        <f>GETPIVOTDATA("Sum of MEMB GUEST UNACCOMPANIED",'Pivot Table'!$A$100)</f>
        <v>0</v>
      </c>
      <c r="K40" s="32" t="s">
        <v>72</v>
      </c>
      <c r="L40" s="34">
        <f>GETPIVOTDATA("Sum of MEMB GUEST UNACCOMPANIED",'Pivot Table'!$A$112)</f>
        <v>0</v>
      </c>
      <c r="N40" s="32" t="s">
        <v>72</v>
      </c>
      <c r="O40" s="34">
        <f>GETPIVOTDATA("Sum of MEMB GUEST UNACCOMPANIED",'Pivot Table'!$A$124)</f>
        <v>0</v>
      </c>
      <c r="Q40" s="32" t="s">
        <v>72</v>
      </c>
      <c r="R40" s="34">
        <f>GETPIVOTDATA("Sum of MEMB GUEST UNACCOMPANIED",'Pivot Table'!$A$136)</f>
        <v>0</v>
      </c>
    </row>
    <row r="41" spans="2:18" x14ac:dyDescent="0.25">
      <c r="B41" s="33" t="s">
        <v>6</v>
      </c>
      <c r="C41" s="34">
        <f>GETPIVOTDATA("Sum of CORPORATE",'Pivot Table'!$A$76)</f>
        <v>0</v>
      </c>
      <c r="E41" s="33" t="s">
        <v>6</v>
      </c>
      <c r="F41" s="34">
        <f>GETPIVOTDATA("Sum of CORPORATE",'Pivot Table'!$A$88)</f>
        <v>0</v>
      </c>
      <c r="H41" s="33" t="s">
        <v>6</v>
      </c>
      <c r="I41" s="34">
        <f>GETPIVOTDATA("Sum of CORPORATE",'Pivot Table'!$A$100)</f>
        <v>0</v>
      </c>
      <c r="K41" s="33" t="s">
        <v>6</v>
      </c>
      <c r="L41" s="34">
        <f>GETPIVOTDATA("Sum of CORPORATE",'Pivot Table'!$A$112)</f>
        <v>0</v>
      </c>
      <c r="N41" s="33" t="s">
        <v>6</v>
      </c>
      <c r="O41" s="34">
        <f>GETPIVOTDATA("Sum of CORPORATE",'Pivot Table'!$A$124)</f>
        <v>0</v>
      </c>
      <c r="Q41" s="33" t="s">
        <v>6</v>
      </c>
      <c r="R41" s="34">
        <f>GETPIVOTDATA("Sum of CORPORATE",'Pivot Table'!$A$136)</f>
        <v>0</v>
      </c>
    </row>
    <row r="42" spans="2:18" x14ac:dyDescent="0.25">
      <c r="B42" s="33" t="s">
        <v>93</v>
      </c>
      <c r="C42" s="34">
        <f>GETPIVOTDATA("Sum of EVENT",'Pivot Table'!$A$76)</f>
        <v>0</v>
      </c>
      <c r="E42" s="33" t="s">
        <v>93</v>
      </c>
      <c r="F42" s="34">
        <f>GETPIVOTDATA("Sum of EVENT",'Pivot Table'!$A$88)</f>
        <v>0</v>
      </c>
      <c r="H42" s="33" t="s">
        <v>93</v>
      </c>
      <c r="I42" s="34">
        <f>GETPIVOTDATA("Sum of EVENT",'Pivot Table'!$A$100)</f>
        <v>0</v>
      </c>
      <c r="K42" s="33" t="s">
        <v>93</v>
      </c>
      <c r="L42" s="34">
        <f>GETPIVOTDATA("Sum of EVENT",'Pivot Table'!$A$112)</f>
        <v>0</v>
      </c>
      <c r="N42" s="33" t="s">
        <v>93</v>
      </c>
      <c r="O42" s="34">
        <f>GETPIVOTDATA("Sum of EVENT",'Pivot Table'!$A$124)</f>
        <v>0</v>
      </c>
      <c r="Q42" s="33" t="s">
        <v>93</v>
      </c>
      <c r="R42" s="34">
        <f>GETPIVOTDATA("Sum of EVENT",'Pivot Table'!$A$136)</f>
        <v>0</v>
      </c>
    </row>
    <row r="43" spans="2:18" x14ac:dyDescent="0.25">
      <c r="B43" s="33" t="s">
        <v>78</v>
      </c>
      <c r="C43" s="34">
        <f>GETPIVOTDATA("Sum of NON-PLAYING",'Pivot Table'!$A$76)</f>
        <v>0</v>
      </c>
      <c r="E43" s="33" t="s">
        <v>78</v>
      </c>
      <c r="F43" s="34">
        <f>GETPIVOTDATA("Sum of NON-PLAYING",'Pivot Table'!$A$88)</f>
        <v>0</v>
      </c>
      <c r="H43" s="33" t="s">
        <v>78</v>
      </c>
      <c r="I43" s="34">
        <f>GETPIVOTDATA("Sum of NON-PLAYING",'Pivot Table'!$A$100)</f>
        <v>0</v>
      </c>
      <c r="K43" s="33" t="s">
        <v>78</v>
      </c>
      <c r="L43" s="34">
        <f>GETPIVOTDATA("Sum of NON-PLAYING",'Pivot Table'!$A$112)</f>
        <v>0</v>
      </c>
      <c r="N43" s="33" t="s">
        <v>78</v>
      </c>
      <c r="O43" s="34">
        <f>GETPIVOTDATA("Sum of NON-PLAYING",'Pivot Table'!$A$124)</f>
        <v>0</v>
      </c>
      <c r="Q43" s="33" t="s">
        <v>78</v>
      </c>
      <c r="R43" s="34">
        <f>GETPIVOTDATA("Sum of NON-PLAYING",'Pivot Table'!$A$136)</f>
        <v>0</v>
      </c>
    </row>
    <row r="44" spans="2:18" x14ac:dyDescent="0.25">
      <c r="B44" s="33" t="s">
        <v>73</v>
      </c>
      <c r="C44" s="34">
        <f>GETPIVOTDATA("Sum of VOUCHER",'Pivot Table'!$A$76)</f>
        <v>0</v>
      </c>
      <c r="E44" s="33" t="s">
        <v>73</v>
      </c>
      <c r="F44" s="34">
        <f>GETPIVOTDATA("Sum of VOUCHER",'Pivot Table'!$A$88)</f>
        <v>0</v>
      </c>
      <c r="H44" s="33" t="s">
        <v>73</v>
      </c>
      <c r="I44" s="34">
        <f>GETPIVOTDATA("Sum of VOUCHER",'Pivot Table'!$A$100)</f>
        <v>0</v>
      </c>
      <c r="K44" s="33" t="s">
        <v>73</v>
      </c>
      <c r="L44" s="34">
        <f>GETPIVOTDATA("Sum of VOUCHER",'Pivot Table'!$A$112)</f>
        <v>0</v>
      </c>
      <c r="N44" s="33" t="s">
        <v>73</v>
      </c>
      <c r="O44" s="34">
        <f>GETPIVOTDATA("Sum of VOUCHER",'Pivot Table'!$A$124)</f>
        <v>0</v>
      </c>
      <c r="Q44" s="33" t="s">
        <v>73</v>
      </c>
      <c r="R44" s="34">
        <f>GETPIVOTDATA("Sum of VOUCHER",'Pivot Table'!$A$136)</f>
        <v>0</v>
      </c>
    </row>
    <row r="45" spans="2:18" x14ac:dyDescent="0.25">
      <c r="B45" s="33" t="s">
        <v>7</v>
      </c>
      <c r="C45" s="34">
        <f>GETPIVOTDATA("Sum of RECIP",'Pivot Table'!$A$76)</f>
        <v>0</v>
      </c>
      <c r="E45" s="33" t="s">
        <v>7</v>
      </c>
      <c r="F45" s="34">
        <f>GETPIVOTDATA("Sum of RECIP",'Pivot Table'!$A$88)</f>
        <v>0</v>
      </c>
      <c r="H45" s="33" t="s">
        <v>7</v>
      </c>
      <c r="I45" s="34">
        <f>GETPIVOTDATA("Sum of RECIP",'Pivot Table'!$A$100)</f>
        <v>0</v>
      </c>
      <c r="K45" s="33" t="s">
        <v>7</v>
      </c>
      <c r="L45" s="34">
        <f>GETPIVOTDATA("Sum of RECIP",'Pivot Table'!$A$112)</f>
        <v>0</v>
      </c>
      <c r="N45" s="33" t="s">
        <v>7</v>
      </c>
      <c r="O45" s="34">
        <f>GETPIVOTDATA("Sum of RECIP",'Pivot Table'!$A$124)</f>
        <v>0</v>
      </c>
      <c r="Q45" s="33" t="s">
        <v>7</v>
      </c>
      <c r="R45" s="34">
        <f>GETPIVOTDATA("Sum of RECIP",'Pivot Table'!$A$136)</f>
        <v>0</v>
      </c>
    </row>
    <row r="46" spans="2:18" x14ac:dyDescent="0.25">
      <c r="B46" s="33" t="s">
        <v>74</v>
      </c>
      <c r="C46" s="34">
        <f>GETPIVOTDATA("Sum of COMP",'Pivot Table'!$A$76)</f>
        <v>0</v>
      </c>
      <c r="E46" s="33" t="s">
        <v>74</v>
      </c>
      <c r="F46" s="34">
        <f>GETPIVOTDATA("Sum of COMP",'Pivot Table'!$A$88)</f>
        <v>0</v>
      </c>
      <c r="H46" s="33" t="s">
        <v>74</v>
      </c>
      <c r="I46" s="34">
        <f>GETPIVOTDATA("Sum of COMP",'Pivot Table'!$A$100)</f>
        <v>0</v>
      </c>
      <c r="K46" s="33" t="s">
        <v>74</v>
      </c>
      <c r="L46" s="34">
        <f>GETPIVOTDATA("Sum of COMP",'Pivot Table'!$A$112)</f>
        <v>0</v>
      </c>
      <c r="N46" s="33" t="s">
        <v>74</v>
      </c>
      <c r="O46" s="34">
        <f>GETPIVOTDATA("Sum of COMP",'Pivot Table'!$A$124)</f>
        <v>0</v>
      </c>
      <c r="Q46" s="33" t="s">
        <v>74</v>
      </c>
      <c r="R46" s="34">
        <f>GETPIVOTDATA("Sum of COMP",'Pivot Table'!$A$136)</f>
        <v>0</v>
      </c>
    </row>
  </sheetData>
  <mergeCells count="12">
    <mergeCell ref="H26:I26"/>
    <mergeCell ref="K26:L26"/>
    <mergeCell ref="N26:O26"/>
    <mergeCell ref="Q26:R26"/>
    <mergeCell ref="B3:C3"/>
    <mergeCell ref="E3:F3"/>
    <mergeCell ref="H3:I3"/>
    <mergeCell ref="K3:L3"/>
    <mergeCell ref="N3:O3"/>
    <mergeCell ref="Q3:R3"/>
    <mergeCell ref="E26:F26"/>
    <mergeCell ref="B26:C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36B3-9A22-4BF6-B80A-E37E57AFCB19}">
  <dimension ref="B3:AD78"/>
  <sheetViews>
    <sheetView showGridLines="0" topLeftCell="A56" workbookViewId="0">
      <selection activeCell="M5" sqref="M5"/>
    </sheetView>
  </sheetViews>
  <sheetFormatPr defaultRowHeight="18.75" x14ac:dyDescent="0.25"/>
  <cols>
    <col min="1" max="1" width="9.140625" style="5"/>
    <col min="2" max="2" width="17.7109375" style="5" bestFit="1" customWidth="1"/>
    <col min="3" max="3" width="9" style="35" bestFit="1" customWidth="1"/>
    <col min="4" max="4" width="11.140625" style="35" bestFit="1" customWidth="1"/>
    <col min="5" max="5" width="9.140625" style="35" bestFit="1" customWidth="1"/>
    <col min="6" max="6" width="9.140625" style="5"/>
    <col min="7" max="7" width="17.7109375" style="5" bestFit="1" customWidth="1"/>
    <col min="8" max="8" width="9.140625" style="35" bestFit="1" customWidth="1"/>
    <col min="9" max="9" width="11.140625" style="35" bestFit="1" customWidth="1"/>
    <col min="10" max="10" width="9.140625" style="35" bestFit="1" customWidth="1"/>
    <col min="11" max="11" width="9.140625" style="5"/>
    <col min="12" max="12" width="17.7109375" style="5" bestFit="1" customWidth="1"/>
    <col min="13" max="13" width="9.140625" style="35" bestFit="1" customWidth="1"/>
    <col min="14" max="14" width="11.28515625" style="35" bestFit="1" customWidth="1"/>
    <col min="15" max="15" width="9.140625" style="35" bestFit="1" customWidth="1"/>
    <col min="16" max="16" width="9.140625" style="5"/>
    <col min="17" max="17" width="17.7109375" style="5" bestFit="1" customWidth="1"/>
    <col min="18" max="18" width="9.140625" style="35" bestFit="1" customWidth="1"/>
    <col min="19" max="19" width="11.140625" style="35" bestFit="1" customWidth="1"/>
    <col min="20" max="20" width="9.140625" style="35" bestFit="1" customWidth="1"/>
    <col min="21" max="21" width="9.140625" style="5"/>
    <col min="22" max="22" width="18.42578125" style="5" customWidth="1"/>
    <col min="23" max="23" width="9.140625" style="35"/>
    <col min="24" max="24" width="11.140625" style="35" bestFit="1" customWidth="1"/>
    <col min="25" max="25" width="9.140625" style="35"/>
    <col min="26" max="26" width="9.140625" style="5"/>
    <col min="27" max="27" width="18.42578125" style="5" customWidth="1"/>
    <col min="28" max="28" width="9.140625" style="35"/>
    <col min="29" max="29" width="11.140625" style="35" bestFit="1" customWidth="1"/>
    <col min="30" max="16384" width="9.140625" style="5"/>
  </cols>
  <sheetData>
    <row r="3" spans="2:30" ht="22.5" x14ac:dyDescent="0.25">
      <c r="B3" s="103" t="s">
        <v>8</v>
      </c>
      <c r="C3" s="103"/>
      <c r="D3" s="36" t="s">
        <v>83</v>
      </c>
      <c r="E3" s="36" t="s">
        <v>82</v>
      </c>
      <c r="G3" s="98" t="s">
        <v>75</v>
      </c>
      <c r="H3" s="100"/>
      <c r="I3" s="36" t="s">
        <v>83</v>
      </c>
      <c r="J3" s="36" t="s">
        <v>82</v>
      </c>
      <c r="K3" s="31"/>
      <c r="L3" s="98" t="s">
        <v>9</v>
      </c>
      <c r="M3" s="100"/>
      <c r="N3" s="36" t="s">
        <v>83</v>
      </c>
      <c r="O3" s="36" t="s">
        <v>82</v>
      </c>
      <c r="P3" s="31"/>
      <c r="Q3" s="98" t="s">
        <v>10</v>
      </c>
      <c r="R3" s="100"/>
      <c r="S3" s="36" t="s">
        <v>83</v>
      </c>
      <c r="T3" s="36" t="s">
        <v>82</v>
      </c>
      <c r="U3" s="31"/>
      <c r="V3" s="102"/>
      <c r="W3" s="102"/>
      <c r="X3" s="31"/>
      <c r="Y3" s="31"/>
      <c r="Z3" s="31"/>
      <c r="AA3" s="102"/>
      <c r="AB3" s="102"/>
      <c r="AC3" s="31"/>
      <c r="AD3" s="31"/>
    </row>
    <row r="5" spans="2:30" x14ac:dyDescent="0.25">
      <c r="B5" s="33" t="s">
        <v>1</v>
      </c>
      <c r="C5" s="34">
        <f>GETPIVOTDATA("Sum of AM FIELD",'Pivot Table'!$A$4)</f>
        <v>2557</v>
      </c>
      <c r="D5" s="38">
        <f>SUM(C5/4.4286)</f>
        <v>577.38337172018237</v>
      </c>
      <c r="E5" s="38">
        <f>SUM(C5/31)</f>
        <v>82.483870967741936</v>
      </c>
      <c r="G5" s="33" t="s">
        <v>1</v>
      </c>
      <c r="H5" s="34">
        <f>GETPIVOTDATA("Sum of AM FIELD",'Pivot Table'!$A$16)</f>
        <v>2293</v>
      </c>
      <c r="I5" s="38">
        <f>SUM(H5/4)</f>
        <v>573.25</v>
      </c>
      <c r="J5" s="38">
        <f>SUM(H5/28)</f>
        <v>81.892857142857139</v>
      </c>
      <c r="L5" s="33" t="s">
        <v>1</v>
      </c>
      <c r="M5" s="34">
        <f>GETPIVOTDATA("Sum of AM FIELD",'Pivot Table'!$A$28)</f>
        <v>0</v>
      </c>
      <c r="N5" s="38">
        <f>SUM(M5/4.4286)</f>
        <v>0</v>
      </c>
      <c r="O5" s="38">
        <f>SUM(M5/31)</f>
        <v>0</v>
      </c>
      <c r="Q5" s="33" t="s">
        <v>1</v>
      </c>
      <c r="R5" s="34">
        <f>GETPIVOTDATA("Sum of AM FIELD",'Pivot Table'!$A$40)</f>
        <v>0</v>
      </c>
      <c r="S5" s="38">
        <f>SUM(R5/4.2857)</f>
        <v>0</v>
      </c>
      <c r="T5" s="38">
        <f>SUM(R5/30)</f>
        <v>0</v>
      </c>
      <c r="AD5" s="35"/>
    </row>
    <row r="6" spans="2:30" x14ac:dyDescent="0.25">
      <c r="B6" s="33" t="s">
        <v>2</v>
      </c>
      <c r="C6" s="34">
        <f>GETPIVOTDATA("Sum of PM FIELD",'Pivot Table'!$A$4)</f>
        <v>1728</v>
      </c>
      <c r="D6" s="38">
        <f t="shared" ref="D6:D23" si="0">SUM(C6/4.4286)</f>
        <v>390.19103102560626</v>
      </c>
      <c r="E6" s="38">
        <f t="shared" ref="E6:E23" si="1">SUM(C6/31)</f>
        <v>55.741935483870968</v>
      </c>
      <c r="G6" s="33" t="s">
        <v>2</v>
      </c>
      <c r="H6" s="34">
        <f>GETPIVOTDATA("Sum of PM FIELD",'Pivot Table'!$A$16)</f>
        <v>1852</v>
      </c>
      <c r="I6" s="38">
        <f t="shared" ref="I6:I23" si="2">SUM(H6/4)</f>
        <v>463</v>
      </c>
      <c r="J6" s="38">
        <f t="shared" ref="J6:J23" si="3">SUM(H6/28)</f>
        <v>66.142857142857139</v>
      </c>
      <c r="L6" s="33" t="s">
        <v>2</v>
      </c>
      <c r="M6" s="34">
        <f>GETPIVOTDATA("Sum of PM FIELD",'Pivot Table'!$A$28)</f>
        <v>0</v>
      </c>
      <c r="N6" s="38">
        <f t="shared" ref="N6:N23" si="4">SUM(M6/4.4286)</f>
        <v>0</v>
      </c>
      <c r="O6" s="38">
        <f t="shared" ref="O6:O23" si="5">SUM(M6/31)</f>
        <v>0</v>
      </c>
      <c r="Q6" s="33" t="s">
        <v>2</v>
      </c>
      <c r="R6" s="34">
        <f>GETPIVOTDATA("Sum of PM FIELD",'Pivot Table'!$A$40)</f>
        <v>0</v>
      </c>
      <c r="S6" s="38">
        <f t="shared" ref="S6:S23" si="6">SUM(R6/4.2857)</f>
        <v>0</v>
      </c>
      <c r="T6" s="38">
        <f t="shared" ref="T6:T23" si="7">SUM(R6/30)</f>
        <v>0</v>
      </c>
      <c r="AD6" s="35"/>
    </row>
    <row r="7" spans="2:30" x14ac:dyDescent="0.25">
      <c r="B7" s="33" t="s">
        <v>99</v>
      </c>
      <c r="C7" s="34">
        <v>0</v>
      </c>
      <c r="D7" s="34">
        <v>0</v>
      </c>
      <c r="E7" s="34">
        <v>0</v>
      </c>
      <c r="G7" s="33" t="s">
        <v>99</v>
      </c>
      <c r="H7" s="34">
        <v>0</v>
      </c>
      <c r="I7" s="34">
        <v>0</v>
      </c>
      <c r="J7" s="34">
        <v>0</v>
      </c>
      <c r="L7" s="33" t="s">
        <v>99</v>
      </c>
      <c r="M7" s="34">
        <v>0</v>
      </c>
      <c r="N7" s="34">
        <v>0</v>
      </c>
      <c r="O7" s="34">
        <v>0</v>
      </c>
      <c r="Q7" s="33" t="s">
        <v>99</v>
      </c>
      <c r="R7" s="34">
        <v>0</v>
      </c>
      <c r="S7" s="34">
        <v>0</v>
      </c>
      <c r="T7" s="34">
        <v>0</v>
      </c>
      <c r="AD7" s="35"/>
    </row>
    <row r="8" spans="2:30" x14ac:dyDescent="0.25">
      <c r="B8" s="33" t="s">
        <v>3</v>
      </c>
      <c r="C8" s="34">
        <f>GETPIVOTDATA("Sum of TOTAL FIELD",'Pivot Table'!$A$4)</f>
        <v>5042</v>
      </c>
      <c r="D8" s="38">
        <f t="shared" si="0"/>
        <v>1138.5087838142979</v>
      </c>
      <c r="E8" s="38">
        <f t="shared" si="1"/>
        <v>162.64516129032259</v>
      </c>
      <c r="G8" s="33" t="s">
        <v>3</v>
      </c>
      <c r="H8" s="34">
        <f>GETPIVOTDATA("Sum of TOTAL FIELD",'Pivot Table'!$A$16)</f>
        <v>4880</v>
      </c>
      <c r="I8" s="38">
        <f t="shared" si="2"/>
        <v>1220</v>
      </c>
      <c r="J8" s="38">
        <f t="shared" si="3"/>
        <v>174.28571428571428</v>
      </c>
      <c r="L8" s="33" t="s">
        <v>3</v>
      </c>
      <c r="M8" s="34">
        <f>GETPIVOTDATA("Sum of TOTAL FIELD",'Pivot Table'!$A$28)</f>
        <v>0</v>
      </c>
      <c r="N8" s="38">
        <f t="shared" si="4"/>
        <v>0</v>
      </c>
      <c r="O8" s="38">
        <f t="shared" si="5"/>
        <v>0</v>
      </c>
      <c r="Q8" s="33" t="s">
        <v>3</v>
      </c>
      <c r="R8" s="34">
        <f>GETPIVOTDATA("Sum of TOTAL FIELD",'Pivot Table'!$A$40)</f>
        <v>0</v>
      </c>
      <c r="S8" s="38">
        <f t="shared" si="6"/>
        <v>0</v>
      </c>
      <c r="T8" s="38">
        <f t="shared" si="7"/>
        <v>0</v>
      </c>
      <c r="AD8" s="35"/>
    </row>
    <row r="9" spans="2:30" x14ac:dyDescent="0.25">
      <c r="B9" s="33" t="s">
        <v>76</v>
      </c>
      <c r="C9" s="34">
        <f>GETPIVOTDATA("Sum of No. GUESTS",'Pivot Table'!$A$4)</f>
        <v>997</v>
      </c>
      <c r="D9" s="38">
        <f t="shared" si="0"/>
        <v>225.12757982206566</v>
      </c>
      <c r="E9" s="38">
        <f t="shared" si="1"/>
        <v>32.161290322580648</v>
      </c>
      <c r="G9" s="33" t="s">
        <v>76</v>
      </c>
      <c r="H9" s="34">
        <f>GETPIVOTDATA("Sum of No. GUESTS",'Pivot Table'!$A$16)</f>
        <v>1066</v>
      </c>
      <c r="I9" s="38">
        <f t="shared" si="2"/>
        <v>266.5</v>
      </c>
      <c r="J9" s="38">
        <f t="shared" si="3"/>
        <v>38.071428571428569</v>
      </c>
      <c r="L9" s="33" t="s">
        <v>76</v>
      </c>
      <c r="M9" s="34">
        <f>GETPIVOTDATA("Sum of No. GUESTS",'Pivot Table'!$A$28)</f>
        <v>0</v>
      </c>
      <c r="N9" s="38">
        <f t="shared" si="4"/>
        <v>0</v>
      </c>
      <c r="O9" s="38">
        <f t="shared" si="5"/>
        <v>0</v>
      </c>
      <c r="Q9" s="33" t="s">
        <v>76</v>
      </c>
      <c r="R9" s="34">
        <f>GETPIVOTDATA("Sum of No. GUESTS",'Pivot Table'!$A$40)</f>
        <v>0</v>
      </c>
      <c r="S9" s="38">
        <f t="shared" si="6"/>
        <v>0</v>
      </c>
      <c r="T9" s="38">
        <f t="shared" si="7"/>
        <v>0</v>
      </c>
      <c r="AD9" s="35"/>
    </row>
    <row r="10" spans="2:30" s="40" customFormat="1" ht="37.5" x14ac:dyDescent="0.25">
      <c r="B10" s="39" t="s">
        <v>68</v>
      </c>
      <c r="C10" s="37">
        <f>SUM(C9/C8)</f>
        <v>0.1977389924633082</v>
      </c>
      <c r="D10" s="37">
        <f t="shared" si="0"/>
        <v>4.4650452166216908E-2</v>
      </c>
      <c r="E10" s="37">
        <f t="shared" si="1"/>
        <v>6.3786771762357483E-3</v>
      </c>
      <c r="G10" s="39" t="s">
        <v>68</v>
      </c>
      <c r="H10" s="37">
        <f>SUM(H9/H8)</f>
        <v>0.21844262295081968</v>
      </c>
      <c r="I10" s="38">
        <f t="shared" si="2"/>
        <v>5.4610655737704919E-2</v>
      </c>
      <c r="J10" s="38">
        <f t="shared" si="3"/>
        <v>7.8015222482435602E-3</v>
      </c>
      <c r="L10" s="39" t="s">
        <v>68</v>
      </c>
      <c r="M10" s="37" t="e">
        <f>SUM(M9/M8)</f>
        <v>#DIV/0!</v>
      </c>
      <c r="N10" s="37" t="e">
        <f t="shared" si="4"/>
        <v>#DIV/0!</v>
      </c>
      <c r="O10" s="37" t="e">
        <f t="shared" si="5"/>
        <v>#DIV/0!</v>
      </c>
      <c r="Q10" s="39" t="s">
        <v>68</v>
      </c>
      <c r="R10" s="37" t="e">
        <f>SUM(R9/R8)</f>
        <v>#DIV/0!</v>
      </c>
      <c r="S10" s="37" t="e">
        <f t="shared" si="6"/>
        <v>#DIV/0!</v>
      </c>
      <c r="T10" s="37" t="e">
        <f t="shared" si="7"/>
        <v>#DIV/0!</v>
      </c>
      <c r="V10" s="53"/>
      <c r="W10" s="54"/>
      <c r="X10" s="54"/>
      <c r="Y10" s="54"/>
      <c r="Z10" s="55"/>
      <c r="AA10" s="53"/>
      <c r="AB10" s="54"/>
      <c r="AC10" s="54"/>
      <c r="AD10" s="54"/>
    </row>
    <row r="11" spans="2:30" x14ac:dyDescent="0.25">
      <c r="B11" s="32" t="s">
        <v>4</v>
      </c>
      <c r="C11" s="34">
        <f>GETPIVOTDATA("Sum of MEMBER",'Pivot Table'!$A$4)</f>
        <v>4026</v>
      </c>
      <c r="D11" s="38">
        <f t="shared" si="0"/>
        <v>909.09090909090901</v>
      </c>
      <c r="E11" s="38">
        <f t="shared" si="1"/>
        <v>129.87096774193549</v>
      </c>
      <c r="G11" s="32" t="s">
        <v>4</v>
      </c>
      <c r="H11" s="34">
        <f>GETPIVOTDATA("Sum of MEMBER",'Pivot Table'!$A$16)</f>
        <v>3798</v>
      </c>
      <c r="I11" s="38">
        <f t="shared" si="2"/>
        <v>949.5</v>
      </c>
      <c r="J11" s="38">
        <f t="shared" si="3"/>
        <v>135.64285714285714</v>
      </c>
      <c r="L11" s="32" t="s">
        <v>4</v>
      </c>
      <c r="M11" s="34">
        <f>GETPIVOTDATA("Sum of MEMBER",'Pivot Table'!$A$28)</f>
        <v>0</v>
      </c>
      <c r="N11" s="38">
        <f t="shared" si="4"/>
        <v>0</v>
      </c>
      <c r="O11" s="38">
        <f t="shared" si="5"/>
        <v>0</v>
      </c>
      <c r="Q11" s="32" t="s">
        <v>4</v>
      </c>
      <c r="R11" s="34">
        <f>GETPIVOTDATA("Sum of MEMBER",'Pivot Table'!$A$40)</f>
        <v>0</v>
      </c>
      <c r="S11" s="38">
        <f t="shared" si="6"/>
        <v>0</v>
      </c>
      <c r="T11" s="38">
        <f t="shared" si="7"/>
        <v>0</v>
      </c>
      <c r="V11" s="48"/>
      <c r="AA11" s="48"/>
      <c r="AD11" s="35"/>
    </row>
    <row r="12" spans="2:30" x14ac:dyDescent="0.25">
      <c r="B12" s="33" t="s">
        <v>77</v>
      </c>
      <c r="C12" s="34">
        <f>GETPIVOTDATA("Sum of INTERSTATE",'Pivot Table'!$A$4)</f>
        <v>17</v>
      </c>
      <c r="D12" s="38">
        <f t="shared" si="0"/>
        <v>3.8386849117102466</v>
      </c>
      <c r="E12" s="38">
        <f t="shared" si="1"/>
        <v>0.54838709677419351</v>
      </c>
      <c r="G12" s="33" t="s">
        <v>77</v>
      </c>
      <c r="H12" s="34">
        <f>GETPIVOTDATA("Sum of MANAGER INTRO",'Pivot Table'!$A$16)</f>
        <v>61</v>
      </c>
      <c r="I12" s="38">
        <f t="shared" si="2"/>
        <v>15.25</v>
      </c>
      <c r="J12" s="38">
        <f t="shared" si="3"/>
        <v>2.1785714285714284</v>
      </c>
      <c r="L12" s="33" t="s">
        <v>77</v>
      </c>
      <c r="M12" s="34">
        <f>GETPIVOTDATA("Sum of MANAGER INTRO",'Pivot Table'!$A$28)</f>
        <v>0</v>
      </c>
      <c r="N12" s="38">
        <f t="shared" si="4"/>
        <v>0</v>
      </c>
      <c r="O12" s="38">
        <f t="shared" si="5"/>
        <v>0</v>
      </c>
      <c r="Q12" s="33" t="s">
        <v>77</v>
      </c>
      <c r="R12" s="34">
        <f>GETPIVOTDATA("Sum of MANAGER INTRO",'Pivot Table'!$A$40)</f>
        <v>0</v>
      </c>
      <c r="S12" s="38">
        <f t="shared" si="6"/>
        <v>0</v>
      </c>
      <c r="T12" s="38">
        <f t="shared" si="7"/>
        <v>0</v>
      </c>
      <c r="AD12" s="35"/>
    </row>
    <row r="13" spans="2:30" x14ac:dyDescent="0.25">
      <c r="B13" s="33" t="s">
        <v>69</v>
      </c>
      <c r="C13" s="34">
        <f>GETPIVOTDATA("Sum of INTERSTATE",'Pivot Table'!$A$4)</f>
        <v>17</v>
      </c>
      <c r="D13" s="38">
        <f t="shared" si="0"/>
        <v>3.8386849117102466</v>
      </c>
      <c r="E13" s="38">
        <f t="shared" si="1"/>
        <v>0.54838709677419351</v>
      </c>
      <c r="G13" s="33" t="s">
        <v>69</v>
      </c>
      <c r="H13" s="34">
        <f>GETPIVOTDATA("Sum of INTERSTATE",'Pivot Table'!$A$16)</f>
        <v>17</v>
      </c>
      <c r="I13" s="38">
        <f t="shared" si="2"/>
        <v>4.25</v>
      </c>
      <c r="J13" s="38">
        <f t="shared" si="3"/>
        <v>0.6071428571428571</v>
      </c>
      <c r="L13" s="33" t="s">
        <v>69</v>
      </c>
      <c r="M13" s="34">
        <f>GETPIVOTDATA("Sum of INTERSTATE",'Pivot Table'!$A$28)</f>
        <v>0</v>
      </c>
      <c r="N13" s="38">
        <f t="shared" si="4"/>
        <v>0</v>
      </c>
      <c r="O13" s="38">
        <f t="shared" si="5"/>
        <v>0</v>
      </c>
      <c r="Q13" s="33" t="s">
        <v>69</v>
      </c>
      <c r="R13" s="34">
        <f>GETPIVOTDATA("Sum of INTERSTATE",'Pivot Table'!$A$40)</f>
        <v>0</v>
      </c>
      <c r="S13" s="38">
        <f t="shared" si="6"/>
        <v>0</v>
      </c>
      <c r="T13" s="38">
        <f t="shared" si="7"/>
        <v>0</v>
      </c>
      <c r="AD13" s="35"/>
    </row>
    <row r="14" spans="2:30" x14ac:dyDescent="0.25">
      <c r="B14" s="33" t="s">
        <v>70</v>
      </c>
      <c r="C14" s="34">
        <f>GETPIVOTDATA("Sum of INTERNATIONAL",'Pivot Table'!$A$4)</f>
        <v>84</v>
      </c>
      <c r="D14" s="38">
        <f t="shared" si="0"/>
        <v>18.967619563744748</v>
      </c>
      <c r="E14" s="38">
        <f t="shared" si="1"/>
        <v>2.7096774193548385</v>
      </c>
      <c r="G14" s="33" t="s">
        <v>70</v>
      </c>
      <c r="H14" s="34">
        <f>GETPIVOTDATA("Sum of INTERNATIONAL",'Pivot Table'!$A$16)</f>
        <v>84</v>
      </c>
      <c r="I14" s="38">
        <f t="shared" si="2"/>
        <v>21</v>
      </c>
      <c r="J14" s="38">
        <f t="shared" si="3"/>
        <v>3</v>
      </c>
      <c r="L14" s="33" t="s">
        <v>70</v>
      </c>
      <c r="M14" s="34">
        <f>GETPIVOTDATA("Sum of INTERNATIONAL",'Pivot Table'!$A$28)</f>
        <v>0</v>
      </c>
      <c r="N14" s="38">
        <f t="shared" si="4"/>
        <v>0</v>
      </c>
      <c r="O14" s="38">
        <f t="shared" si="5"/>
        <v>0</v>
      </c>
      <c r="Q14" s="33" t="s">
        <v>70</v>
      </c>
      <c r="R14" s="34">
        <f>GETPIVOTDATA("Sum of INTERNATIONAL",'Pivot Table'!$A$40)</f>
        <v>0</v>
      </c>
      <c r="S14" s="38">
        <f t="shared" si="6"/>
        <v>0</v>
      </c>
      <c r="T14" s="38">
        <f t="shared" si="7"/>
        <v>0</v>
      </c>
      <c r="AD14" s="35"/>
    </row>
    <row r="15" spans="2:30" x14ac:dyDescent="0.25">
      <c r="B15" s="33" t="s">
        <v>71</v>
      </c>
      <c r="C15" s="34">
        <f>GETPIVOTDATA("Sum of INDUSTRY GUEST",'Pivot Table'!$A$4)</f>
        <v>12</v>
      </c>
      <c r="D15" s="38">
        <f t="shared" si="0"/>
        <v>2.7096599376778214</v>
      </c>
      <c r="E15" s="38">
        <f t="shared" si="1"/>
        <v>0.38709677419354838</v>
      </c>
      <c r="G15" s="33" t="s">
        <v>71</v>
      </c>
      <c r="H15" s="34">
        <f>GETPIVOTDATA("Sum of INDUSTRY GUEST",'Pivot Table'!$A$16)</f>
        <v>7</v>
      </c>
      <c r="I15" s="38">
        <f t="shared" si="2"/>
        <v>1.75</v>
      </c>
      <c r="J15" s="38">
        <f t="shared" si="3"/>
        <v>0.25</v>
      </c>
      <c r="L15" s="33" t="s">
        <v>71</v>
      </c>
      <c r="M15" s="34">
        <f>GETPIVOTDATA("Sum of INDUSTRY GUEST",'Pivot Table'!$A$28)</f>
        <v>0</v>
      </c>
      <c r="N15" s="38">
        <f t="shared" si="4"/>
        <v>0</v>
      </c>
      <c r="O15" s="38">
        <f t="shared" si="5"/>
        <v>0</v>
      </c>
      <c r="Q15" s="33" t="s">
        <v>71</v>
      </c>
      <c r="R15" s="34">
        <f>GETPIVOTDATA("Sum of INDUSTRY GUEST",'Pivot Table'!$A$40)</f>
        <v>0</v>
      </c>
      <c r="S15" s="38">
        <f t="shared" si="6"/>
        <v>0</v>
      </c>
      <c r="T15" s="38">
        <f t="shared" si="7"/>
        <v>0</v>
      </c>
      <c r="AD15" s="35"/>
    </row>
    <row r="16" spans="2:30" x14ac:dyDescent="0.25">
      <c r="B16" s="33" t="s">
        <v>5</v>
      </c>
      <c r="C16" s="34">
        <f>GETPIVOTDATA("Sum of MEMB GUEST MICLUB",'Pivot Table'!$A$4)</f>
        <v>597</v>
      </c>
      <c r="D16" s="38">
        <f t="shared" si="0"/>
        <v>134.8055818994716</v>
      </c>
      <c r="E16" s="38">
        <f t="shared" si="1"/>
        <v>19.258064516129032</v>
      </c>
      <c r="G16" s="33" t="s">
        <v>5</v>
      </c>
      <c r="H16" s="34">
        <f>GETPIVOTDATA("Sum of MEMB GUEST MICLUB",'Pivot Table'!$A$16)</f>
        <v>414</v>
      </c>
      <c r="I16" s="38">
        <f t="shared" si="2"/>
        <v>103.5</v>
      </c>
      <c r="J16" s="38">
        <f t="shared" si="3"/>
        <v>14.785714285714286</v>
      </c>
      <c r="L16" s="33" t="s">
        <v>5</v>
      </c>
      <c r="M16" s="34">
        <f>GETPIVOTDATA("Sum of MEMB GUEST MICLUB",'Pivot Table'!$A$28)</f>
        <v>0</v>
      </c>
      <c r="N16" s="38">
        <f t="shared" si="4"/>
        <v>0</v>
      </c>
      <c r="O16" s="38">
        <f t="shared" si="5"/>
        <v>0</v>
      </c>
      <c r="Q16" s="33" t="s">
        <v>5</v>
      </c>
      <c r="R16" s="34">
        <f>GETPIVOTDATA("Sum of MEMB GUEST MICLUB",'Pivot Table'!$A$40)</f>
        <v>0</v>
      </c>
      <c r="S16" s="38">
        <f t="shared" si="6"/>
        <v>0</v>
      </c>
      <c r="T16" s="38">
        <f t="shared" si="7"/>
        <v>0</v>
      </c>
      <c r="AD16" s="35"/>
    </row>
    <row r="17" spans="2:30" ht="37.5" x14ac:dyDescent="0.25">
      <c r="B17" s="32" t="s">
        <v>72</v>
      </c>
      <c r="C17" s="34">
        <f>GETPIVOTDATA("Sum of MEMB GUEST UNACCOMPANIED",'Pivot Table'!$A$4)</f>
        <v>12</v>
      </c>
      <c r="D17" s="38">
        <f t="shared" si="0"/>
        <v>2.7096599376778214</v>
      </c>
      <c r="E17" s="38">
        <f t="shared" si="1"/>
        <v>0.38709677419354838</v>
      </c>
      <c r="G17" s="32" t="s">
        <v>72</v>
      </c>
      <c r="H17" s="34">
        <f>GETPIVOTDATA("Sum of MEMB GUEST UNACCOMPANIED",'Pivot Table'!$A$16)</f>
        <v>5</v>
      </c>
      <c r="I17" s="38">
        <f t="shared" si="2"/>
        <v>1.25</v>
      </c>
      <c r="J17" s="38">
        <f t="shared" si="3"/>
        <v>0.17857142857142858</v>
      </c>
      <c r="L17" s="32" t="s">
        <v>72</v>
      </c>
      <c r="M17" s="34">
        <f>GETPIVOTDATA("Sum of MEMB GUEST UNACCOMPANIED",'Pivot Table'!$A$28)</f>
        <v>0</v>
      </c>
      <c r="N17" s="38">
        <f t="shared" si="4"/>
        <v>0</v>
      </c>
      <c r="O17" s="38">
        <f t="shared" si="5"/>
        <v>0</v>
      </c>
      <c r="Q17" s="32" t="s">
        <v>72</v>
      </c>
      <c r="R17" s="34">
        <f>GETPIVOTDATA("Sum of MEMB GUEST UNACCOMPANIED",'Pivot Table'!$A$40)</f>
        <v>0</v>
      </c>
      <c r="S17" s="38">
        <f t="shared" si="6"/>
        <v>0</v>
      </c>
      <c r="T17" s="38">
        <f t="shared" si="7"/>
        <v>0</v>
      </c>
      <c r="V17" s="48"/>
      <c r="AA17" s="48"/>
      <c r="AD17" s="35"/>
    </row>
    <row r="18" spans="2:30" x14ac:dyDescent="0.25">
      <c r="B18" s="33" t="s">
        <v>6</v>
      </c>
      <c r="C18" s="34">
        <f>GETPIVOTDATA("Sum of CORPORATE",'Pivot Table'!$A$4)</f>
        <v>0</v>
      </c>
      <c r="D18" s="38">
        <f t="shared" si="0"/>
        <v>0</v>
      </c>
      <c r="E18" s="38">
        <f t="shared" si="1"/>
        <v>0</v>
      </c>
      <c r="G18" s="33" t="s">
        <v>6</v>
      </c>
      <c r="H18" s="34">
        <f>GETPIVOTDATA("Sum of CORPORATE",'Pivot Table'!$A$16)</f>
        <v>318</v>
      </c>
      <c r="I18" s="38">
        <f t="shared" si="2"/>
        <v>79.5</v>
      </c>
      <c r="J18" s="38">
        <f t="shared" si="3"/>
        <v>11.357142857142858</v>
      </c>
      <c r="L18" s="33" t="s">
        <v>6</v>
      </c>
      <c r="M18" s="34">
        <f>GETPIVOTDATA("Sum of CORPORATE",'Pivot Table'!$A$28)</f>
        <v>0</v>
      </c>
      <c r="N18" s="38">
        <f t="shared" si="4"/>
        <v>0</v>
      </c>
      <c r="O18" s="38">
        <f t="shared" si="5"/>
        <v>0</v>
      </c>
      <c r="Q18" s="33" t="s">
        <v>6</v>
      </c>
      <c r="R18" s="34">
        <f>GETPIVOTDATA("Sum of CORPORATE",'Pivot Table'!$A$40)</f>
        <v>0</v>
      </c>
      <c r="S18" s="38">
        <f t="shared" si="6"/>
        <v>0</v>
      </c>
      <c r="T18" s="38">
        <f t="shared" si="7"/>
        <v>0</v>
      </c>
      <c r="AD18" s="35"/>
    </row>
    <row r="19" spans="2:30" x14ac:dyDescent="0.25">
      <c r="B19" s="33" t="s">
        <v>93</v>
      </c>
      <c r="C19" s="34">
        <f>GETPIVOTDATA("Sum of EVENT",'Pivot Table'!$A$4)</f>
        <v>0</v>
      </c>
      <c r="D19" s="38">
        <f t="shared" si="0"/>
        <v>0</v>
      </c>
      <c r="E19" s="38">
        <f t="shared" si="1"/>
        <v>0</v>
      </c>
      <c r="G19" s="33" t="s">
        <v>93</v>
      </c>
      <c r="H19" s="34">
        <f>GETPIVOTDATA("Sum of EVENT",'Pivot Table'!$A$16)</f>
        <v>0</v>
      </c>
      <c r="I19" s="38">
        <f t="shared" si="2"/>
        <v>0</v>
      </c>
      <c r="J19" s="38">
        <f t="shared" si="3"/>
        <v>0</v>
      </c>
      <c r="L19" s="33" t="s">
        <v>93</v>
      </c>
      <c r="M19" s="34">
        <f>GETPIVOTDATA("Sum of EVENT",'Pivot Table'!$A$28)</f>
        <v>0</v>
      </c>
      <c r="N19" s="38">
        <f t="shared" si="4"/>
        <v>0</v>
      </c>
      <c r="O19" s="38">
        <f t="shared" si="5"/>
        <v>0</v>
      </c>
      <c r="Q19" s="33" t="s">
        <v>93</v>
      </c>
      <c r="R19" s="34">
        <f>GETPIVOTDATA("Sum of EVENT",'Pivot Table'!$A$40)</f>
        <v>0</v>
      </c>
      <c r="S19" s="38">
        <f t="shared" si="6"/>
        <v>0</v>
      </c>
      <c r="T19" s="38">
        <f t="shared" si="7"/>
        <v>0</v>
      </c>
      <c r="AD19" s="35"/>
    </row>
    <row r="20" spans="2:30" x14ac:dyDescent="0.25">
      <c r="B20" s="33" t="s">
        <v>78</v>
      </c>
      <c r="C20" s="34">
        <f>GETPIVOTDATA("Sum of NON-PLAYING",'Pivot Table'!$A$4)</f>
        <v>19</v>
      </c>
      <c r="D20" s="38">
        <f t="shared" si="0"/>
        <v>4.2902949013232172</v>
      </c>
      <c r="E20" s="38">
        <f t="shared" si="1"/>
        <v>0.61290322580645162</v>
      </c>
      <c r="G20" s="33" t="s">
        <v>78</v>
      </c>
      <c r="H20" s="34">
        <f>GETPIVOTDATA("Sum of NON-PLAYING",'Pivot Table'!$A$16)</f>
        <v>16</v>
      </c>
      <c r="I20" s="38">
        <f t="shared" si="2"/>
        <v>4</v>
      </c>
      <c r="J20" s="38">
        <f t="shared" si="3"/>
        <v>0.5714285714285714</v>
      </c>
      <c r="L20" s="33" t="s">
        <v>78</v>
      </c>
      <c r="M20" s="34">
        <f>GETPIVOTDATA("Sum of NON-PLAYING",'Pivot Table'!$A$28)</f>
        <v>0</v>
      </c>
      <c r="N20" s="38">
        <f t="shared" si="4"/>
        <v>0</v>
      </c>
      <c r="O20" s="38">
        <f t="shared" si="5"/>
        <v>0</v>
      </c>
      <c r="Q20" s="33" t="s">
        <v>78</v>
      </c>
      <c r="R20" s="34">
        <f>GETPIVOTDATA("Sum of NON-PLAYING",'Pivot Table'!$A$40)</f>
        <v>0</v>
      </c>
      <c r="S20" s="38">
        <f t="shared" si="6"/>
        <v>0</v>
      </c>
      <c r="T20" s="38">
        <f t="shared" si="7"/>
        <v>0</v>
      </c>
      <c r="AD20" s="35"/>
    </row>
    <row r="21" spans="2:30" x14ac:dyDescent="0.25">
      <c r="B21" s="33" t="s">
        <v>73</v>
      </c>
      <c r="C21" s="34">
        <f>GETPIVOTDATA("Sum of VOUCHER",'Pivot Table'!$A$4)</f>
        <v>141</v>
      </c>
      <c r="D21" s="38">
        <f t="shared" si="0"/>
        <v>31.838504267714399</v>
      </c>
      <c r="E21" s="38">
        <f t="shared" si="1"/>
        <v>4.5483870967741939</v>
      </c>
      <c r="G21" s="33" t="s">
        <v>73</v>
      </c>
      <c r="H21" s="34">
        <f>GETPIVOTDATA("Sum of VOUCHER",'Pivot Table'!$A$16)</f>
        <v>77</v>
      </c>
      <c r="I21" s="38">
        <f t="shared" si="2"/>
        <v>19.25</v>
      </c>
      <c r="J21" s="38">
        <f t="shared" si="3"/>
        <v>2.75</v>
      </c>
      <c r="L21" s="33" t="s">
        <v>73</v>
      </c>
      <c r="M21" s="34">
        <f>GETPIVOTDATA("Sum of VOUCHER",'Pivot Table'!$A$28)</f>
        <v>0</v>
      </c>
      <c r="N21" s="38">
        <f t="shared" si="4"/>
        <v>0</v>
      </c>
      <c r="O21" s="38">
        <f t="shared" si="5"/>
        <v>0</v>
      </c>
      <c r="Q21" s="33" t="s">
        <v>73</v>
      </c>
      <c r="R21" s="34">
        <f>GETPIVOTDATA("Sum of VOUCHER",'Pivot Table'!$A$40)</f>
        <v>0</v>
      </c>
      <c r="S21" s="38">
        <f t="shared" si="6"/>
        <v>0</v>
      </c>
      <c r="T21" s="38">
        <f t="shared" si="7"/>
        <v>0</v>
      </c>
      <c r="AD21" s="35"/>
    </row>
    <row r="22" spans="2:30" x14ac:dyDescent="0.25">
      <c r="B22" s="33" t="s">
        <v>7</v>
      </c>
      <c r="C22" s="34">
        <f>GETPIVOTDATA("Sum of RECIP",'Pivot Table'!$A$4)</f>
        <v>95</v>
      </c>
      <c r="D22" s="38">
        <f t="shared" si="0"/>
        <v>21.451474506616083</v>
      </c>
      <c r="E22" s="38">
        <f t="shared" si="1"/>
        <v>3.064516129032258</v>
      </c>
      <c r="G22" s="33" t="s">
        <v>7</v>
      </c>
      <c r="H22" s="34">
        <f>GETPIVOTDATA("Sum of RECIP",'Pivot Table'!$A$16)</f>
        <v>83</v>
      </c>
      <c r="I22" s="38">
        <f t="shared" si="2"/>
        <v>20.75</v>
      </c>
      <c r="J22" s="38">
        <f t="shared" si="3"/>
        <v>2.9642857142857144</v>
      </c>
      <c r="L22" s="33" t="s">
        <v>7</v>
      </c>
      <c r="M22" s="34">
        <f>GETPIVOTDATA("Sum of RECIP",'Pivot Table'!$A$28)</f>
        <v>0</v>
      </c>
      <c r="N22" s="38">
        <f t="shared" si="4"/>
        <v>0</v>
      </c>
      <c r="O22" s="38">
        <f t="shared" si="5"/>
        <v>0</v>
      </c>
      <c r="Q22" s="33" t="s">
        <v>7</v>
      </c>
      <c r="R22" s="34">
        <f>GETPIVOTDATA("Sum of RECIP",'Pivot Table'!$A$40)</f>
        <v>0</v>
      </c>
      <c r="S22" s="38">
        <f t="shared" si="6"/>
        <v>0</v>
      </c>
      <c r="T22" s="38">
        <f t="shared" si="7"/>
        <v>0</v>
      </c>
      <c r="AD22" s="35"/>
    </row>
    <row r="23" spans="2:30" x14ac:dyDescent="0.25">
      <c r="B23" s="33" t="s">
        <v>74</v>
      </c>
      <c r="C23" s="34">
        <f>GETPIVOTDATA("Sum of COMP",'Pivot Table'!$A$4)</f>
        <v>3208</v>
      </c>
      <c r="D23" s="38">
        <f t="shared" si="0"/>
        <v>724.38242333920425</v>
      </c>
      <c r="E23" s="38">
        <f t="shared" si="1"/>
        <v>103.48387096774194</v>
      </c>
      <c r="G23" s="33" t="s">
        <v>74</v>
      </c>
      <c r="H23" s="34">
        <f>GETPIVOTDATA("Sum of COMP",'Pivot Table'!$A$16)</f>
        <v>2375</v>
      </c>
      <c r="I23" s="38">
        <f t="shared" si="2"/>
        <v>593.75</v>
      </c>
      <c r="J23" s="38">
        <f t="shared" si="3"/>
        <v>84.821428571428569</v>
      </c>
      <c r="L23" s="33" t="s">
        <v>74</v>
      </c>
      <c r="M23" s="34">
        <f>GETPIVOTDATA("Sum of COMP",'Pivot Table'!$A$28)</f>
        <v>0</v>
      </c>
      <c r="N23" s="38">
        <f t="shared" si="4"/>
        <v>0</v>
      </c>
      <c r="O23" s="38">
        <f t="shared" si="5"/>
        <v>0</v>
      </c>
      <c r="Q23" s="33" t="s">
        <v>74</v>
      </c>
      <c r="R23" s="34">
        <f>GETPIVOTDATA("Sum of COMP",'Pivot Table'!$A$40)</f>
        <v>0</v>
      </c>
      <c r="S23" s="38">
        <f t="shared" si="6"/>
        <v>0</v>
      </c>
      <c r="T23" s="38">
        <f t="shared" si="7"/>
        <v>0</v>
      </c>
      <c r="AD23" s="35"/>
    </row>
    <row r="26" spans="2:30" s="31" customFormat="1" ht="22.5" x14ac:dyDescent="0.25">
      <c r="B26" s="98" t="s">
        <v>11</v>
      </c>
      <c r="C26" s="100"/>
      <c r="D26" s="36" t="s">
        <v>83</v>
      </c>
      <c r="E26" s="36" t="s">
        <v>82</v>
      </c>
      <c r="G26" s="98" t="s">
        <v>12</v>
      </c>
      <c r="H26" s="100"/>
      <c r="I26" s="36" t="s">
        <v>83</v>
      </c>
      <c r="J26" s="36" t="s">
        <v>82</v>
      </c>
      <c r="L26" s="103" t="s">
        <v>13</v>
      </c>
      <c r="M26" s="103"/>
      <c r="N26" s="36" t="s">
        <v>83</v>
      </c>
      <c r="O26" s="36" t="s">
        <v>82</v>
      </c>
      <c r="Q26" s="103" t="s">
        <v>14</v>
      </c>
      <c r="R26" s="103"/>
      <c r="S26" s="36" t="s">
        <v>83</v>
      </c>
      <c r="T26" s="36" t="s">
        <v>82</v>
      </c>
      <c r="V26" s="102"/>
      <c r="W26" s="102"/>
      <c r="AA26" s="102"/>
      <c r="AB26" s="102"/>
    </row>
    <row r="27" spans="2:30" x14ac:dyDescent="0.25">
      <c r="J27" s="5"/>
    </row>
    <row r="28" spans="2:30" x14ac:dyDescent="0.25">
      <c r="B28" s="33" t="s">
        <v>1</v>
      </c>
      <c r="C28" s="34">
        <f>GETPIVOTDATA("Sum of AM FIELD",'Pivot Table'!$A$52)</f>
        <v>0</v>
      </c>
      <c r="D28" s="38">
        <f>SUM(C28/4.4286)</f>
        <v>0</v>
      </c>
      <c r="E28" s="38">
        <f t="shared" ref="E28:E46" si="8">SUM(C28/31)</f>
        <v>0</v>
      </c>
      <c r="G28" s="33" t="s">
        <v>1</v>
      </c>
      <c r="H28" s="34">
        <f>GETPIVOTDATA("Sum of AM FIELD",'Pivot Table'!$A$64)</f>
        <v>0</v>
      </c>
      <c r="I28" s="38">
        <f>SUM(H28/4.2857)</f>
        <v>0</v>
      </c>
      <c r="J28" s="38">
        <f t="shared" ref="J28:J46" si="9">SUM(H28/30)</f>
        <v>0</v>
      </c>
      <c r="L28" s="33" t="s">
        <v>1</v>
      </c>
      <c r="M28" s="34">
        <f>GETPIVOTDATA("Sum of AM FIELD",'Pivot Table'!$A$76)</f>
        <v>0</v>
      </c>
      <c r="N28" s="38">
        <f>SUM(M28/4.4286)</f>
        <v>0</v>
      </c>
      <c r="O28" s="38">
        <f>SUM(M28/31)</f>
        <v>0</v>
      </c>
      <c r="Q28" s="33" t="s">
        <v>1</v>
      </c>
      <c r="R28" s="34">
        <f>GETPIVOTDATA("Sum of AM FIELD",'Pivot Table'!$A$88)</f>
        <v>0</v>
      </c>
      <c r="S28" s="38">
        <f>SUM(R28/4.4286)</f>
        <v>0</v>
      </c>
      <c r="T28" s="38">
        <f>SUM(R28/31)</f>
        <v>0</v>
      </c>
    </row>
    <row r="29" spans="2:30" customFormat="1" x14ac:dyDescent="0.25">
      <c r="B29" s="33" t="s">
        <v>2</v>
      </c>
      <c r="C29" s="34">
        <f>GETPIVOTDATA("Sum of PM FIELD",'Pivot Table'!$A$52)</f>
        <v>0</v>
      </c>
      <c r="D29" s="38">
        <f t="shared" ref="D29:D46" si="10">SUM(C29/4.4286)</f>
        <v>0</v>
      </c>
      <c r="E29" s="38">
        <f t="shared" si="8"/>
        <v>0</v>
      </c>
      <c r="F29" s="5"/>
      <c r="G29" s="33" t="s">
        <v>2</v>
      </c>
      <c r="H29" s="34">
        <f>GETPIVOTDATA("Sum of PM FIELD",'Pivot Table'!$A$64)</f>
        <v>0</v>
      </c>
      <c r="I29" s="38">
        <f t="shared" ref="I29:I46" si="11">SUM(H29/4.2857)</f>
        <v>0</v>
      </c>
      <c r="J29" s="38">
        <f t="shared" si="9"/>
        <v>0</v>
      </c>
      <c r="L29" s="33" t="s">
        <v>2</v>
      </c>
      <c r="M29" s="34">
        <f>GETPIVOTDATA("Sum of PM FIELD",'Pivot Table'!$A$76)</f>
        <v>0</v>
      </c>
      <c r="N29" s="38">
        <f t="shared" ref="N29:N40" si="12">SUM(M29/4.4286)</f>
        <v>0</v>
      </c>
      <c r="O29" s="38">
        <f t="shared" ref="O29:O40" si="13">SUM(M29/31)</f>
        <v>0</v>
      </c>
      <c r="P29" s="5"/>
      <c r="Q29" s="33" t="s">
        <v>2</v>
      </c>
      <c r="R29" s="34">
        <f>GETPIVOTDATA("Sum of PM FIELD",'Pivot Table'!$A$88)</f>
        <v>0</v>
      </c>
      <c r="S29" s="38">
        <f t="shared" ref="S29:S40" si="14">SUM(R29/4.4286)</f>
        <v>0</v>
      </c>
      <c r="T29" s="38">
        <f t="shared" ref="T29:T40" si="15">SUM(R29/31)</f>
        <v>0</v>
      </c>
    </row>
    <row r="30" spans="2:30" x14ac:dyDescent="0.25">
      <c r="B30" s="33" t="s">
        <v>99</v>
      </c>
      <c r="C30" s="34">
        <v>0</v>
      </c>
      <c r="D30" s="34">
        <v>0</v>
      </c>
      <c r="E30" s="34">
        <v>0</v>
      </c>
      <c r="G30" s="33" t="s">
        <v>99</v>
      </c>
      <c r="H30" s="34">
        <v>0</v>
      </c>
      <c r="I30" s="34">
        <v>0</v>
      </c>
      <c r="J30" s="34">
        <v>0</v>
      </c>
      <c r="L30" s="33" t="s">
        <v>99</v>
      </c>
      <c r="M30" s="34">
        <v>0</v>
      </c>
      <c r="N30" s="34">
        <v>0</v>
      </c>
      <c r="O30" s="34">
        <v>0</v>
      </c>
      <c r="Q30" s="33" t="s">
        <v>99</v>
      </c>
      <c r="R30" s="34">
        <v>0</v>
      </c>
      <c r="S30" s="34">
        <v>0</v>
      </c>
      <c r="T30" s="34">
        <v>0</v>
      </c>
      <c r="AD30" s="35"/>
    </row>
    <row r="31" spans="2:30" customFormat="1" x14ac:dyDescent="0.25">
      <c r="B31" s="33" t="s">
        <v>3</v>
      </c>
      <c r="C31" s="34">
        <f>GETPIVOTDATA("Sum of TOTAL FIELD",'Pivot Table'!$A$52)</f>
        <v>0</v>
      </c>
      <c r="D31" s="38">
        <f t="shared" si="10"/>
        <v>0</v>
      </c>
      <c r="E31" s="38">
        <f t="shared" si="8"/>
        <v>0</v>
      </c>
      <c r="F31" s="5"/>
      <c r="G31" s="33" t="s">
        <v>3</v>
      </c>
      <c r="H31" s="34">
        <f>GETPIVOTDATA("Sum of TOTAL FIELD",'Pivot Table'!$A$64)</f>
        <v>0</v>
      </c>
      <c r="I31" s="38">
        <f t="shared" si="11"/>
        <v>0</v>
      </c>
      <c r="J31" s="38">
        <f t="shared" si="9"/>
        <v>0</v>
      </c>
      <c r="L31" s="33" t="s">
        <v>3</v>
      </c>
      <c r="M31" s="34">
        <f>GETPIVOTDATA("Sum of TOTAL FIELD",'Pivot Table'!$A$76)</f>
        <v>0</v>
      </c>
      <c r="N31" s="38">
        <f t="shared" si="12"/>
        <v>0</v>
      </c>
      <c r="O31" s="38">
        <f t="shared" si="13"/>
        <v>0</v>
      </c>
      <c r="P31" s="5"/>
      <c r="Q31" s="33" t="s">
        <v>3</v>
      </c>
      <c r="R31" s="34">
        <f>SUM(R28:R29)</f>
        <v>0</v>
      </c>
      <c r="S31" s="38">
        <f t="shared" si="14"/>
        <v>0</v>
      </c>
      <c r="T31" s="38">
        <f t="shared" si="15"/>
        <v>0</v>
      </c>
    </row>
    <row r="32" spans="2:30" customFormat="1" x14ac:dyDescent="0.25">
      <c r="B32" s="33" t="s">
        <v>76</v>
      </c>
      <c r="C32" s="34">
        <f>GETPIVOTDATA("Sum of No. GUESTS",'Pivot Table'!$A$52)</f>
        <v>0</v>
      </c>
      <c r="D32" s="38">
        <f t="shared" si="10"/>
        <v>0</v>
      </c>
      <c r="E32" s="38">
        <f t="shared" si="8"/>
        <v>0</v>
      </c>
      <c r="F32" s="5"/>
      <c r="G32" s="33" t="s">
        <v>76</v>
      </c>
      <c r="H32" s="34">
        <f>GETPIVOTDATA("Sum of No. GUESTS",'Pivot Table'!$A$64)</f>
        <v>0</v>
      </c>
      <c r="I32" s="38">
        <f t="shared" si="11"/>
        <v>0</v>
      </c>
      <c r="J32" s="38">
        <f t="shared" si="9"/>
        <v>0</v>
      </c>
      <c r="L32" s="33" t="s">
        <v>76</v>
      </c>
      <c r="M32" s="34">
        <f>GETPIVOTDATA("Sum of No. GUESTS",'Pivot Table'!$A$76)</f>
        <v>0</v>
      </c>
      <c r="N32" s="38">
        <f t="shared" si="12"/>
        <v>0</v>
      </c>
      <c r="O32" s="38">
        <f t="shared" si="13"/>
        <v>0</v>
      </c>
      <c r="P32" s="5"/>
      <c r="Q32" s="33" t="s">
        <v>76</v>
      </c>
      <c r="R32" s="34">
        <f>GETPIVOTDATA("Sum of No. GUESTS",'Pivot Table'!$A$88)</f>
        <v>0</v>
      </c>
      <c r="S32" s="38">
        <f t="shared" si="14"/>
        <v>0</v>
      </c>
      <c r="T32" s="38">
        <f t="shared" si="15"/>
        <v>0</v>
      </c>
    </row>
    <row r="33" spans="2:20" customFormat="1" ht="37.5" x14ac:dyDescent="0.25">
      <c r="B33" s="39" t="s">
        <v>68</v>
      </c>
      <c r="C33" s="37" t="e">
        <f>SUM(C32/C31)</f>
        <v>#DIV/0!</v>
      </c>
      <c r="D33" s="37" t="e">
        <f t="shared" si="10"/>
        <v>#DIV/0!</v>
      </c>
      <c r="E33" s="37" t="e">
        <f t="shared" si="8"/>
        <v>#DIV/0!</v>
      </c>
      <c r="F33" s="40"/>
      <c r="G33" s="39" t="s">
        <v>68</v>
      </c>
      <c r="H33" s="37" t="e">
        <f>SUM(H32/H31)</f>
        <v>#DIV/0!</v>
      </c>
      <c r="I33" s="37" t="e">
        <f t="shared" si="11"/>
        <v>#DIV/0!</v>
      </c>
      <c r="J33" s="37" t="e">
        <f t="shared" si="9"/>
        <v>#DIV/0!</v>
      </c>
      <c r="L33" s="39" t="s">
        <v>68</v>
      </c>
      <c r="M33" s="37" t="e">
        <f>SUM(M32/M31)</f>
        <v>#DIV/0!</v>
      </c>
      <c r="N33" s="37" t="e">
        <f t="shared" si="12"/>
        <v>#DIV/0!</v>
      </c>
      <c r="O33" s="37" t="e">
        <f t="shared" si="13"/>
        <v>#DIV/0!</v>
      </c>
      <c r="P33" s="40"/>
      <c r="Q33" s="39" t="s">
        <v>68</v>
      </c>
      <c r="R33" s="37" t="e">
        <f>SUM(R32/R31)</f>
        <v>#DIV/0!</v>
      </c>
      <c r="S33" s="37" t="e">
        <f t="shared" si="14"/>
        <v>#DIV/0!</v>
      </c>
      <c r="T33" s="37" t="e">
        <f t="shared" si="15"/>
        <v>#DIV/0!</v>
      </c>
    </row>
    <row r="34" spans="2:20" customFormat="1" x14ac:dyDescent="0.25">
      <c r="B34" s="32" t="s">
        <v>4</v>
      </c>
      <c r="C34" s="34">
        <f>GETPIVOTDATA("Sum of MEMBER",'Pivot Table'!$A$52)</f>
        <v>0</v>
      </c>
      <c r="D34" s="38">
        <f t="shared" si="10"/>
        <v>0</v>
      </c>
      <c r="E34" s="38">
        <f t="shared" si="8"/>
        <v>0</v>
      </c>
      <c r="F34" s="5"/>
      <c r="G34" s="32" t="s">
        <v>4</v>
      </c>
      <c r="H34" s="34">
        <f>GETPIVOTDATA("Sum of MEMBER",'Pivot Table'!$A$64)</f>
        <v>0</v>
      </c>
      <c r="I34" s="38">
        <f t="shared" si="11"/>
        <v>0</v>
      </c>
      <c r="J34" s="38">
        <f t="shared" si="9"/>
        <v>0</v>
      </c>
      <c r="L34" s="32" t="s">
        <v>4</v>
      </c>
      <c r="M34" s="34">
        <f>GETPIVOTDATA("Sum of MEMBER",'Pivot Table'!$A$76)</f>
        <v>0</v>
      </c>
      <c r="N34" s="38">
        <f t="shared" si="12"/>
        <v>0</v>
      </c>
      <c r="O34" s="38">
        <f t="shared" si="13"/>
        <v>0</v>
      </c>
      <c r="P34" s="5"/>
      <c r="Q34" s="32" t="s">
        <v>4</v>
      </c>
      <c r="R34" s="34">
        <f>GETPIVOTDATA("Sum of MEMBER",'Pivot Table'!$A$88)</f>
        <v>0</v>
      </c>
      <c r="S34" s="38">
        <f t="shared" si="14"/>
        <v>0</v>
      </c>
      <c r="T34" s="38">
        <f t="shared" si="15"/>
        <v>0</v>
      </c>
    </row>
    <row r="35" spans="2:20" customFormat="1" x14ac:dyDescent="0.25">
      <c r="B35" s="33" t="s">
        <v>77</v>
      </c>
      <c r="C35" s="34">
        <f>GETPIVOTDATA("Sum of MANAGER INTRO",'Pivot Table'!$A$52)</f>
        <v>0</v>
      </c>
      <c r="D35" s="38">
        <f t="shared" si="10"/>
        <v>0</v>
      </c>
      <c r="E35" s="38">
        <f t="shared" si="8"/>
        <v>0</v>
      </c>
      <c r="F35" s="5"/>
      <c r="G35" s="33" t="s">
        <v>77</v>
      </c>
      <c r="H35" s="34">
        <f>GETPIVOTDATA("Sum of MANAGER INTRO",'Pivot Table'!$A$64)</f>
        <v>0</v>
      </c>
      <c r="I35" s="38">
        <f t="shared" si="11"/>
        <v>0</v>
      </c>
      <c r="J35" s="38">
        <f t="shared" si="9"/>
        <v>0</v>
      </c>
      <c r="L35" s="33" t="s">
        <v>77</v>
      </c>
      <c r="M35" s="34">
        <f>GETPIVOTDATA("Sum of MANAGER INTRO",'Pivot Table'!$A$76)</f>
        <v>0</v>
      </c>
      <c r="N35" s="38">
        <f t="shared" si="12"/>
        <v>0</v>
      </c>
      <c r="O35" s="38">
        <f t="shared" si="13"/>
        <v>0</v>
      </c>
      <c r="P35" s="5"/>
      <c r="Q35" s="33" t="s">
        <v>77</v>
      </c>
      <c r="R35" s="34">
        <f>GETPIVOTDATA("Sum of MANAGER INTRO",'Pivot Table'!$A$88)</f>
        <v>0</v>
      </c>
      <c r="S35" s="38">
        <f t="shared" si="14"/>
        <v>0</v>
      </c>
      <c r="T35" s="38">
        <f t="shared" si="15"/>
        <v>0</v>
      </c>
    </row>
    <row r="36" spans="2:20" customFormat="1" x14ac:dyDescent="0.25">
      <c r="B36" s="33" t="s">
        <v>69</v>
      </c>
      <c r="C36" s="34">
        <f>GETPIVOTDATA("Sum of INTERSTATE",'Pivot Table'!$A$52)</f>
        <v>0</v>
      </c>
      <c r="D36" s="38">
        <f t="shared" si="10"/>
        <v>0</v>
      </c>
      <c r="E36" s="38">
        <f t="shared" si="8"/>
        <v>0</v>
      </c>
      <c r="F36" s="5"/>
      <c r="G36" s="33" t="s">
        <v>69</v>
      </c>
      <c r="H36" s="34">
        <f>GETPIVOTDATA("Sum of INTERSTATE",'Pivot Table'!$A$64)</f>
        <v>0</v>
      </c>
      <c r="I36" s="38">
        <f t="shared" si="11"/>
        <v>0</v>
      </c>
      <c r="J36" s="38">
        <f t="shared" si="9"/>
        <v>0</v>
      </c>
      <c r="L36" s="33" t="s">
        <v>69</v>
      </c>
      <c r="M36" s="34">
        <f>GETPIVOTDATA("Sum of INTERSTATE",'Pivot Table'!$A$76)</f>
        <v>0</v>
      </c>
      <c r="N36" s="38">
        <f t="shared" si="12"/>
        <v>0</v>
      </c>
      <c r="O36" s="38">
        <f t="shared" si="13"/>
        <v>0</v>
      </c>
      <c r="P36" s="5"/>
      <c r="Q36" s="33" t="s">
        <v>69</v>
      </c>
      <c r="R36" s="34">
        <f>GETPIVOTDATA("Sum of INTERSTATE",'Pivot Table'!$A$88)</f>
        <v>0</v>
      </c>
      <c r="S36" s="38">
        <f t="shared" si="14"/>
        <v>0</v>
      </c>
      <c r="T36" s="38">
        <f t="shared" si="15"/>
        <v>0</v>
      </c>
    </row>
    <row r="37" spans="2:20" customFormat="1" x14ac:dyDescent="0.25">
      <c r="B37" s="33" t="s">
        <v>70</v>
      </c>
      <c r="C37" s="34">
        <f>GETPIVOTDATA("Sum of INTERNATIONAL",'Pivot Table'!$A$52)</f>
        <v>0</v>
      </c>
      <c r="D37" s="38">
        <f t="shared" si="10"/>
        <v>0</v>
      </c>
      <c r="E37" s="38">
        <f t="shared" si="8"/>
        <v>0</v>
      </c>
      <c r="F37" s="5"/>
      <c r="G37" s="33" t="s">
        <v>70</v>
      </c>
      <c r="H37" s="34">
        <f>GETPIVOTDATA("Sum of INTERNATIONAL",'Pivot Table'!$A$64)</f>
        <v>0</v>
      </c>
      <c r="I37" s="38">
        <f t="shared" si="11"/>
        <v>0</v>
      </c>
      <c r="J37" s="38">
        <f t="shared" si="9"/>
        <v>0</v>
      </c>
      <c r="L37" s="33" t="s">
        <v>70</v>
      </c>
      <c r="M37" s="34">
        <f>GETPIVOTDATA("Sum of INTERNATIONAL",'Pivot Table'!$A$76)</f>
        <v>0</v>
      </c>
      <c r="N37" s="38">
        <f t="shared" si="12"/>
        <v>0</v>
      </c>
      <c r="O37" s="38">
        <f t="shared" si="13"/>
        <v>0</v>
      </c>
      <c r="P37" s="5"/>
      <c r="Q37" s="33" t="s">
        <v>70</v>
      </c>
      <c r="R37" s="34">
        <f>GETPIVOTDATA("Sum of INTERNATIONAL",'Pivot Table'!$A$88)</f>
        <v>0</v>
      </c>
      <c r="S37" s="38">
        <f t="shared" si="14"/>
        <v>0</v>
      </c>
      <c r="T37" s="38">
        <f t="shared" si="15"/>
        <v>0</v>
      </c>
    </row>
    <row r="38" spans="2:20" customFormat="1" x14ac:dyDescent="0.25">
      <c r="B38" s="33" t="s">
        <v>71</v>
      </c>
      <c r="C38" s="34">
        <f>GETPIVOTDATA("Sum of INDUSTRY GUEST",'Pivot Table'!$A$52)</f>
        <v>0</v>
      </c>
      <c r="D38" s="38">
        <f t="shared" si="10"/>
        <v>0</v>
      </c>
      <c r="E38" s="38">
        <f t="shared" si="8"/>
        <v>0</v>
      </c>
      <c r="F38" s="5"/>
      <c r="G38" s="33" t="s">
        <v>71</v>
      </c>
      <c r="H38" s="34">
        <f>GETPIVOTDATA("Sum of INDUSTRY GUEST",'Pivot Table'!$A$64)</f>
        <v>0</v>
      </c>
      <c r="I38" s="38">
        <f t="shared" si="11"/>
        <v>0</v>
      </c>
      <c r="J38" s="38">
        <f t="shared" si="9"/>
        <v>0</v>
      </c>
      <c r="L38" s="33" t="s">
        <v>71</v>
      </c>
      <c r="M38" s="34">
        <f>GETPIVOTDATA("Sum of INDUSTRY GUEST",'Pivot Table'!$A$76)</f>
        <v>0</v>
      </c>
      <c r="N38" s="38">
        <f t="shared" si="12"/>
        <v>0</v>
      </c>
      <c r="O38" s="38">
        <f t="shared" si="13"/>
        <v>0</v>
      </c>
      <c r="P38" s="5"/>
      <c r="Q38" s="33" t="s">
        <v>71</v>
      </c>
      <c r="R38" s="34">
        <f>GETPIVOTDATA("Sum of INDUSTRY GUEST",'Pivot Table'!$A$88)</f>
        <v>0</v>
      </c>
      <c r="S38" s="38">
        <f t="shared" si="14"/>
        <v>0</v>
      </c>
      <c r="T38" s="38">
        <f t="shared" si="15"/>
        <v>0</v>
      </c>
    </row>
    <row r="39" spans="2:20" customFormat="1" x14ac:dyDescent="0.25">
      <c r="B39" s="33" t="s">
        <v>5</v>
      </c>
      <c r="C39" s="34">
        <f>GETPIVOTDATA("Sum of MEMB GUEST MICLUB",'Pivot Table'!$A$52)</f>
        <v>0</v>
      </c>
      <c r="D39" s="38">
        <f t="shared" si="10"/>
        <v>0</v>
      </c>
      <c r="E39" s="38">
        <f t="shared" si="8"/>
        <v>0</v>
      </c>
      <c r="F39" s="5"/>
      <c r="G39" s="33" t="s">
        <v>5</v>
      </c>
      <c r="H39" s="34">
        <f>GETPIVOTDATA("Sum of MEMB GUEST MICLUB",'Pivot Table'!$A$64)</f>
        <v>0</v>
      </c>
      <c r="I39" s="38">
        <f t="shared" si="11"/>
        <v>0</v>
      </c>
      <c r="J39" s="38">
        <f t="shared" si="9"/>
        <v>0</v>
      </c>
      <c r="L39" s="33" t="s">
        <v>5</v>
      </c>
      <c r="M39" s="34">
        <f>GETPIVOTDATA("Sum of MEMB GUEST MICLUB",'Pivot Table'!$A$76)</f>
        <v>0</v>
      </c>
      <c r="N39" s="38">
        <f t="shared" si="12"/>
        <v>0</v>
      </c>
      <c r="O39" s="38">
        <f t="shared" si="13"/>
        <v>0</v>
      </c>
      <c r="P39" s="5"/>
      <c r="Q39" s="33" t="s">
        <v>5</v>
      </c>
      <c r="R39" s="34">
        <f>GETPIVOTDATA("Sum of MEMB GUEST MICLUB",'Pivot Table'!$A$88)</f>
        <v>0</v>
      </c>
      <c r="S39" s="38">
        <f t="shared" si="14"/>
        <v>0</v>
      </c>
      <c r="T39" s="38">
        <f t="shared" si="15"/>
        <v>0</v>
      </c>
    </row>
    <row r="40" spans="2:20" customFormat="1" ht="37.5" x14ac:dyDescent="0.25">
      <c r="B40" s="32" t="s">
        <v>72</v>
      </c>
      <c r="C40" s="34">
        <f>GETPIVOTDATA("Sum of MEMB GUEST UNACCOMPANIED",'Pivot Table'!$A$52)</f>
        <v>0</v>
      </c>
      <c r="D40" s="38">
        <f t="shared" si="10"/>
        <v>0</v>
      </c>
      <c r="E40" s="38">
        <f t="shared" si="8"/>
        <v>0</v>
      </c>
      <c r="F40" s="5"/>
      <c r="G40" s="32" t="s">
        <v>72</v>
      </c>
      <c r="H40" s="34">
        <f>GETPIVOTDATA("Sum of MEMB GUEST UNACCOMPANIED",'Pivot Table'!$A$64)</f>
        <v>0</v>
      </c>
      <c r="I40" s="38">
        <f t="shared" si="11"/>
        <v>0</v>
      </c>
      <c r="J40" s="38">
        <f t="shared" si="9"/>
        <v>0</v>
      </c>
      <c r="L40" s="32" t="s">
        <v>72</v>
      </c>
      <c r="M40" s="34">
        <f>GETPIVOTDATA("Sum of MEMB GUEST UNACCOMPANIED",'Pivot Table'!$A$76)</f>
        <v>0</v>
      </c>
      <c r="N40" s="38">
        <f t="shared" si="12"/>
        <v>0</v>
      </c>
      <c r="O40" s="38">
        <f t="shared" si="13"/>
        <v>0</v>
      </c>
      <c r="P40" s="5"/>
      <c r="Q40" s="32" t="s">
        <v>72</v>
      </c>
      <c r="R40" s="34">
        <f>GETPIVOTDATA("Sum of MEMB GUEST UNACCOMPANIED",'Pivot Table'!$A$88)</f>
        <v>0</v>
      </c>
      <c r="S40" s="38">
        <f t="shared" si="14"/>
        <v>0</v>
      </c>
      <c r="T40" s="38">
        <f t="shared" si="15"/>
        <v>0</v>
      </c>
    </row>
    <row r="41" spans="2:20" customFormat="1" x14ac:dyDescent="0.25">
      <c r="B41" s="33" t="s">
        <v>6</v>
      </c>
      <c r="C41" s="34">
        <f>GETPIVOTDATA("Sum of CORPORATE",'Pivot Table'!$A$52)</f>
        <v>0</v>
      </c>
      <c r="D41" s="38">
        <f t="shared" si="10"/>
        <v>0</v>
      </c>
      <c r="E41" s="38">
        <f t="shared" si="8"/>
        <v>0</v>
      </c>
      <c r="F41" s="5"/>
      <c r="G41" s="33" t="s">
        <v>6</v>
      </c>
      <c r="H41" s="34">
        <f>GETPIVOTDATA("Sum of CORPORATE",'Pivot Table'!$A$64)</f>
        <v>0</v>
      </c>
      <c r="I41" s="38">
        <f t="shared" si="11"/>
        <v>0</v>
      </c>
      <c r="J41" s="38">
        <f t="shared" si="9"/>
        <v>0</v>
      </c>
      <c r="L41" s="33" t="s">
        <v>6</v>
      </c>
      <c r="M41" s="34">
        <f>GETPIVOTDATA("Sum of CORPORATE",'Pivot Table'!$A$76)</f>
        <v>0</v>
      </c>
      <c r="N41" s="38">
        <f t="shared" ref="N41:N46" si="16">SUM(M41/4.4286)</f>
        <v>0</v>
      </c>
      <c r="O41" s="38">
        <f t="shared" ref="O41:O46" si="17">SUM(M41/31)</f>
        <v>0</v>
      </c>
      <c r="P41" s="5"/>
      <c r="Q41" s="33" t="s">
        <v>6</v>
      </c>
      <c r="R41" s="34">
        <f>GETPIVOTDATA("Sum of CORPORATE",'Pivot Table'!$A$88)</f>
        <v>0</v>
      </c>
      <c r="S41" s="38">
        <f t="shared" ref="S41:S46" si="18">SUM(R41/4.4286)</f>
        <v>0</v>
      </c>
      <c r="T41" s="38">
        <f t="shared" ref="T41:T46" si="19">SUM(R41/31)</f>
        <v>0</v>
      </c>
    </row>
    <row r="42" spans="2:20" customFormat="1" x14ac:dyDescent="0.25">
      <c r="B42" s="33" t="s">
        <v>93</v>
      </c>
      <c r="C42" s="34">
        <f>GETPIVOTDATA("Sum of EVENT",'Pivot Table'!$A$52)</f>
        <v>0</v>
      </c>
      <c r="D42" s="38">
        <f t="shared" si="10"/>
        <v>0</v>
      </c>
      <c r="E42" s="38">
        <f t="shared" si="8"/>
        <v>0</v>
      </c>
      <c r="F42" s="5"/>
      <c r="G42" s="33" t="s">
        <v>93</v>
      </c>
      <c r="H42" s="34">
        <f>GETPIVOTDATA("Sum of EVENT",'Pivot Table'!$A$64)</f>
        <v>0</v>
      </c>
      <c r="I42" s="38">
        <f t="shared" si="11"/>
        <v>0</v>
      </c>
      <c r="J42" s="38">
        <f t="shared" si="9"/>
        <v>0</v>
      </c>
      <c r="L42" s="33" t="s">
        <v>93</v>
      </c>
      <c r="M42" s="34">
        <f>GETPIVOTDATA("Sum of EVENT",'Pivot Table'!$A$76)</f>
        <v>0</v>
      </c>
      <c r="N42" s="38">
        <f t="shared" si="16"/>
        <v>0</v>
      </c>
      <c r="O42" s="38">
        <f t="shared" si="17"/>
        <v>0</v>
      </c>
      <c r="P42" s="5"/>
      <c r="Q42" s="33" t="s">
        <v>93</v>
      </c>
      <c r="R42" s="34">
        <f>GETPIVOTDATA("Sum of EVENT",'Pivot Table'!$A$88)</f>
        <v>0</v>
      </c>
      <c r="S42" s="38">
        <f t="shared" si="18"/>
        <v>0</v>
      </c>
      <c r="T42" s="38">
        <f t="shared" si="19"/>
        <v>0</v>
      </c>
    </row>
    <row r="43" spans="2:20" customFormat="1" x14ac:dyDescent="0.25">
      <c r="B43" s="33" t="s">
        <v>78</v>
      </c>
      <c r="C43" s="34">
        <f>GETPIVOTDATA("Sum of NON-PLAYING",'Pivot Table'!$A$52)</f>
        <v>0</v>
      </c>
      <c r="D43" s="38">
        <f t="shared" si="10"/>
        <v>0</v>
      </c>
      <c r="E43" s="38">
        <f t="shared" si="8"/>
        <v>0</v>
      </c>
      <c r="F43" s="5"/>
      <c r="G43" s="33" t="s">
        <v>78</v>
      </c>
      <c r="H43" s="34">
        <f>GETPIVOTDATA("Sum of NON-PLAYING",'Pivot Table'!$A$64)</f>
        <v>0</v>
      </c>
      <c r="I43" s="38">
        <f t="shared" si="11"/>
        <v>0</v>
      </c>
      <c r="J43" s="38">
        <f t="shared" si="9"/>
        <v>0</v>
      </c>
      <c r="L43" s="33" t="s">
        <v>78</v>
      </c>
      <c r="M43" s="34">
        <f>GETPIVOTDATA("Sum of NON-PLAYING",'Pivot Table'!$A$76)</f>
        <v>0</v>
      </c>
      <c r="N43" s="38">
        <f t="shared" si="16"/>
        <v>0</v>
      </c>
      <c r="O43" s="38">
        <f t="shared" si="17"/>
        <v>0</v>
      </c>
      <c r="P43" s="5"/>
      <c r="Q43" s="33" t="s">
        <v>78</v>
      </c>
      <c r="R43" s="34">
        <f>GETPIVOTDATA("Sum of NON-PLAYING",'Pivot Table'!$A$88)</f>
        <v>0</v>
      </c>
      <c r="S43" s="38">
        <f t="shared" si="18"/>
        <v>0</v>
      </c>
      <c r="T43" s="38">
        <f t="shared" si="19"/>
        <v>0</v>
      </c>
    </row>
    <row r="44" spans="2:20" x14ac:dyDescent="0.25">
      <c r="B44" s="33" t="s">
        <v>73</v>
      </c>
      <c r="C44" s="34">
        <f>GETPIVOTDATA("Sum of VOUCHER",'Pivot Table'!$A$52)</f>
        <v>0</v>
      </c>
      <c r="D44" s="38">
        <f t="shared" si="10"/>
        <v>0</v>
      </c>
      <c r="E44" s="38">
        <f t="shared" si="8"/>
        <v>0</v>
      </c>
      <c r="G44" s="33" t="s">
        <v>73</v>
      </c>
      <c r="H44" s="34">
        <f>GETPIVOTDATA("Sum of VOUCHER",'Pivot Table'!$A$64)</f>
        <v>0</v>
      </c>
      <c r="I44" s="38">
        <f t="shared" si="11"/>
        <v>0</v>
      </c>
      <c r="J44" s="38">
        <f t="shared" si="9"/>
        <v>0</v>
      </c>
      <c r="L44" s="33" t="s">
        <v>73</v>
      </c>
      <c r="M44" s="34">
        <f>GETPIVOTDATA("Sum of VOUCHER",'Pivot Table'!$A$76)</f>
        <v>0</v>
      </c>
      <c r="N44" s="38">
        <f t="shared" si="16"/>
        <v>0</v>
      </c>
      <c r="O44" s="38">
        <f t="shared" si="17"/>
        <v>0</v>
      </c>
      <c r="Q44" s="33" t="s">
        <v>73</v>
      </c>
      <c r="R44" s="34">
        <f>GETPIVOTDATA("Sum of VOUCHER",'Pivot Table'!$A$88)</f>
        <v>0</v>
      </c>
      <c r="S44" s="38">
        <f t="shared" si="18"/>
        <v>0</v>
      </c>
      <c r="T44" s="38">
        <f t="shared" si="19"/>
        <v>0</v>
      </c>
    </row>
    <row r="45" spans="2:20" x14ac:dyDescent="0.25">
      <c r="B45" s="33" t="s">
        <v>7</v>
      </c>
      <c r="C45" s="34">
        <f>GETPIVOTDATA("Sum of RECIP",'Pivot Table'!$A$52)</f>
        <v>0</v>
      </c>
      <c r="D45" s="38">
        <f t="shared" si="10"/>
        <v>0</v>
      </c>
      <c r="E45" s="38">
        <f t="shared" si="8"/>
        <v>0</v>
      </c>
      <c r="G45" s="33" t="s">
        <v>7</v>
      </c>
      <c r="H45" s="34">
        <f>GETPIVOTDATA("Sum of RECIP",'Pivot Table'!$A$64)</f>
        <v>0</v>
      </c>
      <c r="I45" s="38">
        <f t="shared" si="11"/>
        <v>0</v>
      </c>
      <c r="J45" s="38">
        <f t="shared" si="9"/>
        <v>0</v>
      </c>
      <c r="L45" s="33" t="s">
        <v>7</v>
      </c>
      <c r="M45" s="34">
        <f>GETPIVOTDATA("Sum of RECIP",'Pivot Table'!$A$76)</f>
        <v>0</v>
      </c>
      <c r="N45" s="38">
        <f t="shared" si="16"/>
        <v>0</v>
      </c>
      <c r="O45" s="38">
        <f t="shared" si="17"/>
        <v>0</v>
      </c>
      <c r="Q45" s="33" t="s">
        <v>7</v>
      </c>
      <c r="R45" s="34">
        <f>GETPIVOTDATA("Sum of RECIP",'Pivot Table'!$A$88)</f>
        <v>0</v>
      </c>
      <c r="S45" s="38">
        <f t="shared" si="18"/>
        <v>0</v>
      </c>
      <c r="T45" s="38">
        <f t="shared" si="19"/>
        <v>0</v>
      </c>
    </row>
    <row r="46" spans="2:20" x14ac:dyDescent="0.25">
      <c r="B46" s="33" t="s">
        <v>74</v>
      </c>
      <c r="C46" s="34">
        <f>GETPIVOTDATA("Sum of COMP",'Pivot Table'!$A$52)</f>
        <v>0</v>
      </c>
      <c r="D46" s="38">
        <f t="shared" si="10"/>
        <v>0</v>
      </c>
      <c r="E46" s="38">
        <f t="shared" si="8"/>
        <v>0</v>
      </c>
      <c r="G46" s="33" t="s">
        <v>74</v>
      </c>
      <c r="H46" s="34">
        <f>GETPIVOTDATA("Sum of COMP",'Pivot Table'!$A$64)</f>
        <v>0</v>
      </c>
      <c r="I46" s="38">
        <f t="shared" si="11"/>
        <v>0</v>
      </c>
      <c r="J46" s="38">
        <f t="shared" si="9"/>
        <v>0</v>
      </c>
      <c r="L46" s="33" t="s">
        <v>74</v>
      </c>
      <c r="M46" s="34">
        <f>GETPIVOTDATA("Sum of COMP",'Pivot Table'!$A$76)</f>
        <v>0</v>
      </c>
      <c r="N46" s="38">
        <f t="shared" si="16"/>
        <v>0</v>
      </c>
      <c r="O46" s="38">
        <f t="shared" si="17"/>
        <v>0</v>
      </c>
      <c r="Q46" s="33" t="s">
        <v>74</v>
      </c>
      <c r="R46" s="34">
        <f>GETPIVOTDATA("Sum of COMP",'Pivot Table'!$A$88)</f>
        <v>0</v>
      </c>
      <c r="S46" s="38">
        <f t="shared" si="18"/>
        <v>0</v>
      </c>
      <c r="T46" s="38">
        <f t="shared" si="19"/>
        <v>0</v>
      </c>
    </row>
    <row r="49" spans="2:30" ht="22.5" x14ac:dyDescent="0.25">
      <c r="B49" s="98" t="s">
        <v>15</v>
      </c>
      <c r="C49" s="100"/>
      <c r="D49" s="36" t="s">
        <v>83</v>
      </c>
      <c r="E49" s="36" t="s">
        <v>82</v>
      </c>
      <c r="F49" s="31"/>
      <c r="G49" s="98" t="s">
        <v>16</v>
      </c>
      <c r="H49" s="100"/>
      <c r="I49" s="36" t="s">
        <v>83</v>
      </c>
      <c r="J49" s="36" t="s">
        <v>82</v>
      </c>
      <c r="L49" s="98" t="s">
        <v>60</v>
      </c>
      <c r="M49" s="100"/>
      <c r="N49" s="36" t="s">
        <v>83</v>
      </c>
      <c r="O49" s="36" t="s">
        <v>82</v>
      </c>
      <c r="P49" s="31"/>
      <c r="Q49" s="98" t="s">
        <v>17</v>
      </c>
      <c r="R49" s="100"/>
      <c r="S49" s="36" t="s">
        <v>83</v>
      </c>
      <c r="T49" s="36" t="s">
        <v>82</v>
      </c>
    </row>
    <row r="50" spans="2:30" x14ac:dyDescent="0.25">
      <c r="J50" s="5"/>
      <c r="T50" s="5"/>
    </row>
    <row r="51" spans="2:30" x14ac:dyDescent="0.25">
      <c r="B51" s="33" t="s">
        <v>1</v>
      </c>
      <c r="C51" s="34">
        <f>GETPIVOTDATA("Sum of AM FIELD",'Pivot Table'!$A$100)</f>
        <v>0</v>
      </c>
      <c r="D51" s="38">
        <f>SUM(C51/4.2857)</f>
        <v>0</v>
      </c>
      <c r="E51" s="38">
        <f>SUM(C51/30)</f>
        <v>0</v>
      </c>
      <c r="G51" s="33" t="s">
        <v>1</v>
      </c>
      <c r="H51" s="34">
        <f>GETPIVOTDATA("Sum of AM FIELD",'Pivot Table'!$A$112)</f>
        <v>0</v>
      </c>
      <c r="I51" s="38">
        <f t="shared" ref="I51:I69" si="20">SUM(H51/4.4286)</f>
        <v>0</v>
      </c>
      <c r="J51" s="38">
        <f>SUM(H51/31)</f>
        <v>0</v>
      </c>
      <c r="L51" s="33" t="s">
        <v>1</v>
      </c>
      <c r="M51" s="34">
        <f>GETPIVOTDATA("Sum of AM FIELD",'Pivot Table'!$A$124)</f>
        <v>0</v>
      </c>
      <c r="N51" s="38">
        <f>SUM(M51/4.2857)</f>
        <v>0</v>
      </c>
      <c r="O51" s="38">
        <f t="shared" ref="O51:O69" si="21">SUM(M51/31)</f>
        <v>0</v>
      </c>
      <c r="Q51" s="33" t="s">
        <v>1</v>
      </c>
      <c r="R51" s="34">
        <f>GETPIVOTDATA("Sum of AM FIELD",'Pivot Table'!$A$136)</f>
        <v>0</v>
      </c>
      <c r="S51" s="38">
        <f t="shared" ref="S51:S69" si="22">SUM(R51/4.4286)</f>
        <v>0</v>
      </c>
      <c r="T51" s="38">
        <f t="shared" ref="T51:T69" si="23">SUM(R51/30)</f>
        <v>0</v>
      </c>
    </row>
    <row r="52" spans="2:30" x14ac:dyDescent="0.25">
      <c r="B52" s="33" t="s">
        <v>2</v>
      </c>
      <c r="C52" s="34">
        <f>GETPIVOTDATA("Sum of PM FIELD",'Pivot Table'!$A$100)</f>
        <v>0</v>
      </c>
      <c r="D52" s="38">
        <f t="shared" ref="D52:D69" si="24">SUM(C52/4.2857)</f>
        <v>0</v>
      </c>
      <c r="E52" s="38">
        <f t="shared" ref="E52:E69" si="25">SUM(C52/30)</f>
        <v>0</v>
      </c>
      <c r="G52" s="33" t="s">
        <v>2</v>
      </c>
      <c r="H52" s="34">
        <f>GETPIVOTDATA("Sum of PM FIELD",'Pivot Table'!$A$112)</f>
        <v>0</v>
      </c>
      <c r="I52" s="38">
        <f t="shared" si="20"/>
        <v>0</v>
      </c>
      <c r="J52" s="38">
        <f t="shared" ref="J52:J69" si="26">SUM(H52/31)</f>
        <v>0</v>
      </c>
      <c r="L52" s="33" t="s">
        <v>2</v>
      </c>
      <c r="M52" s="34">
        <f>GETPIVOTDATA("Sum of PM FIELD",'Pivot Table'!$A$124)</f>
        <v>0</v>
      </c>
      <c r="N52" s="38">
        <f t="shared" ref="N52:N69" si="27">SUM(M52/4.2857)</f>
        <v>0</v>
      </c>
      <c r="O52" s="38">
        <f t="shared" si="21"/>
        <v>0</v>
      </c>
      <c r="Q52" s="33" t="s">
        <v>2</v>
      </c>
      <c r="R52" s="34">
        <f>GETPIVOTDATA("Sum of PM FIELD",'Pivot Table'!$A$136)</f>
        <v>0</v>
      </c>
      <c r="S52" s="38">
        <f t="shared" si="22"/>
        <v>0</v>
      </c>
      <c r="T52" s="38">
        <f t="shared" si="23"/>
        <v>0</v>
      </c>
    </row>
    <row r="53" spans="2:30" x14ac:dyDescent="0.25">
      <c r="B53" s="33" t="s">
        <v>99</v>
      </c>
      <c r="C53" s="34">
        <v>0</v>
      </c>
      <c r="D53" s="34">
        <v>0</v>
      </c>
      <c r="E53" s="34">
        <v>0</v>
      </c>
      <c r="G53" s="33" t="s">
        <v>99</v>
      </c>
      <c r="H53" s="34">
        <f>GETPIVOTDATA("Sum of AFTER 3PM",'Pivot Table'!$A$112)</f>
        <v>0</v>
      </c>
      <c r="I53" s="38">
        <f t="shared" si="20"/>
        <v>0</v>
      </c>
      <c r="J53" s="38">
        <f t="shared" si="26"/>
        <v>0</v>
      </c>
      <c r="L53" s="33" t="s">
        <v>99</v>
      </c>
      <c r="M53" s="34">
        <f>GETPIVOTDATA("Sum of AFTER 3PM",'Pivot Table'!$A$124)</f>
        <v>0</v>
      </c>
      <c r="N53" s="38">
        <f t="shared" si="27"/>
        <v>0</v>
      </c>
      <c r="O53" s="38">
        <f t="shared" si="21"/>
        <v>0</v>
      </c>
      <c r="Q53" s="33" t="s">
        <v>99</v>
      </c>
      <c r="R53" s="34">
        <f>GETPIVOTDATA("Sum of AFTER 3PM",'Pivot Table'!$A$136)</f>
        <v>0</v>
      </c>
      <c r="S53" s="38">
        <f t="shared" si="22"/>
        <v>0</v>
      </c>
      <c r="T53" s="38">
        <f t="shared" si="23"/>
        <v>0</v>
      </c>
      <c r="AD53" s="35"/>
    </row>
    <row r="54" spans="2:30" x14ac:dyDescent="0.25">
      <c r="B54" s="33" t="s">
        <v>3</v>
      </c>
      <c r="C54" s="34">
        <f>GETPIVOTDATA("Sum of TOTAL FIELD",'Pivot Table'!$A$100)</f>
        <v>0</v>
      </c>
      <c r="D54" s="38">
        <f t="shared" si="24"/>
        <v>0</v>
      </c>
      <c r="E54" s="38">
        <f t="shared" si="25"/>
        <v>0</v>
      </c>
      <c r="G54" s="33" t="s">
        <v>3</v>
      </c>
      <c r="H54" s="34">
        <f>GETPIVOTDATA("Sum of TOTAL FIELD",'Pivot Table'!$A$112)</f>
        <v>0</v>
      </c>
      <c r="I54" s="38">
        <f t="shared" si="20"/>
        <v>0</v>
      </c>
      <c r="J54" s="38">
        <f t="shared" si="26"/>
        <v>0</v>
      </c>
      <c r="L54" s="33" t="s">
        <v>3</v>
      </c>
      <c r="M54" s="34">
        <f>GETPIVOTDATA("Sum of TOTAL FIELD",'Pivot Table'!$A$124)</f>
        <v>0</v>
      </c>
      <c r="N54" s="38">
        <f t="shared" si="27"/>
        <v>0</v>
      </c>
      <c r="O54" s="38">
        <f t="shared" si="21"/>
        <v>0</v>
      </c>
      <c r="Q54" s="33" t="s">
        <v>3</v>
      </c>
      <c r="R54" s="34">
        <f>GETPIVOTDATA("Sum of TOTAL FIELD",'Pivot Table'!$A$136)</f>
        <v>0</v>
      </c>
      <c r="S54" s="38">
        <f t="shared" si="22"/>
        <v>0</v>
      </c>
      <c r="T54" s="38">
        <f t="shared" si="23"/>
        <v>0</v>
      </c>
    </row>
    <row r="55" spans="2:30" x14ac:dyDescent="0.25">
      <c r="B55" s="33" t="s">
        <v>76</v>
      </c>
      <c r="C55" s="34">
        <f>GETPIVOTDATA("Sum of No. GUESTS",'Pivot Table'!$A$100)</f>
        <v>0</v>
      </c>
      <c r="D55" s="38">
        <f t="shared" si="24"/>
        <v>0</v>
      </c>
      <c r="E55" s="38">
        <f t="shared" si="25"/>
        <v>0</v>
      </c>
      <c r="G55" s="33" t="s">
        <v>76</v>
      </c>
      <c r="H55" s="34">
        <f>GETPIVOTDATA("Sum of No. GUESTS",'Pivot Table'!$A$112)</f>
        <v>0</v>
      </c>
      <c r="I55" s="38">
        <f t="shared" si="20"/>
        <v>0</v>
      </c>
      <c r="J55" s="38">
        <f t="shared" si="26"/>
        <v>0</v>
      </c>
      <c r="L55" s="33" t="s">
        <v>76</v>
      </c>
      <c r="M55" s="34">
        <f>GETPIVOTDATA("Sum of No. GUESTS",'Pivot Table'!$A$124)</f>
        <v>0</v>
      </c>
      <c r="N55" s="38">
        <f t="shared" si="27"/>
        <v>0</v>
      </c>
      <c r="O55" s="38">
        <f t="shared" si="21"/>
        <v>0</v>
      </c>
      <c r="Q55" s="33" t="s">
        <v>76</v>
      </c>
      <c r="R55" s="34">
        <f>GETPIVOTDATA("Sum of No. GUESTS",'Pivot Table'!$A$136)</f>
        <v>0</v>
      </c>
      <c r="S55" s="38">
        <f t="shared" si="22"/>
        <v>0</v>
      </c>
      <c r="T55" s="38">
        <f t="shared" si="23"/>
        <v>0</v>
      </c>
    </row>
    <row r="56" spans="2:30" ht="37.5" x14ac:dyDescent="0.25">
      <c r="B56" s="39" t="s">
        <v>68</v>
      </c>
      <c r="C56" s="37" t="e">
        <f>SUM(C55/C54)</f>
        <v>#DIV/0!</v>
      </c>
      <c r="D56" s="38" t="e">
        <f t="shared" si="24"/>
        <v>#DIV/0!</v>
      </c>
      <c r="E56" s="37" t="e">
        <f t="shared" si="25"/>
        <v>#DIV/0!</v>
      </c>
      <c r="F56" s="40"/>
      <c r="G56" s="39" t="s">
        <v>68</v>
      </c>
      <c r="H56" s="37" t="e">
        <f>SUM(H55/H54)</f>
        <v>#DIV/0!</v>
      </c>
      <c r="I56" s="37" t="e">
        <f t="shared" si="20"/>
        <v>#DIV/0!</v>
      </c>
      <c r="J56" s="37" t="e">
        <f t="shared" si="26"/>
        <v>#DIV/0!</v>
      </c>
      <c r="L56" s="39" t="s">
        <v>68</v>
      </c>
      <c r="M56" s="37" t="e">
        <f>SUM(M55/M54)</f>
        <v>#DIV/0!</v>
      </c>
      <c r="N56" s="38" t="e">
        <f t="shared" si="27"/>
        <v>#DIV/0!</v>
      </c>
      <c r="O56" s="56" t="e">
        <f t="shared" si="21"/>
        <v>#DIV/0!</v>
      </c>
      <c r="P56" s="40"/>
      <c r="Q56" s="39" t="s">
        <v>68</v>
      </c>
      <c r="R56" s="37" t="e">
        <f>SUM(R55/R54)</f>
        <v>#DIV/0!</v>
      </c>
      <c r="S56" s="56" t="e">
        <f t="shared" si="22"/>
        <v>#DIV/0!</v>
      </c>
      <c r="T56" s="56" t="e">
        <f t="shared" si="23"/>
        <v>#DIV/0!</v>
      </c>
    </row>
    <row r="57" spans="2:30" x14ac:dyDescent="0.25">
      <c r="B57" s="32" t="s">
        <v>4</v>
      </c>
      <c r="C57" s="34">
        <f>GETPIVOTDATA("Sum of MEMBER",'Pivot Table'!$A$100)</f>
        <v>0</v>
      </c>
      <c r="D57" s="38">
        <f t="shared" si="24"/>
        <v>0</v>
      </c>
      <c r="E57" s="38">
        <f t="shared" si="25"/>
        <v>0</v>
      </c>
      <c r="G57" s="32" t="s">
        <v>4</v>
      </c>
      <c r="H57" s="34">
        <f>GETPIVOTDATA("Sum of MEMBER",'Pivot Table'!$A$112)</f>
        <v>0</v>
      </c>
      <c r="I57" s="38">
        <f t="shared" si="20"/>
        <v>0</v>
      </c>
      <c r="J57" s="38">
        <f t="shared" si="26"/>
        <v>0</v>
      </c>
      <c r="L57" s="32" t="s">
        <v>4</v>
      </c>
      <c r="M57" s="34">
        <f>GETPIVOTDATA("Sum of MEMBER",'Pivot Table'!$A$124)</f>
        <v>0</v>
      </c>
      <c r="N57" s="38">
        <f t="shared" si="27"/>
        <v>0</v>
      </c>
      <c r="O57" s="38">
        <f t="shared" si="21"/>
        <v>0</v>
      </c>
      <c r="Q57" s="32" t="s">
        <v>4</v>
      </c>
      <c r="R57" s="34">
        <f>GETPIVOTDATA("Sum of MEMBER",'Pivot Table'!$A$136)</f>
        <v>0</v>
      </c>
      <c r="S57" s="38">
        <f t="shared" si="22"/>
        <v>0</v>
      </c>
      <c r="T57" s="38">
        <f t="shared" si="23"/>
        <v>0</v>
      </c>
    </row>
    <row r="58" spans="2:30" x14ac:dyDescent="0.25">
      <c r="B58" s="33" t="s">
        <v>77</v>
      </c>
      <c r="C58" s="34">
        <f>GETPIVOTDATA("Sum of MANAGER INTRO",'Pivot Table'!$A$100)</f>
        <v>0</v>
      </c>
      <c r="D58" s="38">
        <f t="shared" si="24"/>
        <v>0</v>
      </c>
      <c r="E58" s="38">
        <f t="shared" si="25"/>
        <v>0</v>
      </c>
      <c r="G58" s="33" t="s">
        <v>77</v>
      </c>
      <c r="H58" s="34">
        <f>GETPIVOTDATA("Sum of MANAGER INTRO",'Pivot Table'!$A$112)</f>
        <v>0</v>
      </c>
      <c r="I58" s="38">
        <f t="shared" si="20"/>
        <v>0</v>
      </c>
      <c r="J58" s="38">
        <f t="shared" si="26"/>
        <v>0</v>
      </c>
      <c r="L58" s="33" t="s">
        <v>77</v>
      </c>
      <c r="M58" s="34">
        <f>GETPIVOTDATA("Sum of MANAGER INTRO",'Pivot Table'!$A$124)</f>
        <v>0</v>
      </c>
      <c r="N58" s="38">
        <f t="shared" si="27"/>
        <v>0</v>
      </c>
      <c r="O58" s="38">
        <f t="shared" si="21"/>
        <v>0</v>
      </c>
      <c r="Q58" s="33" t="s">
        <v>77</v>
      </c>
      <c r="R58" s="34">
        <f>GETPIVOTDATA("Sum of MANAGER INTRO",'Pivot Table'!$A$136)</f>
        <v>0</v>
      </c>
      <c r="S58" s="38">
        <f t="shared" si="22"/>
        <v>0</v>
      </c>
      <c r="T58" s="38">
        <f t="shared" si="23"/>
        <v>0</v>
      </c>
    </row>
    <row r="59" spans="2:30" x14ac:dyDescent="0.25">
      <c r="B59" s="33" t="s">
        <v>69</v>
      </c>
      <c r="C59" s="34">
        <f>GETPIVOTDATA("Sum of INTERSTATE",'Pivot Table'!$A$100)</f>
        <v>0</v>
      </c>
      <c r="D59" s="38">
        <f t="shared" si="24"/>
        <v>0</v>
      </c>
      <c r="E59" s="38">
        <f t="shared" si="25"/>
        <v>0</v>
      </c>
      <c r="G59" s="33" t="s">
        <v>69</v>
      </c>
      <c r="H59" s="34">
        <f>GETPIVOTDATA("Sum of INTERSTATE",'Pivot Table'!$A$112)</f>
        <v>0</v>
      </c>
      <c r="I59" s="38">
        <f t="shared" si="20"/>
        <v>0</v>
      </c>
      <c r="J59" s="38">
        <f t="shared" si="26"/>
        <v>0</v>
      </c>
      <c r="L59" s="33" t="s">
        <v>69</v>
      </c>
      <c r="M59" s="34">
        <f>GETPIVOTDATA("Sum of INTERSTATE",'Pivot Table'!$A$124)</f>
        <v>0</v>
      </c>
      <c r="N59" s="38">
        <f t="shared" si="27"/>
        <v>0</v>
      </c>
      <c r="O59" s="38">
        <f t="shared" si="21"/>
        <v>0</v>
      </c>
      <c r="Q59" s="33" t="s">
        <v>69</v>
      </c>
      <c r="R59" s="34">
        <f>GETPIVOTDATA("Sum of INTERSTATE",'Pivot Table'!$A$136)</f>
        <v>0</v>
      </c>
      <c r="S59" s="38">
        <f t="shared" si="22"/>
        <v>0</v>
      </c>
      <c r="T59" s="38">
        <f t="shared" si="23"/>
        <v>0</v>
      </c>
    </row>
    <row r="60" spans="2:30" x14ac:dyDescent="0.25">
      <c r="B60" s="33" t="s">
        <v>70</v>
      </c>
      <c r="C60" s="34">
        <f>GETPIVOTDATA("Sum of INTERNATIONAL",'Pivot Table'!$A$100)</f>
        <v>0</v>
      </c>
      <c r="D60" s="38">
        <f t="shared" si="24"/>
        <v>0</v>
      </c>
      <c r="E60" s="38">
        <f t="shared" si="25"/>
        <v>0</v>
      </c>
      <c r="G60" s="33" t="s">
        <v>70</v>
      </c>
      <c r="H60" s="34">
        <f>GETPIVOTDATA("Sum of INTERNATIONAL",'Pivot Table'!$A$112)</f>
        <v>0</v>
      </c>
      <c r="I60" s="38">
        <f t="shared" si="20"/>
        <v>0</v>
      </c>
      <c r="J60" s="38">
        <f t="shared" si="26"/>
        <v>0</v>
      </c>
      <c r="L60" s="33" t="s">
        <v>70</v>
      </c>
      <c r="M60" s="34">
        <f>GETPIVOTDATA("Sum of INTERNATIONAL",'Pivot Table'!$A$124)</f>
        <v>0</v>
      </c>
      <c r="N60" s="38">
        <f t="shared" si="27"/>
        <v>0</v>
      </c>
      <c r="O60" s="38">
        <f t="shared" si="21"/>
        <v>0</v>
      </c>
      <c r="Q60" s="33" t="s">
        <v>70</v>
      </c>
      <c r="R60" s="34">
        <f>GETPIVOTDATA("Sum of INTERNATIONAL",'Pivot Table'!$A$136)</f>
        <v>0</v>
      </c>
      <c r="S60" s="38">
        <f t="shared" si="22"/>
        <v>0</v>
      </c>
      <c r="T60" s="38">
        <f t="shared" si="23"/>
        <v>0</v>
      </c>
    </row>
    <row r="61" spans="2:30" x14ac:dyDescent="0.25">
      <c r="B61" s="33" t="s">
        <v>71</v>
      </c>
      <c r="C61" s="34">
        <f>GETPIVOTDATA("Sum of INDUSTRY GUEST",'Pivot Table'!$A$100)</f>
        <v>0</v>
      </c>
      <c r="D61" s="38">
        <f t="shared" si="24"/>
        <v>0</v>
      </c>
      <c r="E61" s="38">
        <f t="shared" si="25"/>
        <v>0</v>
      </c>
      <c r="G61" s="33" t="s">
        <v>71</v>
      </c>
      <c r="H61" s="34">
        <f>GETPIVOTDATA("Sum of INDUSTRY GUEST",'Pivot Table'!$A$112)</f>
        <v>0</v>
      </c>
      <c r="I61" s="38">
        <f t="shared" si="20"/>
        <v>0</v>
      </c>
      <c r="J61" s="38">
        <f t="shared" si="26"/>
        <v>0</v>
      </c>
      <c r="L61" s="33" t="s">
        <v>71</v>
      </c>
      <c r="M61" s="34">
        <f>GETPIVOTDATA("Sum of INDUSTRY GUEST",'Pivot Table'!$A$124)</f>
        <v>0</v>
      </c>
      <c r="N61" s="38">
        <f t="shared" si="27"/>
        <v>0</v>
      </c>
      <c r="O61" s="38">
        <f t="shared" si="21"/>
        <v>0</v>
      </c>
      <c r="Q61" s="33" t="s">
        <v>71</v>
      </c>
      <c r="R61" s="34">
        <f>GETPIVOTDATA("Sum of INDUSTRY GUEST",'Pivot Table'!$A$136)</f>
        <v>0</v>
      </c>
      <c r="S61" s="38">
        <f t="shared" si="22"/>
        <v>0</v>
      </c>
      <c r="T61" s="38">
        <f t="shared" si="23"/>
        <v>0</v>
      </c>
      <c r="AD61" s="35"/>
    </row>
    <row r="62" spans="2:30" x14ac:dyDescent="0.25">
      <c r="B62" s="33" t="s">
        <v>5</v>
      </c>
      <c r="C62" s="34">
        <f>GETPIVOTDATA("Sum of MEMB GUEST MICLUB",'Pivot Table'!$A$100)</f>
        <v>0</v>
      </c>
      <c r="D62" s="38">
        <f t="shared" si="24"/>
        <v>0</v>
      </c>
      <c r="E62" s="38">
        <f t="shared" si="25"/>
        <v>0</v>
      </c>
      <c r="G62" s="33" t="s">
        <v>5</v>
      </c>
      <c r="H62" s="34">
        <f>GETPIVOTDATA("Sum of MEMB GUEST MICLUB",'Pivot Table'!$A$112)</f>
        <v>0</v>
      </c>
      <c r="I62" s="38">
        <f t="shared" si="20"/>
        <v>0</v>
      </c>
      <c r="J62" s="38">
        <f t="shared" si="26"/>
        <v>0</v>
      </c>
      <c r="L62" s="33" t="s">
        <v>5</v>
      </c>
      <c r="M62" s="34">
        <f>GETPIVOTDATA("Sum of MEMB GUEST MICLUB",'Pivot Table'!$A$124)</f>
        <v>0</v>
      </c>
      <c r="N62" s="38">
        <f t="shared" si="27"/>
        <v>0</v>
      </c>
      <c r="O62" s="38">
        <f t="shared" si="21"/>
        <v>0</v>
      </c>
      <c r="Q62" s="33" t="s">
        <v>5</v>
      </c>
      <c r="R62" s="34">
        <f>GETPIVOTDATA("Sum of MEMB GUEST MICLUB",'Pivot Table'!$A$136)</f>
        <v>0</v>
      </c>
      <c r="S62" s="38">
        <f t="shared" si="22"/>
        <v>0</v>
      </c>
      <c r="T62" s="38">
        <f t="shared" si="23"/>
        <v>0</v>
      </c>
      <c r="AD62" s="35"/>
    </row>
    <row r="63" spans="2:30" ht="37.5" x14ac:dyDescent="0.25">
      <c r="B63" s="32" t="s">
        <v>72</v>
      </c>
      <c r="C63" s="34">
        <f>GETPIVOTDATA("Sum of MEMB GUEST UNACCOMPANIED",'Pivot Table'!$A$100)</f>
        <v>0</v>
      </c>
      <c r="D63" s="38">
        <f t="shared" si="24"/>
        <v>0</v>
      </c>
      <c r="E63" s="38">
        <f t="shared" si="25"/>
        <v>0</v>
      </c>
      <c r="G63" s="32" t="s">
        <v>72</v>
      </c>
      <c r="H63" s="34">
        <f>GETPIVOTDATA("Sum of MEMB GUEST UNACCOMPANIED",'Pivot Table'!$A$112)</f>
        <v>0</v>
      </c>
      <c r="I63" s="38">
        <f t="shared" si="20"/>
        <v>0</v>
      </c>
      <c r="J63" s="38">
        <f t="shared" si="26"/>
        <v>0</v>
      </c>
      <c r="L63" s="32" t="s">
        <v>72</v>
      </c>
      <c r="M63" s="34">
        <f>GETPIVOTDATA("Sum of MEMB GUEST UNACCOMPANIED",'Pivot Table'!$A$124)</f>
        <v>0</v>
      </c>
      <c r="N63" s="38">
        <f t="shared" si="27"/>
        <v>0</v>
      </c>
      <c r="O63" s="38">
        <f t="shared" si="21"/>
        <v>0</v>
      </c>
      <c r="Q63" s="32" t="s">
        <v>72</v>
      </c>
      <c r="R63" s="34">
        <f>GETPIVOTDATA("Sum of MEMB GUEST UNACCOMPANIED",'Pivot Table'!$A$136)</f>
        <v>0</v>
      </c>
      <c r="S63" s="38">
        <f t="shared" si="22"/>
        <v>0</v>
      </c>
      <c r="T63" s="38">
        <f t="shared" si="23"/>
        <v>0</v>
      </c>
      <c r="AD63" s="35"/>
    </row>
    <row r="64" spans="2:30" x14ac:dyDescent="0.25">
      <c r="B64" s="33" t="s">
        <v>6</v>
      </c>
      <c r="C64" s="34">
        <f>GETPIVOTDATA("Sum of CORPORATE",'Pivot Table'!$A$100)</f>
        <v>0</v>
      </c>
      <c r="D64" s="38">
        <f t="shared" si="24"/>
        <v>0</v>
      </c>
      <c r="E64" s="38">
        <f t="shared" si="25"/>
        <v>0</v>
      </c>
      <c r="G64" s="33" t="s">
        <v>6</v>
      </c>
      <c r="H64" s="34">
        <f>GETPIVOTDATA("Sum of CORPORATE",'Pivot Table'!$A$112)</f>
        <v>0</v>
      </c>
      <c r="I64" s="38">
        <f t="shared" si="20"/>
        <v>0</v>
      </c>
      <c r="J64" s="38">
        <f t="shared" si="26"/>
        <v>0</v>
      </c>
      <c r="L64" s="33" t="s">
        <v>6</v>
      </c>
      <c r="M64" s="34">
        <f>GETPIVOTDATA("Sum of CORPORATE",'Pivot Table'!$A$124)</f>
        <v>0</v>
      </c>
      <c r="N64" s="38">
        <f t="shared" si="27"/>
        <v>0</v>
      </c>
      <c r="O64" s="38">
        <f t="shared" si="21"/>
        <v>0</v>
      </c>
      <c r="Q64" s="33" t="s">
        <v>6</v>
      </c>
      <c r="R64" s="34">
        <f>GETPIVOTDATA("Sum of CORPORATE",'Pivot Table'!$A$136)</f>
        <v>0</v>
      </c>
      <c r="S64" s="38">
        <f t="shared" si="22"/>
        <v>0</v>
      </c>
      <c r="T64" s="38">
        <f t="shared" si="23"/>
        <v>0</v>
      </c>
      <c r="AD64" s="35"/>
    </row>
    <row r="65" spans="2:30" x14ac:dyDescent="0.25">
      <c r="B65" s="33" t="s">
        <v>93</v>
      </c>
      <c r="C65" s="34">
        <f>GETPIVOTDATA("Sum of EVENT",'Pivot Table'!$A$100)</f>
        <v>0</v>
      </c>
      <c r="D65" s="38">
        <f t="shared" si="24"/>
        <v>0</v>
      </c>
      <c r="E65" s="38">
        <f t="shared" si="25"/>
        <v>0</v>
      </c>
      <c r="G65" s="33" t="s">
        <v>93</v>
      </c>
      <c r="H65" s="34">
        <f>GETPIVOTDATA("Sum of EVENT",'Pivot Table'!$A$112)</f>
        <v>0</v>
      </c>
      <c r="I65" s="38">
        <f t="shared" si="20"/>
        <v>0</v>
      </c>
      <c r="J65" s="38">
        <f t="shared" si="26"/>
        <v>0</v>
      </c>
      <c r="L65" s="33" t="s">
        <v>93</v>
      </c>
      <c r="M65" s="34">
        <f>GETPIVOTDATA("Sum of EVENT",'Pivot Table'!$A$124)</f>
        <v>0</v>
      </c>
      <c r="N65" s="38">
        <f t="shared" si="27"/>
        <v>0</v>
      </c>
      <c r="O65" s="38">
        <f t="shared" si="21"/>
        <v>0</v>
      </c>
      <c r="Q65" s="33" t="s">
        <v>93</v>
      </c>
      <c r="R65" s="34">
        <f>GETPIVOTDATA("Sum of EVENT",'Pivot Table'!$A$136)</f>
        <v>0</v>
      </c>
      <c r="S65" s="38">
        <f t="shared" si="22"/>
        <v>0</v>
      </c>
      <c r="T65" s="38">
        <f t="shared" si="23"/>
        <v>0</v>
      </c>
      <c r="AD65" s="35"/>
    </row>
    <row r="66" spans="2:30" s="40" customFormat="1" x14ac:dyDescent="0.25">
      <c r="B66" s="33" t="s">
        <v>78</v>
      </c>
      <c r="C66" s="34">
        <f>GETPIVOTDATA("Sum of NON-PLAYING",'Pivot Table'!$A$100)</f>
        <v>0</v>
      </c>
      <c r="D66" s="38">
        <f t="shared" si="24"/>
        <v>0</v>
      </c>
      <c r="E66" s="38">
        <f t="shared" si="25"/>
        <v>0</v>
      </c>
      <c r="F66" s="5"/>
      <c r="G66" s="33" t="s">
        <v>78</v>
      </c>
      <c r="H66" s="34">
        <f>GETPIVOTDATA("Sum of NON-PLAYING",'Pivot Table'!$A$112)</f>
        <v>0</v>
      </c>
      <c r="I66" s="38">
        <f t="shared" si="20"/>
        <v>0</v>
      </c>
      <c r="J66" s="38">
        <f t="shared" si="26"/>
        <v>0</v>
      </c>
      <c r="K66" s="52"/>
      <c r="L66" s="33" t="s">
        <v>78</v>
      </c>
      <c r="M66" s="34">
        <f>GETPIVOTDATA("Sum of NON-PLAYING",'Pivot Table'!$A$124)</f>
        <v>0</v>
      </c>
      <c r="N66" s="38">
        <f t="shared" si="27"/>
        <v>0</v>
      </c>
      <c r="O66" s="38">
        <f t="shared" si="21"/>
        <v>0</v>
      </c>
      <c r="P66" s="5"/>
      <c r="Q66" s="33" t="s">
        <v>78</v>
      </c>
      <c r="R66" s="34">
        <f>GETPIVOTDATA("Sum of NON-PLAYING",'Pivot Table'!$A$136)</f>
        <v>0</v>
      </c>
      <c r="S66" s="38">
        <f t="shared" si="22"/>
        <v>0</v>
      </c>
      <c r="T66" s="38">
        <f t="shared" si="23"/>
        <v>0</v>
      </c>
      <c r="U66" s="52"/>
      <c r="V66" s="50"/>
      <c r="W66" s="51"/>
      <c r="X66" s="51"/>
      <c r="Y66" s="51"/>
      <c r="Z66" s="52"/>
      <c r="AA66" s="50"/>
      <c r="AB66" s="51"/>
      <c r="AC66" s="51"/>
      <c r="AD66" s="51"/>
    </row>
    <row r="67" spans="2:30" x14ac:dyDescent="0.25">
      <c r="B67" s="33" t="s">
        <v>73</v>
      </c>
      <c r="C67" s="34">
        <f>GETPIVOTDATA("Sum of VOUCHER",'Pivot Table'!$A$100)</f>
        <v>0</v>
      </c>
      <c r="D67" s="38">
        <f t="shared" si="24"/>
        <v>0</v>
      </c>
      <c r="E67" s="38">
        <f t="shared" si="25"/>
        <v>0</v>
      </c>
      <c r="G67" s="33" t="s">
        <v>73</v>
      </c>
      <c r="H67" s="34">
        <f>GETPIVOTDATA("Sum of VOUCHER",'Pivot Table'!$A$112)</f>
        <v>0</v>
      </c>
      <c r="I67" s="38">
        <f t="shared" si="20"/>
        <v>0</v>
      </c>
      <c r="J67" s="38">
        <f t="shared" si="26"/>
        <v>0</v>
      </c>
      <c r="L67" s="33" t="s">
        <v>73</v>
      </c>
      <c r="M67" s="34">
        <f>GETPIVOTDATA("Sum of VOUCHER",'Pivot Table'!$A$124)</f>
        <v>0</v>
      </c>
      <c r="N67" s="38">
        <f t="shared" si="27"/>
        <v>0</v>
      </c>
      <c r="O67" s="38">
        <f t="shared" si="21"/>
        <v>0</v>
      </c>
      <c r="Q67" s="33" t="s">
        <v>73</v>
      </c>
      <c r="R67" s="34">
        <f>GETPIVOTDATA("Sum of VOUCHER",'Pivot Table'!$A$136)</f>
        <v>0</v>
      </c>
      <c r="S67" s="38">
        <f t="shared" si="22"/>
        <v>0</v>
      </c>
      <c r="T67" s="38">
        <f t="shared" si="23"/>
        <v>0</v>
      </c>
      <c r="V67" s="48"/>
      <c r="AA67" s="48"/>
      <c r="AD67" s="35"/>
    </row>
    <row r="68" spans="2:30" x14ac:dyDescent="0.25">
      <c r="B68" s="33" t="s">
        <v>7</v>
      </c>
      <c r="C68" s="34">
        <f>GETPIVOTDATA("Sum of RECIP",'Pivot Table'!$A$100)</f>
        <v>0</v>
      </c>
      <c r="D68" s="38">
        <f t="shared" si="24"/>
        <v>0</v>
      </c>
      <c r="E68" s="38">
        <f t="shared" si="25"/>
        <v>0</v>
      </c>
      <c r="G68" s="33" t="s">
        <v>7</v>
      </c>
      <c r="H68" s="34">
        <f>GETPIVOTDATA("Sum of RECIP",'Pivot Table'!$A$112)</f>
        <v>0</v>
      </c>
      <c r="I68" s="38">
        <f t="shared" si="20"/>
        <v>0</v>
      </c>
      <c r="J68" s="38">
        <f t="shared" si="26"/>
        <v>0</v>
      </c>
      <c r="L68" s="33" t="s">
        <v>7</v>
      </c>
      <c r="M68" s="34">
        <f>GETPIVOTDATA("Sum of RECIP",'Pivot Table'!$A$124)</f>
        <v>0</v>
      </c>
      <c r="N68" s="38">
        <f t="shared" si="27"/>
        <v>0</v>
      </c>
      <c r="O68" s="38">
        <f t="shared" si="21"/>
        <v>0</v>
      </c>
      <c r="Q68" s="33" t="s">
        <v>7</v>
      </c>
      <c r="R68" s="34">
        <f>GETPIVOTDATA("Sum of RECIP",'Pivot Table'!$A$136)</f>
        <v>0</v>
      </c>
      <c r="S68" s="38">
        <f t="shared" si="22"/>
        <v>0</v>
      </c>
      <c r="T68" s="38">
        <f t="shared" si="23"/>
        <v>0</v>
      </c>
      <c r="AD68" s="35"/>
    </row>
    <row r="69" spans="2:30" x14ac:dyDescent="0.25">
      <c r="B69" s="33" t="s">
        <v>74</v>
      </c>
      <c r="C69" s="34">
        <f>GETPIVOTDATA("Sum of COMP",'Pivot Table'!$A$100)</f>
        <v>0</v>
      </c>
      <c r="D69" s="38">
        <f t="shared" si="24"/>
        <v>0</v>
      </c>
      <c r="E69" s="38">
        <f t="shared" si="25"/>
        <v>0</v>
      </c>
      <c r="G69" s="33" t="s">
        <v>74</v>
      </c>
      <c r="H69" s="34">
        <f>GETPIVOTDATA("Sum of COMP",'Pivot Table'!$A$112)</f>
        <v>0</v>
      </c>
      <c r="I69" s="38">
        <f t="shared" si="20"/>
        <v>0</v>
      </c>
      <c r="J69" s="38">
        <f t="shared" si="26"/>
        <v>0</v>
      </c>
      <c r="L69" s="33" t="s">
        <v>74</v>
      </c>
      <c r="M69" s="34">
        <f>GETPIVOTDATA("Sum of COMP",'Pivot Table'!$A$124)</f>
        <v>0</v>
      </c>
      <c r="N69" s="38">
        <f t="shared" si="27"/>
        <v>0</v>
      </c>
      <c r="O69" s="38">
        <f t="shared" si="21"/>
        <v>0</v>
      </c>
      <c r="Q69" s="33" t="s">
        <v>74</v>
      </c>
      <c r="R69" s="34">
        <f>GETPIVOTDATA("Sum of COMP",'Pivot Table'!$A$136)</f>
        <v>0</v>
      </c>
      <c r="S69" s="38">
        <f t="shared" si="22"/>
        <v>0</v>
      </c>
      <c r="T69" s="38">
        <f t="shared" si="23"/>
        <v>0</v>
      </c>
      <c r="AD69" s="35"/>
    </row>
    <row r="70" spans="2:30" x14ac:dyDescent="0.25">
      <c r="D70" s="49"/>
      <c r="E70" s="49"/>
      <c r="I70" s="49"/>
      <c r="J70" s="49"/>
      <c r="AD70" s="35"/>
    </row>
    <row r="71" spans="2:30" x14ac:dyDescent="0.25">
      <c r="D71" s="49"/>
      <c r="E71" s="49"/>
      <c r="I71" s="49"/>
      <c r="J71" s="49"/>
      <c r="AD71" s="35"/>
    </row>
    <row r="72" spans="2:30" x14ac:dyDescent="0.25">
      <c r="D72" s="49"/>
      <c r="E72" s="49"/>
      <c r="I72" s="49"/>
      <c r="J72" s="49"/>
      <c r="AD72" s="35"/>
    </row>
    <row r="73" spans="2:30" x14ac:dyDescent="0.25">
      <c r="B73" s="48"/>
      <c r="D73" s="49"/>
      <c r="E73" s="49"/>
      <c r="G73" s="48"/>
      <c r="I73" s="49"/>
      <c r="J73" s="49"/>
      <c r="L73" s="48"/>
      <c r="Q73" s="48"/>
      <c r="V73" s="48"/>
      <c r="AA73" s="48"/>
      <c r="AD73" s="35"/>
    </row>
    <row r="74" spans="2:30" x14ac:dyDescent="0.25">
      <c r="D74" s="49"/>
      <c r="E74" s="49"/>
      <c r="I74" s="49"/>
      <c r="J74" s="49"/>
      <c r="AD74" s="35"/>
    </row>
    <row r="75" spans="2:30" x14ac:dyDescent="0.25">
      <c r="D75" s="49"/>
      <c r="E75" s="49"/>
      <c r="I75" s="49"/>
      <c r="J75" s="49"/>
      <c r="AD75" s="35"/>
    </row>
    <row r="76" spans="2:30" x14ac:dyDescent="0.25">
      <c r="D76" s="49"/>
      <c r="E76" s="49"/>
      <c r="I76" s="49"/>
      <c r="J76" s="49"/>
      <c r="AD76" s="35"/>
    </row>
    <row r="77" spans="2:30" x14ac:dyDescent="0.25">
      <c r="D77" s="49"/>
      <c r="E77" s="49"/>
      <c r="I77" s="49"/>
      <c r="J77" s="49"/>
      <c r="AD77" s="35"/>
    </row>
    <row r="78" spans="2:30" x14ac:dyDescent="0.25">
      <c r="D78" s="49"/>
      <c r="E78" s="49"/>
      <c r="I78" s="49"/>
      <c r="J78" s="49"/>
      <c r="AD78" s="35"/>
    </row>
  </sheetData>
  <mergeCells count="16">
    <mergeCell ref="AA3:AB3"/>
    <mergeCell ref="B26:C26"/>
    <mergeCell ref="G26:H26"/>
    <mergeCell ref="L26:M26"/>
    <mergeCell ref="Q26:R26"/>
    <mergeCell ref="V26:W26"/>
    <mergeCell ref="B3:C3"/>
    <mergeCell ref="V3:W3"/>
    <mergeCell ref="G3:H3"/>
    <mergeCell ref="L3:M3"/>
    <mergeCell ref="Q3:R3"/>
    <mergeCell ref="B49:C49"/>
    <mergeCell ref="G49:H49"/>
    <mergeCell ref="L49:M49"/>
    <mergeCell ref="Q49:R49"/>
    <mergeCell ref="AA26:AB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B8E1-998A-4DF6-8828-8E3E5CEE0B62}">
  <dimension ref="A2:S144"/>
  <sheetViews>
    <sheetView workbookViewId="0">
      <selection activeCell="E26" sqref="E26"/>
    </sheetView>
  </sheetViews>
  <sheetFormatPr defaultRowHeight="16.5" x14ac:dyDescent="0.35"/>
  <cols>
    <col min="1" max="1" width="13.42578125" style="81" bestFit="1" customWidth="1"/>
    <col min="2" max="3" width="16.140625" style="81" bestFit="1" customWidth="1"/>
    <col min="4" max="4" width="19.140625" style="81" bestFit="1" customWidth="1"/>
    <col min="5" max="5" width="18.7109375" style="81" bestFit="1" customWidth="1"/>
    <col min="6" max="6" width="15.7109375" style="81" bestFit="1" customWidth="1"/>
    <col min="7" max="7" width="23.42578125" style="81" bestFit="1" customWidth="1"/>
    <col min="8" max="8" width="18.85546875" style="81" bestFit="1" customWidth="1"/>
    <col min="9" max="9" width="22.7109375" style="81" bestFit="1" customWidth="1"/>
    <col min="10" max="10" width="23.85546875" style="81" bestFit="1" customWidth="1"/>
    <col min="11" max="11" width="27.5703125" style="81" bestFit="1" customWidth="1"/>
    <col min="12" max="12" width="37.42578125" style="81" bestFit="1" customWidth="1"/>
    <col min="13" max="13" width="19.28515625" style="81" bestFit="1" customWidth="1"/>
    <col min="14" max="14" width="13.7109375" style="81" bestFit="1" customWidth="1"/>
    <col min="15" max="15" width="20.85546875" style="81" bestFit="1" customWidth="1"/>
    <col min="16" max="16" width="17" style="81" bestFit="1" customWidth="1"/>
    <col min="17" max="18" width="13.42578125" style="81" bestFit="1" customWidth="1"/>
    <col min="19" max="16384" width="9.140625" style="81"/>
  </cols>
  <sheetData>
    <row r="2" spans="1:19" x14ac:dyDescent="0.35">
      <c r="A2" s="81" t="s">
        <v>34</v>
      </c>
    </row>
    <row r="4" spans="1:19" x14ac:dyDescent="0.35">
      <c r="A4" s="68" t="s">
        <v>35</v>
      </c>
      <c r="B4" s="68" t="s">
        <v>36</v>
      </c>
      <c r="C4" t="s">
        <v>37</v>
      </c>
      <c r="D4" t="s">
        <v>101</v>
      </c>
      <c r="E4" t="s">
        <v>38</v>
      </c>
      <c r="F4" t="s">
        <v>39</v>
      </c>
      <c r="G4" t="s">
        <v>40</v>
      </c>
      <c r="H4" t="s">
        <v>41</v>
      </c>
      <c r="I4" t="s">
        <v>61</v>
      </c>
      <c r="J4" t="s">
        <v>62</v>
      </c>
      <c r="K4" t="s">
        <v>63</v>
      </c>
      <c r="L4" t="s">
        <v>58</v>
      </c>
      <c r="M4" t="s">
        <v>64</v>
      </c>
      <c r="N4" t="s">
        <v>42</v>
      </c>
      <c r="O4" t="s">
        <v>94</v>
      </c>
      <c r="P4" t="s">
        <v>65</v>
      </c>
      <c r="Q4" t="s">
        <v>43</v>
      </c>
      <c r="R4" t="s">
        <v>44</v>
      </c>
      <c r="S4" t="s">
        <v>45</v>
      </c>
    </row>
    <row r="5" spans="1:19" x14ac:dyDescent="0.35">
      <c r="A5" s="67" t="s">
        <v>46</v>
      </c>
      <c r="B5">
        <v>292</v>
      </c>
      <c r="C5">
        <v>278</v>
      </c>
      <c r="D5">
        <v>77</v>
      </c>
      <c r="E5">
        <v>647</v>
      </c>
      <c r="F5">
        <v>203</v>
      </c>
      <c r="G5">
        <v>440</v>
      </c>
      <c r="H5">
        <v>17</v>
      </c>
      <c r="I5">
        <v>4</v>
      </c>
      <c r="J5">
        <v>25</v>
      </c>
      <c r="K5">
        <v>4</v>
      </c>
      <c r="L5">
        <v>108</v>
      </c>
      <c r="M5">
        <v>4</v>
      </c>
      <c r="N5">
        <v>0</v>
      </c>
      <c r="O5">
        <v>0</v>
      </c>
      <c r="P5">
        <v>4</v>
      </c>
      <c r="Q5">
        <v>29</v>
      </c>
      <c r="R5">
        <v>12</v>
      </c>
      <c r="S5">
        <v>361</v>
      </c>
    </row>
    <row r="6" spans="1:19" x14ac:dyDescent="0.35">
      <c r="A6" s="67" t="s">
        <v>47</v>
      </c>
      <c r="B6">
        <v>326</v>
      </c>
      <c r="C6">
        <v>45</v>
      </c>
      <c r="D6">
        <v>105</v>
      </c>
      <c r="E6">
        <v>476</v>
      </c>
      <c r="F6">
        <v>35</v>
      </c>
      <c r="G6">
        <v>440</v>
      </c>
      <c r="H6">
        <v>4</v>
      </c>
      <c r="I6">
        <v>0</v>
      </c>
      <c r="J6">
        <v>0</v>
      </c>
      <c r="K6">
        <v>3</v>
      </c>
      <c r="L6">
        <v>19</v>
      </c>
      <c r="M6">
        <v>0</v>
      </c>
      <c r="N6">
        <v>0</v>
      </c>
      <c r="O6">
        <v>0</v>
      </c>
      <c r="P6">
        <v>1</v>
      </c>
      <c r="Q6">
        <v>3</v>
      </c>
      <c r="R6">
        <v>6</v>
      </c>
      <c r="S6">
        <v>313</v>
      </c>
    </row>
    <row r="7" spans="1:19" x14ac:dyDescent="0.35">
      <c r="A7" s="67" t="s">
        <v>48</v>
      </c>
      <c r="B7">
        <v>288</v>
      </c>
      <c r="C7">
        <v>169</v>
      </c>
      <c r="D7">
        <v>93</v>
      </c>
      <c r="E7">
        <v>550</v>
      </c>
      <c r="F7">
        <v>207</v>
      </c>
      <c r="G7">
        <v>339</v>
      </c>
      <c r="H7">
        <v>4</v>
      </c>
      <c r="I7">
        <v>13</v>
      </c>
      <c r="J7">
        <v>41</v>
      </c>
      <c r="K7">
        <v>3</v>
      </c>
      <c r="L7">
        <v>110</v>
      </c>
      <c r="M7">
        <v>3</v>
      </c>
      <c r="N7">
        <v>0</v>
      </c>
      <c r="O7">
        <v>0</v>
      </c>
      <c r="P7">
        <v>4</v>
      </c>
      <c r="Q7">
        <v>19</v>
      </c>
      <c r="R7">
        <v>14</v>
      </c>
      <c r="S7">
        <v>136</v>
      </c>
    </row>
    <row r="8" spans="1:19" x14ac:dyDescent="0.35">
      <c r="A8" s="67" t="s">
        <v>49</v>
      </c>
      <c r="B8">
        <v>404</v>
      </c>
      <c r="C8">
        <v>356</v>
      </c>
      <c r="D8">
        <v>113</v>
      </c>
      <c r="E8">
        <v>873</v>
      </c>
      <c r="F8">
        <v>78</v>
      </c>
      <c r="G8">
        <v>794</v>
      </c>
      <c r="H8">
        <v>9</v>
      </c>
      <c r="I8">
        <v>0</v>
      </c>
      <c r="J8">
        <v>3</v>
      </c>
      <c r="K8">
        <v>0</v>
      </c>
      <c r="L8">
        <v>42</v>
      </c>
      <c r="M8">
        <v>0</v>
      </c>
      <c r="N8">
        <v>0</v>
      </c>
      <c r="O8">
        <v>0</v>
      </c>
      <c r="P8">
        <v>1</v>
      </c>
      <c r="Q8">
        <v>17</v>
      </c>
      <c r="R8">
        <v>7</v>
      </c>
      <c r="S8">
        <v>737</v>
      </c>
    </row>
    <row r="9" spans="1:19" x14ac:dyDescent="0.35">
      <c r="A9" s="67" t="s">
        <v>50</v>
      </c>
      <c r="B9">
        <v>446</v>
      </c>
      <c r="C9">
        <v>269</v>
      </c>
      <c r="D9">
        <v>185</v>
      </c>
      <c r="E9">
        <v>900</v>
      </c>
      <c r="F9">
        <v>296</v>
      </c>
      <c r="G9">
        <v>601</v>
      </c>
      <c r="H9">
        <v>0</v>
      </c>
      <c r="I9">
        <v>0</v>
      </c>
      <c r="J9">
        <v>15</v>
      </c>
      <c r="K9">
        <v>1</v>
      </c>
      <c r="L9">
        <v>198</v>
      </c>
      <c r="M9">
        <v>1</v>
      </c>
      <c r="N9">
        <v>0</v>
      </c>
      <c r="O9">
        <v>0</v>
      </c>
      <c r="P9">
        <v>3</v>
      </c>
      <c r="Q9">
        <v>48</v>
      </c>
      <c r="R9">
        <v>33</v>
      </c>
      <c r="S9">
        <v>401</v>
      </c>
    </row>
    <row r="10" spans="1:19" x14ac:dyDescent="0.35">
      <c r="A10" s="67" t="s">
        <v>51</v>
      </c>
      <c r="B10">
        <v>439</v>
      </c>
      <c r="C10">
        <v>265</v>
      </c>
      <c r="D10">
        <v>23</v>
      </c>
      <c r="E10">
        <v>727</v>
      </c>
      <c r="F10">
        <v>4</v>
      </c>
      <c r="G10">
        <v>723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757</v>
      </c>
    </row>
    <row r="11" spans="1:19" x14ac:dyDescent="0.35">
      <c r="A11" s="67" t="s">
        <v>52</v>
      </c>
      <c r="B11">
        <v>362</v>
      </c>
      <c r="C11">
        <v>346</v>
      </c>
      <c r="D11">
        <v>161</v>
      </c>
      <c r="E11">
        <v>869</v>
      </c>
      <c r="F11">
        <v>174</v>
      </c>
      <c r="G11">
        <v>689</v>
      </c>
      <c r="H11">
        <v>4</v>
      </c>
      <c r="I11">
        <v>0</v>
      </c>
      <c r="J11">
        <v>0</v>
      </c>
      <c r="K11">
        <v>1</v>
      </c>
      <c r="L11">
        <v>120</v>
      </c>
      <c r="M11">
        <v>4</v>
      </c>
      <c r="N11">
        <v>0</v>
      </c>
      <c r="O11">
        <v>0</v>
      </c>
      <c r="P11">
        <v>6</v>
      </c>
      <c r="Q11">
        <v>25</v>
      </c>
      <c r="R11">
        <v>20</v>
      </c>
      <c r="S11">
        <v>503</v>
      </c>
    </row>
    <row r="12" spans="1:19" x14ac:dyDescent="0.35">
      <c r="A12" s="67" t="s">
        <v>53</v>
      </c>
      <c r="B12">
        <v>2557</v>
      </c>
      <c r="C12">
        <v>1728</v>
      </c>
      <c r="D12">
        <v>757</v>
      </c>
      <c r="E12">
        <v>5042</v>
      </c>
      <c r="F12">
        <v>997</v>
      </c>
      <c r="G12">
        <v>4026</v>
      </c>
      <c r="H12">
        <v>39</v>
      </c>
      <c r="I12">
        <v>17</v>
      </c>
      <c r="J12">
        <v>84</v>
      </c>
      <c r="K12">
        <v>12</v>
      </c>
      <c r="L12">
        <v>597</v>
      </c>
      <c r="M12">
        <v>12</v>
      </c>
      <c r="N12">
        <v>0</v>
      </c>
      <c r="O12">
        <v>0</v>
      </c>
      <c r="P12">
        <v>19</v>
      </c>
      <c r="Q12">
        <v>141</v>
      </c>
      <c r="R12">
        <v>95</v>
      </c>
      <c r="S12">
        <v>3208</v>
      </c>
    </row>
    <row r="13" spans="1:19" x14ac:dyDescent="0.35">
      <c r="A13" s="67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9" x14ac:dyDescent="0.35">
      <c r="A14" s="82" t="s">
        <v>66</v>
      </c>
    </row>
    <row r="16" spans="1:19" x14ac:dyDescent="0.35">
      <c r="A16" s="68" t="s">
        <v>35</v>
      </c>
      <c r="B16" s="68" t="s">
        <v>36</v>
      </c>
      <c r="C16" t="s">
        <v>37</v>
      </c>
      <c r="D16" t="s">
        <v>101</v>
      </c>
      <c r="E16" t="s">
        <v>38</v>
      </c>
      <c r="F16" t="s">
        <v>39</v>
      </c>
      <c r="G16" t="s">
        <v>40</v>
      </c>
      <c r="H16" t="s">
        <v>41</v>
      </c>
      <c r="I16" t="s">
        <v>61</v>
      </c>
      <c r="J16" t="s">
        <v>62</v>
      </c>
      <c r="K16" t="s">
        <v>63</v>
      </c>
      <c r="L16" t="s">
        <v>58</v>
      </c>
      <c r="M16" t="s">
        <v>64</v>
      </c>
      <c r="N16" t="s">
        <v>42</v>
      </c>
      <c r="O16" t="s">
        <v>94</v>
      </c>
      <c r="P16" t="s">
        <v>65</v>
      </c>
      <c r="Q16" t="s">
        <v>43</v>
      </c>
      <c r="R16" t="s">
        <v>44</v>
      </c>
      <c r="S16" t="s">
        <v>45</v>
      </c>
    </row>
    <row r="17" spans="1:19" x14ac:dyDescent="0.35">
      <c r="A17" s="67" t="s">
        <v>46</v>
      </c>
      <c r="B17">
        <v>153</v>
      </c>
      <c r="C17">
        <v>324</v>
      </c>
      <c r="D17">
        <v>75</v>
      </c>
      <c r="E17">
        <v>552</v>
      </c>
      <c r="F17">
        <v>143</v>
      </c>
      <c r="G17">
        <v>407</v>
      </c>
      <c r="H17">
        <v>10</v>
      </c>
      <c r="I17">
        <v>6</v>
      </c>
      <c r="J17">
        <v>29</v>
      </c>
      <c r="K17">
        <v>3</v>
      </c>
      <c r="L17">
        <v>52</v>
      </c>
      <c r="M17">
        <v>0</v>
      </c>
      <c r="N17">
        <v>0</v>
      </c>
      <c r="O17">
        <v>0</v>
      </c>
      <c r="P17">
        <v>2</v>
      </c>
      <c r="Q17">
        <v>24</v>
      </c>
      <c r="R17">
        <v>19</v>
      </c>
      <c r="S17">
        <v>278</v>
      </c>
    </row>
    <row r="18" spans="1:19" x14ac:dyDescent="0.35">
      <c r="A18" s="67" t="s">
        <v>47</v>
      </c>
      <c r="B18">
        <v>397</v>
      </c>
      <c r="C18">
        <v>68</v>
      </c>
      <c r="D18">
        <v>87</v>
      </c>
      <c r="E18">
        <v>552</v>
      </c>
      <c r="F18">
        <v>44</v>
      </c>
      <c r="G18">
        <v>508</v>
      </c>
      <c r="H18">
        <v>16</v>
      </c>
      <c r="I18">
        <v>0</v>
      </c>
      <c r="J18">
        <v>8</v>
      </c>
      <c r="K18">
        <v>0</v>
      </c>
      <c r="L18">
        <v>14</v>
      </c>
      <c r="M18">
        <v>1</v>
      </c>
      <c r="N18">
        <v>0</v>
      </c>
      <c r="O18">
        <v>0</v>
      </c>
      <c r="P18">
        <v>0</v>
      </c>
      <c r="Q18">
        <v>4</v>
      </c>
      <c r="R18">
        <v>1</v>
      </c>
      <c r="S18">
        <v>0</v>
      </c>
    </row>
    <row r="19" spans="1:19" x14ac:dyDescent="0.35">
      <c r="A19" s="67" t="s">
        <v>48</v>
      </c>
      <c r="B19">
        <v>398</v>
      </c>
      <c r="C19">
        <v>253</v>
      </c>
      <c r="D19">
        <v>79</v>
      </c>
      <c r="E19">
        <v>730</v>
      </c>
      <c r="F19">
        <v>448</v>
      </c>
      <c r="G19">
        <v>279</v>
      </c>
      <c r="H19">
        <v>4</v>
      </c>
      <c r="I19">
        <v>5</v>
      </c>
      <c r="J19">
        <v>41</v>
      </c>
      <c r="K19">
        <v>2</v>
      </c>
      <c r="L19">
        <v>39</v>
      </c>
      <c r="M19">
        <v>2</v>
      </c>
      <c r="N19">
        <v>318</v>
      </c>
      <c r="O19">
        <v>0</v>
      </c>
      <c r="P19">
        <v>3</v>
      </c>
      <c r="Q19">
        <v>14</v>
      </c>
      <c r="R19">
        <v>23</v>
      </c>
      <c r="S19">
        <v>31</v>
      </c>
    </row>
    <row r="20" spans="1:19" x14ac:dyDescent="0.35">
      <c r="A20" s="67" t="s">
        <v>49</v>
      </c>
      <c r="B20">
        <v>330</v>
      </c>
      <c r="C20">
        <v>309</v>
      </c>
      <c r="D20">
        <v>137</v>
      </c>
      <c r="E20">
        <v>776</v>
      </c>
      <c r="F20">
        <v>66</v>
      </c>
      <c r="G20">
        <v>710</v>
      </c>
      <c r="H20">
        <v>2</v>
      </c>
      <c r="I20">
        <v>0</v>
      </c>
      <c r="J20">
        <v>0</v>
      </c>
      <c r="K20">
        <v>0</v>
      </c>
      <c r="L20">
        <v>51</v>
      </c>
      <c r="M20">
        <v>0</v>
      </c>
      <c r="N20">
        <v>0</v>
      </c>
      <c r="O20">
        <v>0</v>
      </c>
      <c r="P20">
        <v>0</v>
      </c>
      <c r="Q20">
        <v>8</v>
      </c>
      <c r="R20">
        <v>5</v>
      </c>
      <c r="S20">
        <v>617</v>
      </c>
    </row>
    <row r="21" spans="1:19" x14ac:dyDescent="0.35">
      <c r="A21" s="67" t="s">
        <v>50</v>
      </c>
      <c r="B21">
        <v>305</v>
      </c>
      <c r="C21">
        <v>290</v>
      </c>
      <c r="D21">
        <v>212</v>
      </c>
      <c r="E21">
        <v>807</v>
      </c>
      <c r="F21">
        <v>214</v>
      </c>
      <c r="G21">
        <v>585</v>
      </c>
      <c r="H21">
        <v>16</v>
      </c>
      <c r="I21">
        <v>6</v>
      </c>
      <c r="J21">
        <v>5</v>
      </c>
      <c r="K21">
        <v>2</v>
      </c>
      <c r="L21">
        <v>151</v>
      </c>
      <c r="M21">
        <v>2</v>
      </c>
      <c r="N21">
        <v>0</v>
      </c>
      <c r="O21">
        <v>0</v>
      </c>
      <c r="P21">
        <v>8</v>
      </c>
      <c r="Q21">
        <v>19</v>
      </c>
      <c r="R21">
        <v>13</v>
      </c>
      <c r="S21">
        <v>390</v>
      </c>
    </row>
    <row r="22" spans="1:19" x14ac:dyDescent="0.35">
      <c r="A22" s="67" t="s">
        <v>51</v>
      </c>
      <c r="B22">
        <v>348</v>
      </c>
      <c r="C22">
        <v>319</v>
      </c>
      <c r="D22">
        <v>7</v>
      </c>
      <c r="E22">
        <v>674</v>
      </c>
      <c r="F22">
        <v>3</v>
      </c>
      <c r="G22">
        <v>671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</v>
      </c>
      <c r="S22">
        <v>542</v>
      </c>
    </row>
    <row r="23" spans="1:19" x14ac:dyDescent="0.35">
      <c r="A23" s="67" t="s">
        <v>52</v>
      </c>
      <c r="B23">
        <v>362</v>
      </c>
      <c r="C23">
        <v>289</v>
      </c>
      <c r="D23">
        <v>138</v>
      </c>
      <c r="E23">
        <v>789</v>
      </c>
      <c r="F23">
        <v>148</v>
      </c>
      <c r="G23">
        <v>638</v>
      </c>
      <c r="H23">
        <v>13</v>
      </c>
      <c r="I23">
        <v>0</v>
      </c>
      <c r="J23">
        <v>1</v>
      </c>
      <c r="K23">
        <v>0</v>
      </c>
      <c r="L23">
        <v>107</v>
      </c>
      <c r="M23">
        <v>0</v>
      </c>
      <c r="N23">
        <v>0</v>
      </c>
      <c r="O23">
        <v>0</v>
      </c>
      <c r="P23">
        <v>3</v>
      </c>
      <c r="Q23">
        <v>8</v>
      </c>
      <c r="R23">
        <v>19</v>
      </c>
      <c r="S23">
        <v>517</v>
      </c>
    </row>
    <row r="24" spans="1:19" x14ac:dyDescent="0.35">
      <c r="A24" s="67" t="s">
        <v>53</v>
      </c>
      <c r="B24">
        <v>2293</v>
      </c>
      <c r="C24">
        <v>1852</v>
      </c>
      <c r="D24">
        <v>735</v>
      </c>
      <c r="E24">
        <v>4880</v>
      </c>
      <c r="F24">
        <v>1066</v>
      </c>
      <c r="G24">
        <v>3798</v>
      </c>
      <c r="H24">
        <v>61</v>
      </c>
      <c r="I24">
        <v>17</v>
      </c>
      <c r="J24">
        <v>84</v>
      </c>
      <c r="K24">
        <v>7</v>
      </c>
      <c r="L24">
        <v>414</v>
      </c>
      <c r="M24">
        <v>5</v>
      </c>
      <c r="N24">
        <v>318</v>
      </c>
      <c r="O24">
        <v>0</v>
      </c>
      <c r="P24">
        <v>16</v>
      </c>
      <c r="Q24">
        <v>77</v>
      </c>
      <c r="R24">
        <v>83</v>
      </c>
      <c r="S24">
        <v>2375</v>
      </c>
    </row>
    <row r="26" spans="1:19" x14ac:dyDescent="0.35">
      <c r="A26" s="82" t="s">
        <v>54</v>
      </c>
    </row>
    <row r="28" spans="1:19" x14ac:dyDescent="0.35">
      <c r="A28" s="68" t="s">
        <v>35</v>
      </c>
      <c r="B28" s="68" t="s">
        <v>36</v>
      </c>
      <c r="C28" t="s">
        <v>37</v>
      </c>
      <c r="D28" t="s">
        <v>101</v>
      </c>
      <c r="E28" t="s">
        <v>38</v>
      </c>
      <c r="F28" t="s">
        <v>39</v>
      </c>
      <c r="G28" t="s">
        <v>40</v>
      </c>
      <c r="H28" t="s">
        <v>41</v>
      </c>
      <c r="I28" t="s">
        <v>61</v>
      </c>
      <c r="J28" t="s">
        <v>62</v>
      </c>
      <c r="K28" t="s">
        <v>63</v>
      </c>
      <c r="L28" t="s">
        <v>58</v>
      </c>
      <c r="M28" t="s">
        <v>64</v>
      </c>
      <c r="N28" t="s">
        <v>42</v>
      </c>
      <c r="O28" t="s">
        <v>94</v>
      </c>
      <c r="P28" t="s">
        <v>65</v>
      </c>
      <c r="Q28" t="s">
        <v>43</v>
      </c>
      <c r="R28" t="s">
        <v>44</v>
      </c>
      <c r="S28" t="s">
        <v>45</v>
      </c>
    </row>
    <row r="29" spans="1:19" x14ac:dyDescent="0.35">
      <c r="A29" s="67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5">
      <c r="A30" s="67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5">
      <c r="A31" s="67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35">
      <c r="A32" s="67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35">
      <c r="A33" s="67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35">
      <c r="A34" s="67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35">
      <c r="A35" s="67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35">
      <c r="A36" s="67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8" spans="1:19" x14ac:dyDescent="0.35">
      <c r="A38" s="82" t="s">
        <v>55</v>
      </c>
    </row>
    <row r="40" spans="1:19" x14ac:dyDescent="0.35">
      <c r="A40" s="68" t="s">
        <v>35</v>
      </c>
      <c r="B40" s="68" t="s">
        <v>36</v>
      </c>
      <c r="C40" t="s">
        <v>37</v>
      </c>
      <c r="D40" t="s">
        <v>101</v>
      </c>
      <c r="E40" t="s">
        <v>38</v>
      </c>
      <c r="F40" t="s">
        <v>39</v>
      </c>
      <c r="G40" t="s">
        <v>40</v>
      </c>
      <c r="H40" t="s">
        <v>41</v>
      </c>
      <c r="I40" t="s">
        <v>61</v>
      </c>
      <c r="J40" t="s">
        <v>62</v>
      </c>
      <c r="K40" t="s">
        <v>63</v>
      </c>
      <c r="L40" t="s">
        <v>58</v>
      </c>
      <c r="M40" t="s">
        <v>64</v>
      </c>
      <c r="N40" t="s">
        <v>42</v>
      </c>
      <c r="O40" t="s">
        <v>94</v>
      </c>
      <c r="P40" t="s">
        <v>65</v>
      </c>
      <c r="Q40" t="s">
        <v>43</v>
      </c>
      <c r="R40" t="s">
        <v>44</v>
      </c>
      <c r="S40" t="s">
        <v>45</v>
      </c>
    </row>
    <row r="41" spans="1:19" x14ac:dyDescent="0.35">
      <c r="A41" s="67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5">
      <c r="A42" s="67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5">
      <c r="A43" s="67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5">
      <c r="A44" s="67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5">
      <c r="A45" s="67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5">
      <c r="A46" s="67" t="s">
        <v>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5">
      <c r="A47" s="67" t="s">
        <v>52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5">
      <c r="A48" s="67" t="s">
        <v>53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50" spans="1:19" x14ac:dyDescent="0.35">
      <c r="A50" s="82" t="s">
        <v>56</v>
      </c>
    </row>
    <row r="52" spans="1:19" x14ac:dyDescent="0.35">
      <c r="A52" s="68" t="s">
        <v>35</v>
      </c>
      <c r="B52" s="68" t="s">
        <v>36</v>
      </c>
      <c r="C52" t="s">
        <v>37</v>
      </c>
      <c r="D52" t="s">
        <v>101</v>
      </c>
      <c r="E52" t="s">
        <v>38</v>
      </c>
      <c r="F52" t="s">
        <v>39</v>
      </c>
      <c r="G52" t="s">
        <v>40</v>
      </c>
      <c r="H52" t="s">
        <v>41</v>
      </c>
      <c r="I52" t="s">
        <v>61</v>
      </c>
      <c r="J52" t="s">
        <v>62</v>
      </c>
      <c r="K52" t="s">
        <v>63</v>
      </c>
      <c r="L52" t="s">
        <v>58</v>
      </c>
      <c r="M52" t="s">
        <v>64</v>
      </c>
      <c r="N52" t="s">
        <v>42</v>
      </c>
      <c r="O52" t="s">
        <v>94</v>
      </c>
      <c r="P52" t="s">
        <v>65</v>
      </c>
      <c r="Q52" t="s">
        <v>43</v>
      </c>
      <c r="R52" t="s">
        <v>44</v>
      </c>
      <c r="S52" t="s">
        <v>45</v>
      </c>
    </row>
    <row r="53" spans="1:19" x14ac:dyDescent="0.35">
      <c r="A53" s="67" t="s">
        <v>46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5">
      <c r="A54" s="67" t="s">
        <v>47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5">
      <c r="A55" s="67" t="s">
        <v>48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5">
      <c r="A56" s="67" t="s">
        <v>49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5">
      <c r="A57" s="67" t="s">
        <v>50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5">
      <c r="A58" s="67" t="s">
        <v>51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5">
      <c r="A59" s="67" t="s">
        <v>52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5">
      <c r="A60" s="67" t="s">
        <v>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2" spans="1:19" x14ac:dyDescent="0.35">
      <c r="A62" s="82" t="s">
        <v>57</v>
      </c>
    </row>
    <row r="64" spans="1:19" x14ac:dyDescent="0.35">
      <c r="A64" s="68" t="s">
        <v>35</v>
      </c>
      <c r="B64" s="68" t="s">
        <v>36</v>
      </c>
      <c r="C64" t="s">
        <v>37</v>
      </c>
      <c r="D64" t="s">
        <v>101</v>
      </c>
      <c r="E64" t="s">
        <v>38</v>
      </c>
      <c r="F64" t="s">
        <v>39</v>
      </c>
      <c r="G64" t="s">
        <v>40</v>
      </c>
      <c r="H64" t="s">
        <v>41</v>
      </c>
      <c r="I64" t="s">
        <v>61</v>
      </c>
      <c r="J64" t="s">
        <v>62</v>
      </c>
      <c r="K64" t="s">
        <v>63</v>
      </c>
      <c r="L64" t="s">
        <v>58</v>
      </c>
      <c r="M64" t="s">
        <v>64</v>
      </c>
      <c r="N64" t="s">
        <v>42</v>
      </c>
      <c r="O64" t="s">
        <v>94</v>
      </c>
      <c r="P64" t="s">
        <v>65</v>
      </c>
      <c r="Q64" t="s">
        <v>43</v>
      </c>
      <c r="R64" t="s">
        <v>44</v>
      </c>
      <c r="S64" t="s">
        <v>45</v>
      </c>
    </row>
    <row r="65" spans="1:19" x14ac:dyDescent="0.35">
      <c r="A65" s="67" t="s">
        <v>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5">
      <c r="A66" s="67" t="s">
        <v>47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5">
      <c r="A67" s="67" t="s">
        <v>48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5">
      <c r="A68" s="67" t="s">
        <v>49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5">
      <c r="A69" s="67" t="s">
        <v>50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5">
      <c r="A70" s="67" t="s">
        <v>51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5">
      <c r="A71" s="67" t="s">
        <v>52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5">
      <c r="A72" s="67" t="s">
        <v>53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4" spans="1:19" x14ac:dyDescent="0.35">
      <c r="A74" s="82" t="s">
        <v>59</v>
      </c>
    </row>
    <row r="76" spans="1:19" x14ac:dyDescent="0.35">
      <c r="A76" s="68" t="s">
        <v>35</v>
      </c>
      <c r="B76" s="68" t="s">
        <v>36</v>
      </c>
      <c r="C76" t="s">
        <v>37</v>
      </c>
      <c r="D76" t="s">
        <v>101</v>
      </c>
      <c r="E76" t="s">
        <v>38</v>
      </c>
      <c r="F76" t="s">
        <v>39</v>
      </c>
      <c r="G76" t="s">
        <v>40</v>
      </c>
      <c r="H76" t="s">
        <v>41</v>
      </c>
      <c r="I76" t="s">
        <v>61</v>
      </c>
      <c r="J76" t="s">
        <v>62</v>
      </c>
      <c r="K76" t="s">
        <v>63</v>
      </c>
      <c r="L76" t="s">
        <v>58</v>
      </c>
      <c r="M76" t="s">
        <v>64</v>
      </c>
      <c r="N76" t="s">
        <v>42</v>
      </c>
      <c r="O76" t="s">
        <v>94</v>
      </c>
      <c r="P76" t="s">
        <v>65</v>
      </c>
      <c r="Q76" t="s">
        <v>43</v>
      </c>
      <c r="R76" t="s">
        <v>44</v>
      </c>
      <c r="S76" t="s">
        <v>45</v>
      </c>
    </row>
    <row r="77" spans="1:19" x14ac:dyDescent="0.35">
      <c r="A77" s="67" t="s">
        <v>46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5">
      <c r="A78" s="67" t="s">
        <v>47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5">
      <c r="A79" s="67" t="s">
        <v>48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5">
      <c r="A80" s="67" t="s">
        <v>49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5">
      <c r="A81" s="67" t="s">
        <v>50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5">
      <c r="A82" s="67" t="s">
        <v>51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5">
      <c r="A83" s="67" t="s">
        <v>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5">
      <c r="A84" s="67" t="s">
        <v>53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6" spans="1:19" x14ac:dyDescent="0.35">
      <c r="A86" s="82" t="s">
        <v>67</v>
      </c>
    </row>
    <row r="88" spans="1:19" x14ac:dyDescent="0.35">
      <c r="A88" s="68" t="s">
        <v>35</v>
      </c>
      <c r="B88" s="68" t="s">
        <v>36</v>
      </c>
      <c r="C88" t="s">
        <v>37</v>
      </c>
      <c r="D88" t="s">
        <v>101</v>
      </c>
      <c r="E88" t="s">
        <v>38</v>
      </c>
      <c r="F88" t="s">
        <v>39</v>
      </c>
      <c r="G88" t="s">
        <v>40</v>
      </c>
      <c r="H88" t="s">
        <v>41</v>
      </c>
      <c r="I88" t="s">
        <v>61</v>
      </c>
      <c r="J88" t="s">
        <v>62</v>
      </c>
      <c r="K88" t="s">
        <v>63</v>
      </c>
      <c r="L88" t="s">
        <v>58</v>
      </c>
      <c r="M88" t="s">
        <v>64</v>
      </c>
      <c r="N88" t="s">
        <v>42</v>
      </c>
      <c r="O88" t="s">
        <v>94</v>
      </c>
      <c r="P88" t="s">
        <v>65</v>
      </c>
      <c r="Q88" t="s">
        <v>43</v>
      </c>
      <c r="R88" t="s">
        <v>44</v>
      </c>
      <c r="S88" t="s">
        <v>45</v>
      </c>
    </row>
    <row r="89" spans="1:19" x14ac:dyDescent="0.35">
      <c r="A89" s="67" t="s">
        <v>46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5">
      <c r="A90" s="67" t="s">
        <v>47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5">
      <c r="A91" s="67" t="s">
        <v>48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5">
      <c r="A92" s="67" t="s">
        <v>49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5">
      <c r="A93" s="67" t="s">
        <v>50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5">
      <c r="A94" s="67" t="s">
        <v>51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5">
      <c r="A95" s="67" t="s">
        <v>52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5">
      <c r="A96" s="67" t="s">
        <v>53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8" spans="1:19" x14ac:dyDescent="0.35">
      <c r="A98" s="82" t="s">
        <v>87</v>
      </c>
    </row>
    <row r="100" spans="1:19" x14ac:dyDescent="0.35">
      <c r="A100" s="68" t="s">
        <v>35</v>
      </c>
      <c r="B100" s="68" t="s">
        <v>36</v>
      </c>
      <c r="C100" t="s">
        <v>37</v>
      </c>
      <c r="D100" t="s">
        <v>101</v>
      </c>
      <c r="E100" t="s">
        <v>38</v>
      </c>
      <c r="F100" t="s">
        <v>39</v>
      </c>
      <c r="G100" t="s">
        <v>40</v>
      </c>
      <c r="H100" t="s">
        <v>41</v>
      </c>
      <c r="I100" t="s">
        <v>61</v>
      </c>
      <c r="J100" t="s">
        <v>62</v>
      </c>
      <c r="K100" t="s">
        <v>63</v>
      </c>
      <c r="L100" t="s">
        <v>58</v>
      </c>
      <c r="M100" t="s">
        <v>64</v>
      </c>
      <c r="N100" t="s">
        <v>42</v>
      </c>
      <c r="O100" t="s">
        <v>94</v>
      </c>
      <c r="P100" t="s">
        <v>65</v>
      </c>
      <c r="Q100" t="s">
        <v>43</v>
      </c>
      <c r="R100" t="s">
        <v>44</v>
      </c>
      <c r="S100" t="s">
        <v>45</v>
      </c>
    </row>
    <row r="101" spans="1:19" x14ac:dyDescent="0.35">
      <c r="A101" s="67" t="s">
        <v>46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5">
      <c r="A102" s="67" t="s">
        <v>47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5">
      <c r="A103" s="67" t="s">
        <v>48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5">
      <c r="A104" s="67" t="s">
        <v>49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5">
      <c r="A105" s="67" t="s">
        <v>50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5">
      <c r="A106" s="67" t="s">
        <v>51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5">
      <c r="A107" s="67" t="s">
        <v>52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5">
      <c r="A108" s="67" t="s">
        <v>53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10" spans="1:19" x14ac:dyDescent="0.35">
      <c r="A110" s="82" t="s">
        <v>88</v>
      </c>
    </row>
    <row r="112" spans="1:19" x14ac:dyDescent="0.35">
      <c r="A112" s="68" t="s">
        <v>35</v>
      </c>
      <c r="B112" s="68" t="s">
        <v>36</v>
      </c>
      <c r="C112" t="s">
        <v>37</v>
      </c>
      <c r="D112" t="s">
        <v>101</v>
      </c>
      <c r="E112" t="s">
        <v>38</v>
      </c>
      <c r="F112" t="s">
        <v>39</v>
      </c>
      <c r="G112" t="s">
        <v>40</v>
      </c>
      <c r="H112" t="s">
        <v>41</v>
      </c>
      <c r="I112" t="s">
        <v>61</v>
      </c>
      <c r="J112" t="s">
        <v>62</v>
      </c>
      <c r="K112" t="s">
        <v>63</v>
      </c>
      <c r="L112" t="s">
        <v>58</v>
      </c>
      <c r="M112" t="s">
        <v>64</v>
      </c>
      <c r="N112" t="s">
        <v>42</v>
      </c>
      <c r="O112" t="s">
        <v>94</v>
      </c>
      <c r="P112" t="s">
        <v>65</v>
      </c>
      <c r="Q112" t="s">
        <v>43</v>
      </c>
      <c r="R112" t="s">
        <v>44</v>
      </c>
      <c r="S112" t="s">
        <v>45</v>
      </c>
    </row>
    <row r="113" spans="1:19" x14ac:dyDescent="0.35">
      <c r="A113" s="67" t="s">
        <v>46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5">
      <c r="A114" s="67" t="s">
        <v>47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5">
      <c r="A115" s="67" t="s">
        <v>48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5">
      <c r="A116" s="67" t="s">
        <v>49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5">
      <c r="A117" s="67" t="s">
        <v>50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5">
      <c r="A118" s="67" t="s">
        <v>51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5">
      <c r="A119" s="67" t="s">
        <v>52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5">
      <c r="A120" s="67" t="s">
        <v>53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2" spans="1:19" x14ac:dyDescent="0.35">
      <c r="A122" s="82" t="s">
        <v>89</v>
      </c>
    </row>
    <row r="124" spans="1:19" x14ac:dyDescent="0.35">
      <c r="A124" s="68" t="s">
        <v>35</v>
      </c>
      <c r="B124" s="68" t="s">
        <v>36</v>
      </c>
      <c r="C124" t="s">
        <v>37</v>
      </c>
      <c r="D124" t="s">
        <v>101</v>
      </c>
      <c r="E124" t="s">
        <v>38</v>
      </c>
      <c r="F124" t="s">
        <v>39</v>
      </c>
      <c r="G124" t="s">
        <v>40</v>
      </c>
      <c r="H124" t="s">
        <v>41</v>
      </c>
      <c r="I124" t="s">
        <v>61</v>
      </c>
      <c r="J124" t="s">
        <v>62</v>
      </c>
      <c r="K124" t="s">
        <v>63</v>
      </c>
      <c r="L124" t="s">
        <v>58</v>
      </c>
      <c r="M124" t="s">
        <v>64</v>
      </c>
      <c r="N124" t="s">
        <v>42</v>
      </c>
      <c r="O124" t="s">
        <v>94</v>
      </c>
      <c r="P124" t="s">
        <v>65</v>
      </c>
      <c r="Q124" t="s">
        <v>43</v>
      </c>
      <c r="R124" t="s">
        <v>44</v>
      </c>
      <c r="S124" t="s">
        <v>45</v>
      </c>
    </row>
    <row r="125" spans="1:19" x14ac:dyDescent="0.35">
      <c r="A125" s="67" t="s">
        <v>46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5">
      <c r="A126" s="67" t="s">
        <v>47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5">
      <c r="A127" s="67" t="s">
        <v>48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5">
      <c r="A128" s="67" t="s">
        <v>49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5">
      <c r="A129" s="67" t="s">
        <v>50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5">
      <c r="A130" s="67" t="s">
        <v>51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5">
      <c r="A131" s="67" t="s">
        <v>52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5">
      <c r="A132" s="67" t="s">
        <v>53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4" spans="1:19" x14ac:dyDescent="0.35">
      <c r="A134" s="82" t="s">
        <v>90</v>
      </c>
    </row>
    <row r="136" spans="1:19" x14ac:dyDescent="0.35">
      <c r="A136" s="68" t="s">
        <v>35</v>
      </c>
      <c r="B136" s="68" t="s">
        <v>36</v>
      </c>
      <c r="C136" t="s">
        <v>37</v>
      </c>
      <c r="D136" t="s">
        <v>101</v>
      </c>
      <c r="E136" t="s">
        <v>38</v>
      </c>
      <c r="F136" t="s">
        <v>39</v>
      </c>
      <c r="G136" t="s">
        <v>40</v>
      </c>
      <c r="H136" t="s">
        <v>41</v>
      </c>
      <c r="I136" t="s">
        <v>61</v>
      </c>
      <c r="J136" t="s">
        <v>62</v>
      </c>
      <c r="K136" t="s">
        <v>63</v>
      </c>
      <c r="L136" t="s">
        <v>58</v>
      </c>
      <c r="M136" t="s">
        <v>64</v>
      </c>
      <c r="N136" t="s">
        <v>42</v>
      </c>
      <c r="O136" t="s">
        <v>94</v>
      </c>
      <c r="P136" t="s">
        <v>65</v>
      </c>
      <c r="Q136" t="s">
        <v>43</v>
      </c>
      <c r="R136" t="s">
        <v>44</v>
      </c>
      <c r="S136" t="s">
        <v>45</v>
      </c>
    </row>
    <row r="137" spans="1:19" x14ac:dyDescent="0.35">
      <c r="A137" s="67" t="s">
        <v>46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5">
      <c r="A138" s="67" t="s">
        <v>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5">
      <c r="A139" s="67" t="s">
        <v>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5">
      <c r="A140" s="67" t="s">
        <v>49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5">
      <c r="A141" s="67" t="s">
        <v>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5">
      <c r="A142" s="67" t="s">
        <v>51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5">
      <c r="A143" s="67" t="s">
        <v>52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5">
      <c r="A144" s="67" t="s">
        <v>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2447EAF9B04292BFE10B93173B30" ma:contentTypeVersion="15" ma:contentTypeDescription="Create a new document." ma:contentTypeScope="" ma:versionID="abe77a223238ba3710f52b3f64154a00">
  <xsd:schema xmlns:xsd="http://www.w3.org/2001/XMLSchema" xmlns:xs="http://www.w3.org/2001/XMLSchema" xmlns:p="http://schemas.microsoft.com/office/2006/metadata/properties" xmlns:ns2="d32d6e54-5891-4072-9c52-20c5cf7ad6a8" xmlns:ns3="09b6b0b1-babf-46be-b246-fda93dded546" targetNamespace="http://schemas.microsoft.com/office/2006/metadata/properties" ma:root="true" ma:fieldsID="43f10d7d5e27c75b431b6660b778facd" ns2:_="" ns3:_="">
    <xsd:import namespace="d32d6e54-5891-4072-9c52-20c5cf7ad6a8"/>
    <xsd:import namespace="09b6b0b1-babf-46be-b246-fda93dded5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d6e54-5891-4072-9c52-20c5cf7ad6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dbdd397-5632-4097-b2d6-08b9c85d32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6b0b1-babf-46be-b246-fda93dded54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f07269-0629-40d6-a83e-17d4c031baaa}" ma:internalName="TaxCatchAll" ma:showField="CatchAllData" ma:web="09b6b0b1-babf-46be-b246-fda93dded5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b6b0b1-babf-46be-b246-fda93dded546" xsi:nil="true"/>
    <lcf76f155ced4ddcb4097134ff3c332f xmlns="d32d6e54-5891-4072-9c52-20c5cf7ad6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703619-30A0-46C2-8F11-BEC9CC477F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842BC1-3DC8-4D41-B513-67A1900200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2d6e54-5891-4072-9c52-20c5cf7ad6a8"/>
    <ds:schemaRef ds:uri="09b6b0b1-babf-46be-b246-fda93dded5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11F8F0-9164-4266-9F36-9577645C6AA9}">
  <ds:schemaRefs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d32d6e54-5891-4072-9c52-20c5cf7ad6a8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9b6b0b1-babf-46be-b246-fda93dded5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Yearly Total To Date</vt:lpstr>
      <vt:lpstr>Occupancy Report</vt:lpstr>
      <vt:lpstr>Occupancy Report Summarised</vt:lpstr>
      <vt:lpstr>After 3pm Data</vt:lpstr>
      <vt:lpstr>Day by Day Totals</vt:lpstr>
      <vt:lpstr>Day Trends</vt:lpstr>
      <vt:lpstr>Monthly Totals</vt:lpstr>
      <vt:lpstr>Monthly Averages</vt:lpstr>
      <vt:lpstr>Pivot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CGC Golf Shop</dc:creator>
  <cp:keywords/>
  <dc:description/>
  <cp:lastModifiedBy>VGC Golf Shop</cp:lastModifiedBy>
  <cp:revision/>
  <dcterms:created xsi:type="dcterms:W3CDTF">2024-07-09T05:39:17Z</dcterms:created>
  <dcterms:modified xsi:type="dcterms:W3CDTF">2026-03-11T05:52:23Z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0x01010079132447EAF9B04292BFE10B93173B30</vt:lpwstr>
  </property>
  <property fmtid="{D5CDD505-2E9C-101B-9397-08002B2CF9AE}" pid="3" name="MediaServiceImageTags">
    <vt:lpwstr/>
  </property>
</Properties>
</file>